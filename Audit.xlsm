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6A14EA98-74A9-4A5C-85E7-8E7ADB0ACC8B}" xr6:coauthVersionLast="47" xr6:coauthVersionMax="47" xr10:uidLastSave="{00000000-0000-0000-0000-000000000000}"/>
  <bookViews>
    <workbookView xWindow="-120" yWindow="-120" windowWidth="38640" windowHeight="21240" activeTab="1" xr2:uid="{E0E293F9-D794-491A-92CF-8D3933F9CC7D}"/>
  </bookViews>
  <sheets>
    <sheet name="Audit Report" sheetId="1" r:id="rId1"/>
    <sheet name="SIMS Audit Report" sheetId="15" r:id="rId2"/>
    <sheet name="Locked and Faulty" sheetId="13" r:id="rId3"/>
    <sheet name="My_Audit" sheetId="5" r:id="rId4"/>
    <sheet name="Input" sheetId="2" r:id="rId5"/>
    <sheet name="Disk_Pivot" sheetId="12" r:id="rId6"/>
    <sheet name="Disk_Pivot_Data" sheetId="10" r:id="rId7"/>
    <sheet name="MacReports" sheetId="3" r:id="rId8"/>
    <sheet name="CSV" sheetId="4" r:id="rId9"/>
    <sheet name="CPU_Formula" sheetId="8" r:id="rId10"/>
    <sheet name="Output_Mac" sheetId="6" r:id="rId11"/>
    <sheet name="Models" sheetId="7" r:id="rId12"/>
    <sheet name="Diagnostics Codes" sheetId="14" r:id="rId13"/>
  </sheets>
  <definedNames>
    <definedName name="_xlpm.chars" hidden="1" xlm="1">#NAME?</definedName>
    <definedName name="_xlpm.CSVVal" hidden="1" xlm="1">#NAME?</definedName>
    <definedName name="_xlpm.descCode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yAuditVal" hidden="1" xlm="1">#NAME?</definedName>
    <definedName name="_xlpm.r" hidden="1" xlm="1">#NAME?</definedName>
    <definedName name="_xlpm.Result" hidden="1" xlm="1">#NAME?</definedName>
    <definedName name="_xlpm.txt" hidden="1" xlm="1">#NAME?</definedName>
    <definedName name="_xlpm.x" hidden="1" xlm="1">#NAME?</definedName>
  </definedNames>
  <calcPr calcId="191029"/>
  <pivotCaches>
    <pivotCache cacheId="6" r:id="rId14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365" i="15" l="1"/>
  <c r="L1364" i="15"/>
  <c r="L1363" i="15"/>
  <c r="L1362" i="15"/>
  <c r="L1361" i="15"/>
  <c r="L1360" i="15"/>
  <c r="L1359" i="15"/>
  <c r="L1358" i="15"/>
  <c r="L1357" i="15"/>
  <c r="L1356" i="15"/>
  <c r="L1355" i="15"/>
  <c r="L1354" i="15"/>
  <c r="L1353" i="15"/>
  <c r="L1352" i="15"/>
  <c r="L1351" i="15"/>
  <c r="L1350" i="15"/>
  <c r="L1349" i="15"/>
  <c r="L1348" i="15"/>
  <c r="L1347" i="15"/>
  <c r="L1346" i="15"/>
  <c r="L1345" i="15"/>
  <c r="L1344" i="15"/>
  <c r="L1343" i="15"/>
  <c r="L1342" i="15"/>
  <c r="L1341" i="15"/>
  <c r="L1340" i="15"/>
  <c r="L1339" i="15"/>
  <c r="L1338" i="15"/>
  <c r="L1337" i="15"/>
  <c r="L1336" i="15"/>
  <c r="L1335" i="15"/>
  <c r="L1334" i="15"/>
  <c r="L1333" i="15"/>
  <c r="L1332" i="15"/>
  <c r="L1331" i="15"/>
  <c r="L1330" i="15"/>
  <c r="L1329" i="15"/>
  <c r="L1328" i="15"/>
  <c r="L1327" i="15"/>
  <c r="L1326" i="15"/>
  <c r="L1325" i="15"/>
  <c r="L1324" i="15"/>
  <c r="L1323" i="15"/>
  <c r="S1322" i="15"/>
  <c r="R1322" i="15"/>
  <c r="M1322" i="15"/>
  <c r="L1322" i="15"/>
  <c r="J1322" i="15"/>
  <c r="I1322" i="15"/>
  <c r="S1321" i="15"/>
  <c r="R1321" i="15"/>
  <c r="M1321" i="15"/>
  <c r="L1321" i="15"/>
  <c r="J1321" i="15"/>
  <c r="I1321" i="15"/>
  <c r="S1320" i="15"/>
  <c r="R1320" i="15"/>
  <c r="M1320" i="15"/>
  <c r="L1320" i="15"/>
  <c r="J1320" i="15"/>
  <c r="I1320" i="15"/>
  <c r="S1319" i="15"/>
  <c r="R1319" i="15"/>
  <c r="M1319" i="15"/>
  <c r="L1319" i="15"/>
  <c r="J1319" i="15"/>
  <c r="I1319" i="15"/>
  <c r="S1318" i="15"/>
  <c r="R1318" i="15"/>
  <c r="M1318" i="15"/>
  <c r="L1318" i="15"/>
  <c r="J1318" i="15"/>
  <c r="I1318" i="15"/>
  <c r="S1317" i="15"/>
  <c r="R1317" i="15"/>
  <c r="M1317" i="15"/>
  <c r="L1317" i="15"/>
  <c r="J1317" i="15"/>
  <c r="I1317" i="15"/>
  <c r="S1316" i="15"/>
  <c r="R1316" i="15"/>
  <c r="M1316" i="15"/>
  <c r="L1316" i="15"/>
  <c r="J1316" i="15"/>
  <c r="I1316" i="15"/>
  <c r="S1315" i="15"/>
  <c r="R1315" i="15"/>
  <c r="M1315" i="15"/>
  <c r="L1315" i="15"/>
  <c r="J1315" i="15"/>
  <c r="I1315" i="15"/>
  <c r="S1314" i="15"/>
  <c r="R1314" i="15"/>
  <c r="M1314" i="15"/>
  <c r="L1314" i="15"/>
  <c r="J1314" i="15"/>
  <c r="I1314" i="15"/>
  <c r="S1313" i="15"/>
  <c r="R1313" i="15"/>
  <c r="M1313" i="15"/>
  <c r="L1313" i="15"/>
  <c r="J1313" i="15"/>
  <c r="I1313" i="15"/>
  <c r="S1312" i="15"/>
  <c r="R1312" i="15"/>
  <c r="M1312" i="15"/>
  <c r="L1312" i="15"/>
  <c r="J1312" i="15"/>
  <c r="I1312" i="15"/>
  <c r="S1311" i="15"/>
  <c r="R1311" i="15"/>
  <c r="M1311" i="15"/>
  <c r="L1311" i="15"/>
  <c r="J1311" i="15"/>
  <c r="I1311" i="15"/>
  <c r="S1310" i="15"/>
  <c r="R1310" i="15"/>
  <c r="M1310" i="15"/>
  <c r="L1310" i="15"/>
  <c r="J1310" i="15"/>
  <c r="I1310" i="15"/>
  <c r="S1309" i="15"/>
  <c r="R1309" i="15"/>
  <c r="M1309" i="15"/>
  <c r="L1309" i="15"/>
  <c r="J1309" i="15"/>
  <c r="I1309" i="15"/>
  <c r="S1308" i="15"/>
  <c r="R1308" i="15"/>
  <c r="M1308" i="15"/>
  <c r="L1308" i="15"/>
  <c r="J1308" i="15"/>
  <c r="I1308" i="15"/>
  <c r="S1307" i="15"/>
  <c r="R1307" i="15"/>
  <c r="M1307" i="15"/>
  <c r="L1307" i="15"/>
  <c r="J1307" i="15"/>
  <c r="I1307" i="15"/>
  <c r="S1306" i="15"/>
  <c r="R1306" i="15"/>
  <c r="M1306" i="15"/>
  <c r="L1306" i="15"/>
  <c r="J1306" i="15"/>
  <c r="I1306" i="15"/>
  <c r="S1305" i="15"/>
  <c r="R1305" i="15"/>
  <c r="M1305" i="15"/>
  <c r="L1305" i="15"/>
  <c r="J1305" i="15"/>
  <c r="I1305" i="15"/>
  <c r="S1304" i="15"/>
  <c r="R1304" i="15"/>
  <c r="M1304" i="15"/>
  <c r="L1304" i="15"/>
  <c r="J1304" i="15"/>
  <c r="I1304" i="15"/>
  <c r="S1303" i="15"/>
  <c r="R1303" i="15"/>
  <c r="M1303" i="15"/>
  <c r="L1303" i="15"/>
  <c r="J1303" i="15"/>
  <c r="I1303" i="15"/>
  <c r="S1302" i="15"/>
  <c r="R1302" i="15"/>
  <c r="M1302" i="15"/>
  <c r="L1302" i="15"/>
  <c r="J1302" i="15"/>
  <c r="I1302" i="15"/>
  <c r="S1301" i="15"/>
  <c r="R1301" i="15"/>
  <c r="M1301" i="15"/>
  <c r="L1301" i="15"/>
  <c r="J1301" i="15"/>
  <c r="I1301" i="15"/>
  <c r="S1300" i="15"/>
  <c r="R1300" i="15"/>
  <c r="M1300" i="15"/>
  <c r="L1300" i="15"/>
  <c r="J1300" i="15"/>
  <c r="I1300" i="15"/>
  <c r="S1299" i="15"/>
  <c r="R1299" i="15"/>
  <c r="M1299" i="15"/>
  <c r="L1299" i="15"/>
  <c r="J1299" i="15"/>
  <c r="I1299" i="15"/>
  <c r="S1298" i="15"/>
  <c r="R1298" i="15"/>
  <c r="M1298" i="15"/>
  <c r="L1298" i="15"/>
  <c r="J1298" i="15"/>
  <c r="I1298" i="15"/>
  <c r="S1297" i="15"/>
  <c r="R1297" i="15"/>
  <c r="M1297" i="15"/>
  <c r="L1297" i="15"/>
  <c r="J1297" i="15"/>
  <c r="I1297" i="15"/>
  <c r="S1296" i="15"/>
  <c r="R1296" i="15"/>
  <c r="M1296" i="15"/>
  <c r="L1296" i="15"/>
  <c r="J1296" i="15"/>
  <c r="I1296" i="15"/>
  <c r="S1295" i="15"/>
  <c r="R1295" i="15"/>
  <c r="M1295" i="15"/>
  <c r="L1295" i="15"/>
  <c r="J1295" i="15"/>
  <c r="I1295" i="15"/>
  <c r="S1294" i="15"/>
  <c r="R1294" i="15"/>
  <c r="M1294" i="15"/>
  <c r="L1294" i="15"/>
  <c r="J1294" i="15"/>
  <c r="I1294" i="15"/>
  <c r="S1293" i="15"/>
  <c r="R1293" i="15"/>
  <c r="M1293" i="15"/>
  <c r="L1293" i="15"/>
  <c r="J1293" i="15"/>
  <c r="I1293" i="15"/>
  <c r="S1292" i="15"/>
  <c r="R1292" i="15"/>
  <c r="M1292" i="15"/>
  <c r="L1292" i="15"/>
  <c r="J1292" i="15"/>
  <c r="I1292" i="15"/>
  <c r="S1291" i="15"/>
  <c r="R1291" i="15"/>
  <c r="M1291" i="15"/>
  <c r="L1291" i="15"/>
  <c r="J1291" i="15"/>
  <c r="I1291" i="15"/>
  <c r="S1290" i="15"/>
  <c r="R1290" i="15"/>
  <c r="M1290" i="15"/>
  <c r="L1290" i="15"/>
  <c r="J1290" i="15"/>
  <c r="I1290" i="15"/>
  <c r="S1289" i="15"/>
  <c r="R1289" i="15"/>
  <c r="M1289" i="15"/>
  <c r="L1289" i="15"/>
  <c r="J1289" i="15"/>
  <c r="I1289" i="15"/>
  <c r="S1288" i="15"/>
  <c r="R1288" i="15"/>
  <c r="M1288" i="15"/>
  <c r="L1288" i="15"/>
  <c r="J1288" i="15"/>
  <c r="I1288" i="15"/>
  <c r="S1287" i="15"/>
  <c r="R1287" i="15"/>
  <c r="M1287" i="15"/>
  <c r="L1287" i="15"/>
  <c r="J1287" i="15"/>
  <c r="I1287" i="15"/>
  <c r="S1286" i="15"/>
  <c r="R1286" i="15"/>
  <c r="M1286" i="15"/>
  <c r="L1286" i="15"/>
  <c r="J1286" i="15"/>
  <c r="I1286" i="15"/>
  <c r="S1285" i="15"/>
  <c r="R1285" i="15"/>
  <c r="M1285" i="15"/>
  <c r="L1285" i="15"/>
  <c r="J1285" i="15"/>
  <c r="I1285" i="15"/>
  <c r="S1284" i="15"/>
  <c r="R1284" i="15"/>
  <c r="M1284" i="15"/>
  <c r="L1284" i="15"/>
  <c r="J1284" i="15"/>
  <c r="I1284" i="15"/>
  <c r="S1283" i="15"/>
  <c r="R1283" i="15"/>
  <c r="M1283" i="15"/>
  <c r="L1283" i="15"/>
  <c r="J1283" i="15"/>
  <c r="I1283" i="15"/>
  <c r="S1282" i="15"/>
  <c r="R1282" i="15"/>
  <c r="M1282" i="15"/>
  <c r="L1282" i="15"/>
  <c r="J1282" i="15"/>
  <c r="I1282" i="15"/>
  <c r="S1281" i="15"/>
  <c r="R1281" i="15"/>
  <c r="M1281" i="15"/>
  <c r="L1281" i="15"/>
  <c r="J1281" i="15"/>
  <c r="I1281" i="15"/>
  <c r="S1280" i="15"/>
  <c r="R1280" i="15"/>
  <c r="M1280" i="15"/>
  <c r="L1280" i="15"/>
  <c r="J1280" i="15"/>
  <c r="I1280" i="15"/>
  <c r="S1279" i="15"/>
  <c r="R1279" i="15"/>
  <c r="M1279" i="15"/>
  <c r="L1279" i="15"/>
  <c r="J1279" i="15"/>
  <c r="I1279" i="15"/>
  <c r="S1278" i="15"/>
  <c r="R1278" i="15"/>
  <c r="M1278" i="15"/>
  <c r="L1278" i="15"/>
  <c r="J1278" i="15"/>
  <c r="I1278" i="15"/>
  <c r="S1277" i="15"/>
  <c r="R1277" i="15"/>
  <c r="M1277" i="15"/>
  <c r="L1277" i="15"/>
  <c r="J1277" i="15"/>
  <c r="I1277" i="15"/>
  <c r="S1276" i="15"/>
  <c r="R1276" i="15"/>
  <c r="M1276" i="15"/>
  <c r="L1276" i="15"/>
  <c r="J1276" i="15"/>
  <c r="I1276" i="15"/>
  <c r="S1275" i="15"/>
  <c r="R1275" i="15"/>
  <c r="M1275" i="15"/>
  <c r="L1275" i="15"/>
  <c r="J1275" i="15"/>
  <c r="I1275" i="15"/>
  <c r="S1274" i="15"/>
  <c r="R1274" i="15"/>
  <c r="M1274" i="15"/>
  <c r="L1274" i="15"/>
  <c r="J1274" i="15"/>
  <c r="I1274" i="15"/>
  <c r="S1273" i="15"/>
  <c r="R1273" i="15"/>
  <c r="M1273" i="15"/>
  <c r="L1273" i="15"/>
  <c r="J1273" i="15"/>
  <c r="I1273" i="15"/>
  <c r="S1272" i="15"/>
  <c r="R1272" i="15"/>
  <c r="M1272" i="15"/>
  <c r="L1272" i="15"/>
  <c r="J1272" i="15"/>
  <c r="I1272" i="15"/>
  <c r="S1271" i="15"/>
  <c r="R1271" i="15"/>
  <c r="M1271" i="15"/>
  <c r="L1271" i="15"/>
  <c r="J1271" i="15"/>
  <c r="I1271" i="15"/>
  <c r="S1270" i="15"/>
  <c r="R1270" i="15"/>
  <c r="M1270" i="15"/>
  <c r="L1270" i="15"/>
  <c r="J1270" i="15"/>
  <c r="I1270" i="15"/>
  <c r="S1269" i="15"/>
  <c r="R1269" i="15"/>
  <c r="M1269" i="15"/>
  <c r="L1269" i="15"/>
  <c r="J1269" i="15"/>
  <c r="I1269" i="15"/>
  <c r="S1268" i="15"/>
  <c r="R1268" i="15"/>
  <c r="M1268" i="15"/>
  <c r="L1268" i="15"/>
  <c r="J1268" i="15"/>
  <c r="I1268" i="15"/>
  <c r="S1267" i="15"/>
  <c r="R1267" i="15"/>
  <c r="M1267" i="15"/>
  <c r="L1267" i="15"/>
  <c r="J1267" i="15"/>
  <c r="I1267" i="15"/>
  <c r="S1266" i="15"/>
  <c r="R1266" i="15"/>
  <c r="M1266" i="15"/>
  <c r="L1266" i="15"/>
  <c r="J1266" i="15"/>
  <c r="I1266" i="15"/>
  <c r="S1265" i="15"/>
  <c r="R1265" i="15"/>
  <c r="M1265" i="15"/>
  <c r="L1265" i="15"/>
  <c r="J1265" i="15"/>
  <c r="I1265" i="15"/>
  <c r="S1264" i="15"/>
  <c r="R1264" i="15"/>
  <c r="M1264" i="15"/>
  <c r="L1264" i="15"/>
  <c r="J1264" i="15"/>
  <c r="I1264" i="15"/>
  <c r="S1263" i="15"/>
  <c r="R1263" i="15"/>
  <c r="M1263" i="15"/>
  <c r="L1263" i="15"/>
  <c r="J1263" i="15"/>
  <c r="I1263" i="15"/>
  <c r="S1262" i="15"/>
  <c r="R1262" i="15"/>
  <c r="M1262" i="15"/>
  <c r="L1262" i="15"/>
  <c r="J1262" i="15"/>
  <c r="I1262" i="15"/>
  <c r="S1261" i="15"/>
  <c r="R1261" i="15"/>
  <c r="M1261" i="15"/>
  <c r="L1261" i="15"/>
  <c r="J1261" i="15"/>
  <c r="I1261" i="15"/>
  <c r="S1260" i="15"/>
  <c r="R1260" i="15"/>
  <c r="M1260" i="15"/>
  <c r="L1260" i="15"/>
  <c r="J1260" i="15"/>
  <c r="I1260" i="15"/>
  <c r="S1259" i="15"/>
  <c r="R1259" i="15"/>
  <c r="M1259" i="15"/>
  <c r="L1259" i="15"/>
  <c r="J1259" i="15"/>
  <c r="I1259" i="15"/>
  <c r="S1258" i="15"/>
  <c r="R1258" i="15"/>
  <c r="M1258" i="15"/>
  <c r="L1258" i="15"/>
  <c r="J1258" i="15"/>
  <c r="I1258" i="15"/>
  <c r="S1257" i="15"/>
  <c r="R1257" i="15"/>
  <c r="M1257" i="15"/>
  <c r="L1257" i="15"/>
  <c r="J1257" i="15"/>
  <c r="I1257" i="15"/>
  <c r="S1256" i="15"/>
  <c r="R1256" i="15"/>
  <c r="M1256" i="15"/>
  <c r="L1256" i="15"/>
  <c r="J1256" i="15"/>
  <c r="I1256" i="15"/>
  <c r="S1255" i="15"/>
  <c r="R1255" i="15"/>
  <c r="M1255" i="15"/>
  <c r="L1255" i="15"/>
  <c r="J1255" i="15"/>
  <c r="I1255" i="15"/>
  <c r="S1254" i="15"/>
  <c r="R1254" i="15"/>
  <c r="M1254" i="15"/>
  <c r="L1254" i="15"/>
  <c r="J1254" i="15"/>
  <c r="I1254" i="15"/>
  <c r="S1253" i="15"/>
  <c r="R1253" i="15"/>
  <c r="M1253" i="15"/>
  <c r="L1253" i="15"/>
  <c r="J1253" i="15"/>
  <c r="I1253" i="15"/>
  <c r="S1252" i="15"/>
  <c r="R1252" i="15"/>
  <c r="M1252" i="15"/>
  <c r="L1252" i="15"/>
  <c r="J1252" i="15"/>
  <c r="I1252" i="15"/>
  <c r="S1251" i="15"/>
  <c r="R1251" i="15"/>
  <c r="M1251" i="15"/>
  <c r="L1251" i="15"/>
  <c r="J1251" i="15"/>
  <c r="I1251" i="15"/>
  <c r="S1250" i="15"/>
  <c r="R1250" i="15"/>
  <c r="M1250" i="15"/>
  <c r="L1250" i="15"/>
  <c r="J1250" i="15"/>
  <c r="I1250" i="15"/>
  <c r="S1249" i="15"/>
  <c r="R1249" i="15"/>
  <c r="M1249" i="15"/>
  <c r="L1249" i="15"/>
  <c r="J1249" i="15"/>
  <c r="I1249" i="15"/>
  <c r="S1248" i="15"/>
  <c r="R1248" i="15"/>
  <c r="M1248" i="15"/>
  <c r="L1248" i="15"/>
  <c r="J1248" i="15"/>
  <c r="I1248" i="15"/>
  <c r="S1247" i="15"/>
  <c r="R1247" i="15"/>
  <c r="M1247" i="15"/>
  <c r="L1247" i="15"/>
  <c r="J1247" i="15"/>
  <c r="I1247" i="15"/>
  <c r="S1246" i="15"/>
  <c r="R1246" i="15"/>
  <c r="M1246" i="15"/>
  <c r="L1246" i="15"/>
  <c r="J1246" i="15"/>
  <c r="I1246" i="15"/>
  <c r="S1245" i="15"/>
  <c r="R1245" i="15"/>
  <c r="M1245" i="15"/>
  <c r="L1245" i="15"/>
  <c r="J1245" i="15"/>
  <c r="I1245" i="15"/>
  <c r="S1244" i="15"/>
  <c r="R1244" i="15"/>
  <c r="M1244" i="15"/>
  <c r="L1244" i="15"/>
  <c r="J1244" i="15"/>
  <c r="I1244" i="15"/>
  <c r="S1243" i="15"/>
  <c r="R1243" i="15"/>
  <c r="M1243" i="15"/>
  <c r="L1243" i="15"/>
  <c r="J1243" i="15"/>
  <c r="I1243" i="15"/>
  <c r="S1242" i="15"/>
  <c r="R1242" i="15"/>
  <c r="M1242" i="15"/>
  <c r="L1242" i="15"/>
  <c r="J1242" i="15"/>
  <c r="I1242" i="15"/>
  <c r="S1241" i="15"/>
  <c r="R1241" i="15"/>
  <c r="M1241" i="15"/>
  <c r="L1241" i="15"/>
  <c r="J1241" i="15"/>
  <c r="I1241" i="15"/>
  <c r="S1240" i="15"/>
  <c r="R1240" i="15"/>
  <c r="M1240" i="15"/>
  <c r="L1240" i="15"/>
  <c r="J1240" i="15"/>
  <c r="I1240" i="15"/>
  <c r="S1239" i="15"/>
  <c r="R1239" i="15"/>
  <c r="M1239" i="15"/>
  <c r="L1239" i="15"/>
  <c r="J1239" i="15"/>
  <c r="I1239" i="15"/>
  <c r="S1238" i="15"/>
  <c r="R1238" i="15"/>
  <c r="M1238" i="15"/>
  <c r="L1238" i="15"/>
  <c r="J1238" i="15"/>
  <c r="I1238" i="15"/>
  <c r="S1237" i="15"/>
  <c r="R1237" i="15"/>
  <c r="M1237" i="15"/>
  <c r="L1237" i="15"/>
  <c r="J1237" i="15"/>
  <c r="I1237" i="15"/>
  <c r="S1236" i="15"/>
  <c r="R1236" i="15"/>
  <c r="M1236" i="15"/>
  <c r="L1236" i="15"/>
  <c r="J1236" i="15"/>
  <c r="I1236" i="15"/>
  <c r="S1235" i="15"/>
  <c r="R1235" i="15"/>
  <c r="M1235" i="15"/>
  <c r="L1235" i="15"/>
  <c r="J1235" i="15"/>
  <c r="I1235" i="15"/>
  <c r="S1234" i="15"/>
  <c r="R1234" i="15"/>
  <c r="M1234" i="15"/>
  <c r="L1234" i="15"/>
  <c r="J1234" i="15"/>
  <c r="I1234" i="15"/>
  <c r="S1233" i="15"/>
  <c r="R1233" i="15"/>
  <c r="M1233" i="15"/>
  <c r="L1233" i="15"/>
  <c r="J1233" i="15"/>
  <c r="I1233" i="15"/>
  <c r="S1232" i="15"/>
  <c r="R1232" i="15"/>
  <c r="M1232" i="15"/>
  <c r="L1232" i="15"/>
  <c r="J1232" i="15"/>
  <c r="I1232" i="15"/>
  <c r="S1231" i="15"/>
  <c r="R1231" i="15"/>
  <c r="M1231" i="15"/>
  <c r="L1231" i="15"/>
  <c r="J1231" i="15"/>
  <c r="I1231" i="15"/>
  <c r="S1230" i="15"/>
  <c r="R1230" i="15"/>
  <c r="M1230" i="15"/>
  <c r="N1230" i="15" s="1" a="1"/>
  <c r="N1230" i="15" s="1"/>
  <c r="L1230" i="15"/>
  <c r="J1230" i="15"/>
  <c r="I1230" i="15"/>
  <c r="S1229" i="15"/>
  <c r="R1229" i="15"/>
  <c r="M1229" i="15"/>
  <c r="N1229" i="15" s="1" a="1"/>
  <c r="N1229" i="15" s="1"/>
  <c r="L1229" i="15"/>
  <c r="J1229" i="15"/>
  <c r="I1229" i="15"/>
  <c r="S1228" i="15"/>
  <c r="R1228" i="15"/>
  <c r="N1228" i="15" a="1"/>
  <c r="N1228" i="15" s="1"/>
  <c r="M1228" i="15"/>
  <c r="L1228" i="15"/>
  <c r="J1228" i="15"/>
  <c r="I1228" i="15"/>
  <c r="S1227" i="15"/>
  <c r="R1227" i="15"/>
  <c r="M1227" i="15"/>
  <c r="N1227" i="15" s="1" a="1"/>
  <c r="N1227" i="15" s="1"/>
  <c r="L1227" i="15"/>
  <c r="J1227" i="15"/>
  <c r="I1227" i="15"/>
  <c r="S1226" i="15"/>
  <c r="R1226" i="15"/>
  <c r="M1226" i="15"/>
  <c r="N1226" i="15" s="1" a="1"/>
  <c r="N1226" i="15" s="1"/>
  <c r="L1226" i="15"/>
  <c r="J1226" i="15"/>
  <c r="I1226" i="15"/>
  <c r="S1225" i="15"/>
  <c r="R1225" i="15"/>
  <c r="M1225" i="15"/>
  <c r="N1225" i="15" s="1" a="1"/>
  <c r="N1225" i="15" s="1"/>
  <c r="L1225" i="15"/>
  <c r="J1225" i="15"/>
  <c r="I1225" i="15"/>
  <c r="S1224" i="15"/>
  <c r="R1224" i="15"/>
  <c r="N1224" i="15" a="1"/>
  <c r="N1224" i="15" s="1"/>
  <c r="M1224" i="15"/>
  <c r="L1224" i="15"/>
  <c r="J1224" i="15"/>
  <c r="I1224" i="15"/>
  <c r="S1223" i="15"/>
  <c r="R1223" i="15"/>
  <c r="M1223" i="15"/>
  <c r="N1223" i="15" s="1" a="1"/>
  <c r="N1223" i="15" s="1"/>
  <c r="L1223" i="15"/>
  <c r="J1223" i="15"/>
  <c r="I1223" i="15"/>
  <c r="S1222" i="15"/>
  <c r="R1222" i="15"/>
  <c r="M1222" i="15"/>
  <c r="N1222" i="15" s="1" a="1"/>
  <c r="N1222" i="15" s="1"/>
  <c r="L1222" i="15"/>
  <c r="J1222" i="15"/>
  <c r="I1222" i="15"/>
  <c r="S1221" i="15"/>
  <c r="R1221" i="15"/>
  <c r="M1221" i="15"/>
  <c r="N1221" i="15" s="1" a="1"/>
  <c r="N1221" i="15" s="1"/>
  <c r="L1221" i="15"/>
  <c r="J1221" i="15"/>
  <c r="I1221" i="15"/>
  <c r="S1220" i="15"/>
  <c r="R1220" i="15"/>
  <c r="N1220" i="15" a="1"/>
  <c r="N1220" i="15" s="1"/>
  <c r="M1220" i="15"/>
  <c r="L1220" i="15"/>
  <c r="J1220" i="15"/>
  <c r="I1220" i="15"/>
  <c r="S1219" i="15"/>
  <c r="R1219" i="15"/>
  <c r="M1219" i="15"/>
  <c r="N1219" i="15" s="1" a="1"/>
  <c r="N1219" i="15" s="1"/>
  <c r="L1219" i="15"/>
  <c r="J1219" i="15"/>
  <c r="I1219" i="15"/>
  <c r="S1218" i="15"/>
  <c r="R1218" i="15"/>
  <c r="M1218" i="15"/>
  <c r="N1218" i="15" s="1" a="1"/>
  <c r="N1218" i="15" s="1"/>
  <c r="L1218" i="15"/>
  <c r="J1218" i="15"/>
  <c r="I1218" i="15"/>
  <c r="S1217" i="15"/>
  <c r="R1217" i="15"/>
  <c r="M1217" i="15"/>
  <c r="N1217" i="15" s="1" a="1"/>
  <c r="N1217" i="15" s="1"/>
  <c r="L1217" i="15"/>
  <c r="J1217" i="15"/>
  <c r="I1217" i="15"/>
  <c r="S1216" i="15"/>
  <c r="R1216" i="15"/>
  <c r="N1216" i="15" a="1"/>
  <c r="N1216" i="15" s="1"/>
  <c r="M1216" i="15"/>
  <c r="L1216" i="15"/>
  <c r="J1216" i="15"/>
  <c r="I1216" i="15"/>
  <c r="S1215" i="15"/>
  <c r="R1215" i="15"/>
  <c r="M1215" i="15"/>
  <c r="N1215" i="15" s="1" a="1"/>
  <c r="N1215" i="15" s="1"/>
  <c r="L1215" i="15"/>
  <c r="J1215" i="15"/>
  <c r="I1215" i="15"/>
  <c r="S1214" i="15"/>
  <c r="R1214" i="15"/>
  <c r="M1214" i="15"/>
  <c r="N1214" i="15" s="1" a="1"/>
  <c r="N1214" i="15" s="1"/>
  <c r="L1214" i="15"/>
  <c r="J1214" i="15"/>
  <c r="I1214" i="15"/>
  <c r="S1213" i="15"/>
  <c r="R1213" i="15"/>
  <c r="M1213" i="15"/>
  <c r="N1213" i="15" s="1" a="1"/>
  <c r="N1213" i="15" s="1"/>
  <c r="L1213" i="15"/>
  <c r="J1213" i="15"/>
  <c r="I1213" i="15"/>
  <c r="S1212" i="15"/>
  <c r="R1212" i="15"/>
  <c r="N1212" i="15" a="1"/>
  <c r="N1212" i="15" s="1"/>
  <c r="M1212" i="15"/>
  <c r="L1212" i="15"/>
  <c r="J1212" i="15"/>
  <c r="I1212" i="15"/>
  <c r="S1211" i="15"/>
  <c r="R1211" i="15"/>
  <c r="M1211" i="15"/>
  <c r="N1211" i="15" s="1" a="1"/>
  <c r="N1211" i="15" s="1"/>
  <c r="L1211" i="15"/>
  <c r="J1211" i="15"/>
  <c r="I1211" i="15"/>
  <c r="S1210" i="15"/>
  <c r="R1210" i="15"/>
  <c r="M1210" i="15"/>
  <c r="N1210" i="15" s="1" a="1"/>
  <c r="N1210" i="15" s="1"/>
  <c r="L1210" i="15"/>
  <c r="J1210" i="15"/>
  <c r="I1210" i="15"/>
  <c r="S1209" i="15"/>
  <c r="R1209" i="15"/>
  <c r="M1209" i="15"/>
  <c r="N1209" i="15" s="1" a="1"/>
  <c r="N1209" i="15" s="1"/>
  <c r="L1209" i="15"/>
  <c r="J1209" i="15"/>
  <c r="I1209" i="15"/>
  <c r="S1208" i="15"/>
  <c r="R1208" i="15"/>
  <c r="N1208" i="15" a="1"/>
  <c r="N1208" i="15" s="1"/>
  <c r="M1208" i="15"/>
  <c r="L1208" i="15"/>
  <c r="J1208" i="15"/>
  <c r="I1208" i="15"/>
  <c r="S1207" i="15"/>
  <c r="R1207" i="15"/>
  <c r="M1207" i="15"/>
  <c r="N1207" i="15" s="1" a="1"/>
  <c r="N1207" i="15" s="1"/>
  <c r="L1207" i="15"/>
  <c r="J1207" i="15"/>
  <c r="I1207" i="15"/>
  <c r="S1206" i="15"/>
  <c r="R1206" i="15"/>
  <c r="M1206" i="15"/>
  <c r="N1206" i="15" s="1" a="1"/>
  <c r="N1206" i="15" s="1"/>
  <c r="L1206" i="15"/>
  <c r="J1206" i="15"/>
  <c r="I1206" i="15"/>
  <c r="S1205" i="15"/>
  <c r="R1205" i="15"/>
  <c r="M1205" i="15"/>
  <c r="N1205" i="15" s="1" a="1"/>
  <c r="N1205" i="15" s="1"/>
  <c r="L1205" i="15"/>
  <c r="J1205" i="15"/>
  <c r="I1205" i="15"/>
  <c r="S1204" i="15"/>
  <c r="R1204" i="15"/>
  <c r="N1204" i="15" a="1"/>
  <c r="N1204" i="15" s="1"/>
  <c r="M1204" i="15"/>
  <c r="L1204" i="15"/>
  <c r="J1204" i="15"/>
  <c r="I1204" i="15"/>
  <c r="S1203" i="15"/>
  <c r="R1203" i="15"/>
  <c r="M1203" i="15"/>
  <c r="N1203" i="15" s="1" a="1"/>
  <c r="N1203" i="15" s="1"/>
  <c r="L1203" i="15"/>
  <c r="J1203" i="15"/>
  <c r="I1203" i="15"/>
  <c r="S1202" i="15"/>
  <c r="R1202" i="15"/>
  <c r="M1202" i="15"/>
  <c r="N1202" i="15" s="1" a="1"/>
  <c r="N1202" i="15" s="1"/>
  <c r="L1202" i="15"/>
  <c r="J1202" i="15"/>
  <c r="I1202" i="15"/>
  <c r="S1201" i="15"/>
  <c r="R1201" i="15"/>
  <c r="M1201" i="15"/>
  <c r="N1201" i="15" s="1" a="1"/>
  <c r="N1201" i="15" s="1"/>
  <c r="L1201" i="15"/>
  <c r="J1201" i="15"/>
  <c r="I1201" i="15"/>
  <c r="S1200" i="15"/>
  <c r="R1200" i="15"/>
  <c r="N1200" i="15" a="1"/>
  <c r="N1200" i="15" s="1"/>
  <c r="M1200" i="15"/>
  <c r="L1200" i="15"/>
  <c r="J1200" i="15"/>
  <c r="I1200" i="15"/>
  <c r="S1199" i="15"/>
  <c r="R1199" i="15"/>
  <c r="M1199" i="15"/>
  <c r="N1199" i="15" s="1" a="1"/>
  <c r="N1199" i="15" s="1"/>
  <c r="L1199" i="15"/>
  <c r="J1199" i="15"/>
  <c r="I1199" i="15"/>
  <c r="S1198" i="15"/>
  <c r="R1198" i="15"/>
  <c r="M1198" i="15"/>
  <c r="N1198" i="15" s="1" a="1"/>
  <c r="N1198" i="15" s="1"/>
  <c r="L1198" i="15"/>
  <c r="J1198" i="15"/>
  <c r="I1198" i="15"/>
  <c r="S1197" i="15"/>
  <c r="R1197" i="15"/>
  <c r="M1197" i="15"/>
  <c r="N1197" i="15" s="1" a="1"/>
  <c r="N1197" i="15" s="1"/>
  <c r="L1197" i="15"/>
  <c r="J1197" i="15"/>
  <c r="I1197" i="15"/>
  <c r="S1196" i="15"/>
  <c r="R1196" i="15"/>
  <c r="N1196" i="15" a="1"/>
  <c r="N1196" i="15" s="1"/>
  <c r="M1196" i="15"/>
  <c r="L1196" i="15"/>
  <c r="J1196" i="15"/>
  <c r="I1196" i="15"/>
  <c r="S1195" i="15"/>
  <c r="R1195" i="15"/>
  <c r="M1195" i="15"/>
  <c r="N1195" i="15" s="1" a="1"/>
  <c r="N1195" i="15" s="1"/>
  <c r="L1195" i="15"/>
  <c r="J1195" i="15"/>
  <c r="I1195" i="15"/>
  <c r="S1194" i="15"/>
  <c r="R1194" i="15"/>
  <c r="M1194" i="15"/>
  <c r="N1194" i="15" s="1" a="1"/>
  <c r="N1194" i="15" s="1"/>
  <c r="L1194" i="15"/>
  <c r="J1194" i="15"/>
  <c r="I1194" i="15"/>
  <c r="S1193" i="15"/>
  <c r="R1193" i="15"/>
  <c r="M1193" i="15"/>
  <c r="N1193" i="15" s="1" a="1"/>
  <c r="N1193" i="15" s="1"/>
  <c r="L1193" i="15"/>
  <c r="J1193" i="15"/>
  <c r="I1193" i="15"/>
  <c r="S1192" i="15"/>
  <c r="R1192" i="15"/>
  <c r="N1192" i="15" a="1"/>
  <c r="N1192" i="15" s="1"/>
  <c r="M1192" i="15"/>
  <c r="L1192" i="15"/>
  <c r="J1192" i="15"/>
  <c r="I1192" i="15"/>
  <c r="S1191" i="15"/>
  <c r="R1191" i="15"/>
  <c r="M1191" i="15"/>
  <c r="N1191" i="15" s="1" a="1"/>
  <c r="N1191" i="15" s="1"/>
  <c r="L1191" i="15"/>
  <c r="J1191" i="15"/>
  <c r="I1191" i="15"/>
  <c r="S1190" i="15"/>
  <c r="R1190" i="15"/>
  <c r="M1190" i="15"/>
  <c r="N1190" i="15" s="1" a="1"/>
  <c r="N1190" i="15" s="1"/>
  <c r="L1190" i="15"/>
  <c r="J1190" i="15"/>
  <c r="I1190" i="15"/>
  <c r="S1189" i="15"/>
  <c r="R1189" i="15"/>
  <c r="M1189" i="15"/>
  <c r="N1189" i="15" s="1" a="1"/>
  <c r="N1189" i="15" s="1"/>
  <c r="L1189" i="15"/>
  <c r="J1189" i="15"/>
  <c r="I1189" i="15"/>
  <c r="S1188" i="15"/>
  <c r="R1188" i="15"/>
  <c r="N1188" i="15" a="1"/>
  <c r="N1188" i="15" s="1"/>
  <c r="M1188" i="15"/>
  <c r="L1188" i="15"/>
  <c r="J1188" i="15"/>
  <c r="I1188" i="15"/>
  <c r="S1187" i="15"/>
  <c r="R1187" i="15"/>
  <c r="M1187" i="15"/>
  <c r="N1187" i="15" s="1" a="1"/>
  <c r="N1187" i="15" s="1"/>
  <c r="L1187" i="15"/>
  <c r="J1187" i="15"/>
  <c r="I1187" i="15"/>
  <c r="S1186" i="15"/>
  <c r="R1186" i="15"/>
  <c r="M1186" i="15"/>
  <c r="N1186" i="15" s="1" a="1"/>
  <c r="N1186" i="15" s="1"/>
  <c r="L1186" i="15"/>
  <c r="J1186" i="15"/>
  <c r="I1186" i="15"/>
  <c r="S1185" i="15"/>
  <c r="R1185" i="15"/>
  <c r="M1185" i="15"/>
  <c r="N1185" i="15" s="1" a="1"/>
  <c r="N1185" i="15" s="1"/>
  <c r="L1185" i="15"/>
  <c r="J1185" i="15"/>
  <c r="I1185" i="15"/>
  <c r="S1184" i="15"/>
  <c r="R1184" i="15"/>
  <c r="N1184" i="15" a="1"/>
  <c r="N1184" i="15" s="1"/>
  <c r="M1184" i="15"/>
  <c r="L1184" i="15"/>
  <c r="J1184" i="15"/>
  <c r="I1184" i="15"/>
  <c r="S1183" i="15"/>
  <c r="R1183" i="15"/>
  <c r="M1183" i="15"/>
  <c r="N1183" i="15" s="1" a="1"/>
  <c r="N1183" i="15" s="1"/>
  <c r="L1183" i="15"/>
  <c r="J1183" i="15"/>
  <c r="I1183" i="15"/>
  <c r="S1182" i="15"/>
  <c r="R1182" i="15"/>
  <c r="M1182" i="15"/>
  <c r="N1182" i="15" s="1" a="1"/>
  <c r="N1182" i="15" s="1"/>
  <c r="L1182" i="15"/>
  <c r="J1182" i="15"/>
  <c r="I1182" i="15"/>
  <c r="S1181" i="15"/>
  <c r="R1181" i="15"/>
  <c r="M1181" i="15"/>
  <c r="N1181" i="15" s="1" a="1"/>
  <c r="N1181" i="15" s="1"/>
  <c r="L1181" i="15"/>
  <c r="J1181" i="15"/>
  <c r="I1181" i="15"/>
  <c r="S1180" i="15"/>
  <c r="R1180" i="15"/>
  <c r="N1180" i="15" a="1"/>
  <c r="N1180" i="15" s="1"/>
  <c r="M1180" i="15"/>
  <c r="L1180" i="15"/>
  <c r="J1180" i="15"/>
  <c r="I1180" i="15"/>
  <c r="S1179" i="15"/>
  <c r="R1179" i="15"/>
  <c r="M1179" i="15"/>
  <c r="N1179" i="15" s="1" a="1"/>
  <c r="N1179" i="15" s="1"/>
  <c r="L1179" i="15"/>
  <c r="J1179" i="15"/>
  <c r="I1179" i="15"/>
  <c r="S1178" i="15"/>
  <c r="R1178" i="15"/>
  <c r="M1178" i="15"/>
  <c r="N1178" i="15" s="1" a="1"/>
  <c r="N1178" i="15" s="1"/>
  <c r="L1178" i="15"/>
  <c r="J1178" i="15"/>
  <c r="I1178" i="15"/>
  <c r="S1177" i="15"/>
  <c r="R1177" i="15"/>
  <c r="M1177" i="15"/>
  <c r="N1177" i="15" s="1" a="1"/>
  <c r="N1177" i="15" s="1"/>
  <c r="L1177" i="15"/>
  <c r="J1177" i="15"/>
  <c r="I1177" i="15"/>
  <c r="S1176" i="15"/>
  <c r="R1176" i="15"/>
  <c r="N1176" i="15" a="1"/>
  <c r="N1176" i="15" s="1"/>
  <c r="M1176" i="15"/>
  <c r="L1176" i="15"/>
  <c r="J1176" i="15"/>
  <c r="I1176" i="15"/>
  <c r="S1175" i="15"/>
  <c r="R1175" i="15"/>
  <c r="M1175" i="15"/>
  <c r="N1175" i="15" s="1" a="1"/>
  <c r="N1175" i="15" s="1"/>
  <c r="L1175" i="15"/>
  <c r="J1175" i="15"/>
  <c r="I1175" i="15"/>
  <c r="S1174" i="15"/>
  <c r="R1174" i="15"/>
  <c r="M1174" i="15"/>
  <c r="N1174" i="15" s="1" a="1"/>
  <c r="N1174" i="15" s="1"/>
  <c r="L1174" i="15"/>
  <c r="J1174" i="15"/>
  <c r="I1174" i="15"/>
  <c r="S1173" i="15"/>
  <c r="R1173" i="15"/>
  <c r="M1173" i="15"/>
  <c r="N1173" i="15" s="1" a="1"/>
  <c r="N1173" i="15" s="1"/>
  <c r="L1173" i="15"/>
  <c r="J1173" i="15"/>
  <c r="I1173" i="15"/>
  <c r="S1172" i="15"/>
  <c r="R1172" i="15"/>
  <c r="N1172" i="15" a="1"/>
  <c r="N1172" i="15" s="1"/>
  <c r="M1172" i="15"/>
  <c r="L1172" i="15"/>
  <c r="J1172" i="15"/>
  <c r="I1172" i="15"/>
  <c r="S1171" i="15"/>
  <c r="R1171" i="15"/>
  <c r="M1171" i="15"/>
  <c r="N1171" i="15" s="1" a="1"/>
  <c r="N1171" i="15" s="1"/>
  <c r="L1171" i="15"/>
  <c r="J1171" i="15"/>
  <c r="I1171" i="15"/>
  <c r="S1170" i="15"/>
  <c r="R1170" i="15"/>
  <c r="M1170" i="15"/>
  <c r="N1170" i="15" s="1" a="1"/>
  <c r="N1170" i="15" s="1"/>
  <c r="L1170" i="15"/>
  <c r="J1170" i="15"/>
  <c r="I1170" i="15"/>
  <c r="S1169" i="15"/>
  <c r="R1169" i="15"/>
  <c r="M1169" i="15"/>
  <c r="N1169" i="15" s="1" a="1"/>
  <c r="N1169" i="15" s="1"/>
  <c r="L1169" i="15"/>
  <c r="J1169" i="15"/>
  <c r="I1169" i="15"/>
  <c r="S1168" i="15"/>
  <c r="R1168" i="15"/>
  <c r="N1168" i="15" a="1"/>
  <c r="N1168" i="15" s="1"/>
  <c r="M1168" i="15"/>
  <c r="L1168" i="15"/>
  <c r="J1168" i="15"/>
  <c r="I1168" i="15"/>
  <c r="S1167" i="15"/>
  <c r="R1167" i="15"/>
  <c r="M1167" i="15"/>
  <c r="N1167" i="15" s="1" a="1"/>
  <c r="N1167" i="15" s="1"/>
  <c r="L1167" i="15"/>
  <c r="J1167" i="15"/>
  <c r="I1167" i="15"/>
  <c r="S1166" i="15"/>
  <c r="R1166" i="15"/>
  <c r="M1166" i="15"/>
  <c r="N1166" i="15" s="1" a="1"/>
  <c r="N1166" i="15" s="1"/>
  <c r="L1166" i="15"/>
  <c r="J1166" i="15"/>
  <c r="I1166" i="15"/>
  <c r="S1165" i="15"/>
  <c r="R1165" i="15"/>
  <c r="M1165" i="15"/>
  <c r="N1165" i="15" s="1" a="1"/>
  <c r="N1165" i="15" s="1"/>
  <c r="L1165" i="15"/>
  <c r="J1165" i="15"/>
  <c r="I1165" i="15"/>
  <c r="S1164" i="15"/>
  <c r="R1164" i="15"/>
  <c r="N1164" i="15" a="1"/>
  <c r="N1164" i="15" s="1"/>
  <c r="M1164" i="15"/>
  <c r="L1164" i="15"/>
  <c r="J1164" i="15"/>
  <c r="I1164" i="15"/>
  <c r="S1163" i="15"/>
  <c r="R1163" i="15"/>
  <c r="M1163" i="15"/>
  <c r="N1163" i="15" s="1" a="1"/>
  <c r="N1163" i="15" s="1"/>
  <c r="L1163" i="15"/>
  <c r="J1163" i="15"/>
  <c r="I1163" i="15"/>
  <c r="S1162" i="15"/>
  <c r="R1162" i="15"/>
  <c r="M1162" i="15"/>
  <c r="N1162" i="15" s="1" a="1"/>
  <c r="N1162" i="15" s="1"/>
  <c r="L1162" i="15"/>
  <c r="J1162" i="15"/>
  <c r="I1162" i="15"/>
  <c r="S1161" i="15"/>
  <c r="R1161" i="15"/>
  <c r="M1161" i="15"/>
  <c r="N1161" i="15" s="1" a="1"/>
  <c r="N1161" i="15" s="1"/>
  <c r="L1161" i="15"/>
  <c r="J1161" i="15"/>
  <c r="I1161" i="15"/>
  <c r="S1160" i="15"/>
  <c r="R1160" i="15"/>
  <c r="N1160" i="15" a="1"/>
  <c r="N1160" i="15" s="1"/>
  <c r="M1160" i="15"/>
  <c r="L1160" i="15"/>
  <c r="J1160" i="15"/>
  <c r="I1160" i="15"/>
  <c r="E1160" i="15"/>
  <c r="D1160" i="15"/>
  <c r="S1159" i="15"/>
  <c r="R1159" i="15"/>
  <c r="N1159" i="15" a="1"/>
  <c r="N1159" i="15" s="1"/>
  <c r="M1159" i="15"/>
  <c r="L1159" i="15"/>
  <c r="J1159" i="15"/>
  <c r="I1159" i="15"/>
  <c r="E1159" i="15"/>
  <c r="D1159" i="15"/>
  <c r="S1158" i="15"/>
  <c r="R1158" i="15"/>
  <c r="N1158" i="15" a="1"/>
  <c r="N1158" i="15" s="1"/>
  <c r="M1158" i="15"/>
  <c r="L1158" i="15"/>
  <c r="J1158" i="15"/>
  <c r="I1158" i="15"/>
  <c r="E1158" i="15"/>
  <c r="D1158" i="15"/>
  <c r="S1157" i="15"/>
  <c r="R1157" i="15"/>
  <c r="N1157" i="15"/>
  <c r="N1157" i="15" a="1"/>
  <c r="M1157" i="15"/>
  <c r="L1157" i="15"/>
  <c r="J1157" i="15"/>
  <c r="I1157" i="15"/>
  <c r="E1157" i="15"/>
  <c r="D1157" i="15"/>
  <c r="S1156" i="15"/>
  <c r="R1156" i="15"/>
  <c r="M1156" i="15"/>
  <c r="N1156" i="15" s="1" a="1"/>
  <c r="N1156" i="15" s="1"/>
  <c r="L1156" i="15"/>
  <c r="J1156" i="15"/>
  <c r="I1156" i="15"/>
  <c r="E1156" i="15"/>
  <c r="D1156" i="15"/>
  <c r="S1155" i="15"/>
  <c r="R1155" i="15"/>
  <c r="N1155" i="15" a="1"/>
  <c r="N1155" i="15" s="1"/>
  <c r="M1155" i="15"/>
  <c r="L1155" i="15"/>
  <c r="J1155" i="15"/>
  <c r="I1155" i="15"/>
  <c r="E1155" i="15"/>
  <c r="D1155" i="15"/>
  <c r="S1154" i="15"/>
  <c r="R1154" i="15"/>
  <c r="M1154" i="15"/>
  <c r="N1154" i="15" s="1" a="1"/>
  <c r="N1154" i="15" s="1"/>
  <c r="L1154" i="15"/>
  <c r="J1154" i="15"/>
  <c r="I1154" i="15"/>
  <c r="E1154" i="15"/>
  <c r="D1154" i="15"/>
  <c r="S1153" i="15"/>
  <c r="R1153" i="15"/>
  <c r="N1153" i="15" a="1"/>
  <c r="N1153" i="15" s="1"/>
  <c r="M1153" i="15"/>
  <c r="L1153" i="15"/>
  <c r="J1153" i="15"/>
  <c r="I1153" i="15"/>
  <c r="E1153" i="15"/>
  <c r="D1153" i="15"/>
  <c r="S1152" i="15"/>
  <c r="R1152" i="15"/>
  <c r="N1152" i="15" a="1"/>
  <c r="N1152" i="15" s="1"/>
  <c r="M1152" i="15"/>
  <c r="L1152" i="15"/>
  <c r="J1152" i="15"/>
  <c r="I1152" i="15"/>
  <c r="E1152" i="15"/>
  <c r="D1152" i="15"/>
  <c r="S1151" i="15"/>
  <c r="R1151" i="15"/>
  <c r="N1151" i="15" a="1"/>
  <c r="N1151" i="15" s="1"/>
  <c r="M1151" i="15"/>
  <c r="L1151" i="15"/>
  <c r="J1151" i="15"/>
  <c r="I1151" i="15"/>
  <c r="E1151" i="15"/>
  <c r="D1151" i="15"/>
  <c r="S1150" i="15"/>
  <c r="R1150" i="15"/>
  <c r="N1150" i="15" a="1"/>
  <c r="N1150" i="15" s="1"/>
  <c r="M1150" i="15"/>
  <c r="L1150" i="15"/>
  <c r="J1150" i="15"/>
  <c r="I1150" i="15"/>
  <c r="E1150" i="15"/>
  <c r="D1150" i="15"/>
  <c r="S1149" i="15"/>
  <c r="R1149" i="15"/>
  <c r="N1149" i="15"/>
  <c r="N1149" i="15" a="1"/>
  <c r="M1149" i="15"/>
  <c r="L1149" i="15"/>
  <c r="J1149" i="15"/>
  <c r="I1149" i="15"/>
  <c r="E1149" i="15"/>
  <c r="D1149" i="15"/>
  <c r="S1148" i="15"/>
  <c r="R1148" i="15"/>
  <c r="M1148" i="15"/>
  <c r="N1148" i="15" s="1" a="1"/>
  <c r="N1148" i="15" s="1"/>
  <c r="L1148" i="15"/>
  <c r="J1148" i="15"/>
  <c r="I1148" i="15"/>
  <c r="E1148" i="15"/>
  <c r="D1148" i="15"/>
  <c r="S1147" i="15"/>
  <c r="R1147" i="15"/>
  <c r="N1147" i="15"/>
  <c r="N1147" i="15" a="1"/>
  <c r="M1147" i="15"/>
  <c r="L1147" i="15"/>
  <c r="J1147" i="15"/>
  <c r="I1147" i="15"/>
  <c r="E1147" i="15"/>
  <c r="D1147" i="15"/>
  <c r="S1146" i="15"/>
  <c r="R1146" i="15"/>
  <c r="M1146" i="15"/>
  <c r="N1146" i="15" s="1" a="1"/>
  <c r="N1146" i="15" s="1"/>
  <c r="L1146" i="15"/>
  <c r="J1146" i="15"/>
  <c r="I1146" i="15"/>
  <c r="E1146" i="15"/>
  <c r="D1146" i="15"/>
  <c r="S1145" i="15"/>
  <c r="R1145" i="15"/>
  <c r="N1145" i="15"/>
  <c r="N1145" i="15" a="1"/>
  <c r="M1145" i="15"/>
  <c r="L1145" i="15"/>
  <c r="J1145" i="15"/>
  <c r="I1145" i="15"/>
  <c r="E1145" i="15"/>
  <c r="D1145" i="15"/>
  <c r="S1144" i="15"/>
  <c r="R1144" i="15"/>
  <c r="N1144" i="15" a="1"/>
  <c r="N1144" i="15" s="1"/>
  <c r="M1144" i="15"/>
  <c r="L1144" i="15"/>
  <c r="J1144" i="15"/>
  <c r="I1144" i="15"/>
  <c r="E1144" i="15"/>
  <c r="D1144" i="15"/>
  <c r="S1143" i="15"/>
  <c r="R1143" i="15"/>
  <c r="N1143" i="15" a="1"/>
  <c r="N1143" i="15" s="1"/>
  <c r="M1143" i="15"/>
  <c r="L1143" i="15"/>
  <c r="J1143" i="15"/>
  <c r="I1143" i="15"/>
  <c r="E1143" i="15"/>
  <c r="D1143" i="15"/>
  <c r="S1142" i="15"/>
  <c r="R1142" i="15"/>
  <c r="N1142" i="15" a="1"/>
  <c r="N1142" i="15" s="1"/>
  <c r="M1142" i="15"/>
  <c r="L1142" i="15"/>
  <c r="J1142" i="15"/>
  <c r="I1142" i="15"/>
  <c r="E1142" i="15"/>
  <c r="D1142" i="15"/>
  <c r="S1141" i="15"/>
  <c r="R1141" i="15"/>
  <c r="N1141" i="15"/>
  <c r="N1141" i="15" a="1"/>
  <c r="M1141" i="15"/>
  <c r="L1141" i="15"/>
  <c r="J1141" i="15"/>
  <c r="I1141" i="15"/>
  <c r="E1141" i="15"/>
  <c r="D1141" i="15"/>
  <c r="S1140" i="15"/>
  <c r="R1140" i="15"/>
  <c r="M1140" i="15"/>
  <c r="N1140" i="15" s="1" a="1"/>
  <c r="N1140" i="15" s="1"/>
  <c r="L1140" i="15"/>
  <c r="J1140" i="15"/>
  <c r="I1140" i="15"/>
  <c r="E1140" i="15"/>
  <c r="D1140" i="15"/>
  <c r="S1139" i="15"/>
  <c r="R1139" i="15"/>
  <c r="N1139" i="15"/>
  <c r="N1139" i="15" a="1"/>
  <c r="M1139" i="15"/>
  <c r="L1139" i="15"/>
  <c r="J1139" i="15"/>
  <c r="I1139" i="15"/>
  <c r="E1139" i="15"/>
  <c r="D1139" i="15"/>
  <c r="S1138" i="15"/>
  <c r="R1138" i="15"/>
  <c r="M1138" i="15"/>
  <c r="N1138" i="15" s="1" a="1"/>
  <c r="N1138" i="15" s="1"/>
  <c r="L1138" i="15"/>
  <c r="J1138" i="15"/>
  <c r="I1138" i="15"/>
  <c r="E1138" i="15"/>
  <c r="D1138" i="15"/>
  <c r="S1137" i="15"/>
  <c r="R1137" i="15"/>
  <c r="N1137" i="15"/>
  <c r="N1137" i="15" a="1"/>
  <c r="M1137" i="15"/>
  <c r="L1137" i="15"/>
  <c r="J1137" i="15"/>
  <c r="I1137" i="15"/>
  <c r="E1137" i="15"/>
  <c r="D1137" i="15"/>
  <c r="S1136" i="15"/>
  <c r="R1136" i="15"/>
  <c r="N1136" i="15" a="1"/>
  <c r="N1136" i="15" s="1"/>
  <c r="M1136" i="15"/>
  <c r="L1136" i="15"/>
  <c r="J1136" i="15"/>
  <c r="I1136" i="15"/>
  <c r="E1136" i="15"/>
  <c r="D1136" i="15"/>
  <c r="S1135" i="15"/>
  <c r="R1135" i="15"/>
  <c r="N1135" i="15" a="1"/>
  <c r="N1135" i="15" s="1"/>
  <c r="M1135" i="15"/>
  <c r="L1135" i="15"/>
  <c r="J1135" i="15"/>
  <c r="I1135" i="15"/>
  <c r="E1135" i="15"/>
  <c r="D1135" i="15"/>
  <c r="S1134" i="15"/>
  <c r="R1134" i="15"/>
  <c r="N1134" i="15" a="1"/>
  <c r="N1134" i="15" s="1"/>
  <c r="M1134" i="15"/>
  <c r="L1134" i="15"/>
  <c r="J1134" i="15"/>
  <c r="I1134" i="15"/>
  <c r="E1134" i="15"/>
  <c r="D1134" i="15"/>
  <c r="S1133" i="15"/>
  <c r="R1133" i="15"/>
  <c r="N1133" i="15"/>
  <c r="N1133" i="15" a="1"/>
  <c r="M1133" i="15"/>
  <c r="L1133" i="15"/>
  <c r="J1133" i="15"/>
  <c r="I1133" i="15"/>
  <c r="E1133" i="15"/>
  <c r="D1133" i="15"/>
  <c r="S1132" i="15"/>
  <c r="R1132" i="15"/>
  <c r="M1132" i="15"/>
  <c r="N1132" i="15" s="1" a="1"/>
  <c r="N1132" i="15" s="1"/>
  <c r="L1132" i="15"/>
  <c r="J1132" i="15"/>
  <c r="I1132" i="15"/>
  <c r="E1132" i="15"/>
  <c r="D1132" i="15"/>
  <c r="S1131" i="15"/>
  <c r="R1131" i="15"/>
  <c r="N1131" i="15"/>
  <c r="N1131" i="15" a="1"/>
  <c r="M1131" i="15"/>
  <c r="L1131" i="15"/>
  <c r="J1131" i="15"/>
  <c r="I1131" i="15"/>
  <c r="E1131" i="15"/>
  <c r="D1131" i="15"/>
  <c r="S1130" i="15"/>
  <c r="R1130" i="15"/>
  <c r="N1130" i="15" a="1"/>
  <c r="N1130" i="15" s="1"/>
  <c r="M1130" i="15"/>
  <c r="L1130" i="15"/>
  <c r="J1130" i="15"/>
  <c r="I1130" i="15"/>
  <c r="E1130" i="15"/>
  <c r="D1130" i="15"/>
  <c r="S1129" i="15"/>
  <c r="R1129" i="15"/>
  <c r="N1129" i="15" a="1"/>
  <c r="N1129" i="15" s="1"/>
  <c r="M1129" i="15"/>
  <c r="L1129" i="15"/>
  <c r="J1129" i="15"/>
  <c r="I1129" i="15"/>
  <c r="E1129" i="15"/>
  <c r="D1129" i="15"/>
  <c r="S1128" i="15"/>
  <c r="R1128" i="15"/>
  <c r="M1128" i="15"/>
  <c r="N1128" i="15" s="1" a="1"/>
  <c r="N1128" i="15" s="1"/>
  <c r="L1128" i="15"/>
  <c r="J1128" i="15"/>
  <c r="I1128" i="15"/>
  <c r="E1128" i="15"/>
  <c r="D1128" i="15"/>
  <c r="S1127" i="15"/>
  <c r="R1127" i="15"/>
  <c r="N1127" i="15"/>
  <c r="N1127" i="15" a="1"/>
  <c r="M1127" i="15"/>
  <c r="L1127" i="15"/>
  <c r="J1127" i="15"/>
  <c r="I1127" i="15"/>
  <c r="E1127" i="15"/>
  <c r="D1127" i="15"/>
  <c r="S1126" i="15"/>
  <c r="R1126" i="15"/>
  <c r="N1126" i="15" a="1"/>
  <c r="N1126" i="15" s="1"/>
  <c r="M1126" i="15"/>
  <c r="L1126" i="15"/>
  <c r="J1126" i="15"/>
  <c r="I1126" i="15"/>
  <c r="E1126" i="15"/>
  <c r="D1126" i="15"/>
  <c r="S1125" i="15"/>
  <c r="R1125" i="15"/>
  <c r="N1125" i="15" a="1"/>
  <c r="N1125" i="15" s="1"/>
  <c r="M1125" i="15"/>
  <c r="L1125" i="15"/>
  <c r="J1125" i="15"/>
  <c r="I1125" i="15"/>
  <c r="E1125" i="15"/>
  <c r="D1125" i="15"/>
  <c r="S1124" i="15"/>
  <c r="R1124" i="15"/>
  <c r="M1124" i="15"/>
  <c r="N1124" i="15" s="1" a="1"/>
  <c r="N1124" i="15" s="1"/>
  <c r="L1124" i="15"/>
  <c r="J1124" i="15"/>
  <c r="I1124" i="15"/>
  <c r="E1124" i="15"/>
  <c r="D1124" i="15"/>
  <c r="S1123" i="15"/>
  <c r="R1123" i="15"/>
  <c r="N1123" i="15"/>
  <c r="N1123" i="15" a="1"/>
  <c r="M1123" i="15"/>
  <c r="L1123" i="15"/>
  <c r="J1123" i="15"/>
  <c r="I1123" i="15"/>
  <c r="E1123" i="15"/>
  <c r="D1123" i="15"/>
  <c r="S1122" i="15"/>
  <c r="R1122" i="15"/>
  <c r="N1122" i="15" a="1"/>
  <c r="N1122" i="15" s="1"/>
  <c r="M1122" i="15"/>
  <c r="L1122" i="15"/>
  <c r="J1122" i="15"/>
  <c r="I1122" i="15"/>
  <c r="E1122" i="15"/>
  <c r="D1122" i="15"/>
  <c r="S1121" i="15"/>
  <c r="R1121" i="15"/>
  <c r="N1121" i="15" a="1"/>
  <c r="N1121" i="15" s="1"/>
  <c r="M1121" i="15"/>
  <c r="L1121" i="15"/>
  <c r="J1121" i="15"/>
  <c r="I1121" i="15"/>
  <c r="E1121" i="15"/>
  <c r="D1121" i="15"/>
  <c r="S1120" i="15"/>
  <c r="R1120" i="15"/>
  <c r="M1120" i="15"/>
  <c r="N1120" i="15" s="1" a="1"/>
  <c r="N1120" i="15" s="1"/>
  <c r="L1120" i="15"/>
  <c r="J1120" i="15"/>
  <c r="I1120" i="15"/>
  <c r="E1120" i="15"/>
  <c r="D1120" i="15"/>
  <c r="S1119" i="15"/>
  <c r="R1119" i="15"/>
  <c r="N1119" i="15"/>
  <c r="N1119" i="15" a="1"/>
  <c r="M1119" i="15"/>
  <c r="L1119" i="15"/>
  <c r="J1119" i="15"/>
  <c r="I1119" i="15"/>
  <c r="E1119" i="15"/>
  <c r="D1119" i="15"/>
  <c r="S1118" i="15"/>
  <c r="R1118" i="15"/>
  <c r="N1118" i="15" a="1"/>
  <c r="N1118" i="15" s="1"/>
  <c r="M1118" i="15"/>
  <c r="L1118" i="15"/>
  <c r="J1118" i="15"/>
  <c r="I1118" i="15"/>
  <c r="E1118" i="15"/>
  <c r="D1118" i="15"/>
  <c r="S1117" i="15"/>
  <c r="R1117" i="15"/>
  <c r="N1117" i="15" a="1"/>
  <c r="N1117" i="15" s="1"/>
  <c r="M1117" i="15"/>
  <c r="L1117" i="15"/>
  <c r="J1117" i="15"/>
  <c r="I1117" i="15"/>
  <c r="E1117" i="15"/>
  <c r="D1117" i="15"/>
  <c r="S1116" i="15"/>
  <c r="R1116" i="15"/>
  <c r="M1116" i="15"/>
  <c r="N1116" i="15" s="1" a="1"/>
  <c r="N1116" i="15" s="1"/>
  <c r="L1116" i="15"/>
  <c r="J1116" i="15"/>
  <c r="I1116" i="15"/>
  <c r="E1116" i="15"/>
  <c r="D1116" i="15"/>
  <c r="S1115" i="15"/>
  <c r="R1115" i="15"/>
  <c r="N1115" i="15"/>
  <c r="N1115" i="15" a="1"/>
  <c r="M1115" i="15"/>
  <c r="L1115" i="15"/>
  <c r="J1115" i="15"/>
  <c r="I1115" i="15"/>
  <c r="E1115" i="15"/>
  <c r="D1115" i="15"/>
  <c r="S1114" i="15"/>
  <c r="R1114" i="15"/>
  <c r="N1114" i="15" a="1"/>
  <c r="N1114" i="15" s="1"/>
  <c r="M1114" i="15"/>
  <c r="L1114" i="15"/>
  <c r="J1114" i="15"/>
  <c r="I1114" i="15"/>
  <c r="E1114" i="15"/>
  <c r="D1114" i="15"/>
  <c r="S1113" i="15"/>
  <c r="R1113" i="15"/>
  <c r="N1113" i="15" a="1"/>
  <c r="N1113" i="15" s="1"/>
  <c r="M1113" i="15"/>
  <c r="L1113" i="15"/>
  <c r="J1113" i="15"/>
  <c r="I1113" i="15"/>
  <c r="E1113" i="15"/>
  <c r="D1113" i="15"/>
  <c r="S1112" i="15"/>
  <c r="R1112" i="15"/>
  <c r="M1112" i="15"/>
  <c r="N1112" i="15" s="1" a="1"/>
  <c r="N1112" i="15" s="1"/>
  <c r="L1112" i="15"/>
  <c r="J1112" i="15"/>
  <c r="I1112" i="15"/>
  <c r="E1112" i="15"/>
  <c r="D1112" i="15"/>
  <c r="S1111" i="15"/>
  <c r="R1111" i="15"/>
  <c r="N1111" i="15"/>
  <c r="N1111" i="15" a="1"/>
  <c r="M1111" i="15"/>
  <c r="L1111" i="15"/>
  <c r="J1111" i="15"/>
  <c r="I1111" i="15"/>
  <c r="E1111" i="15"/>
  <c r="D1111" i="15"/>
  <c r="S1110" i="15"/>
  <c r="R1110" i="15"/>
  <c r="N1110" i="15" a="1"/>
  <c r="N1110" i="15" s="1"/>
  <c r="M1110" i="15"/>
  <c r="L1110" i="15"/>
  <c r="J1110" i="15"/>
  <c r="I1110" i="15"/>
  <c r="E1110" i="15"/>
  <c r="D1110" i="15"/>
  <c r="S1109" i="15"/>
  <c r="R1109" i="15"/>
  <c r="N1109" i="15" a="1"/>
  <c r="N1109" i="15" s="1"/>
  <c r="M1109" i="15"/>
  <c r="L1109" i="15"/>
  <c r="J1109" i="15"/>
  <c r="I1109" i="15"/>
  <c r="E1109" i="15"/>
  <c r="D1109" i="15"/>
  <c r="S1108" i="15"/>
  <c r="R1108" i="15"/>
  <c r="M1108" i="15"/>
  <c r="N1108" i="15" s="1" a="1"/>
  <c r="N1108" i="15" s="1"/>
  <c r="L1108" i="15"/>
  <c r="J1108" i="15"/>
  <c r="I1108" i="15"/>
  <c r="E1108" i="15"/>
  <c r="D1108" i="15"/>
  <c r="S1107" i="15"/>
  <c r="R1107" i="15"/>
  <c r="N1107" i="15"/>
  <c r="N1107" i="15" a="1"/>
  <c r="M1107" i="15"/>
  <c r="L1107" i="15"/>
  <c r="J1107" i="15"/>
  <c r="I1107" i="15"/>
  <c r="E1107" i="15"/>
  <c r="D1107" i="15"/>
  <c r="S1106" i="15"/>
  <c r="R1106" i="15"/>
  <c r="N1106" i="15" a="1"/>
  <c r="N1106" i="15" s="1"/>
  <c r="M1106" i="15"/>
  <c r="L1106" i="15"/>
  <c r="J1106" i="15"/>
  <c r="I1106" i="15"/>
  <c r="E1106" i="15"/>
  <c r="D1106" i="15"/>
  <c r="S1105" i="15"/>
  <c r="R1105" i="15"/>
  <c r="N1105" i="15" a="1"/>
  <c r="N1105" i="15" s="1"/>
  <c r="M1105" i="15"/>
  <c r="L1105" i="15"/>
  <c r="J1105" i="15"/>
  <c r="I1105" i="15"/>
  <c r="E1105" i="15"/>
  <c r="D1105" i="15"/>
  <c r="S1104" i="15"/>
  <c r="R1104" i="15"/>
  <c r="M1104" i="15"/>
  <c r="N1104" i="15" s="1" a="1"/>
  <c r="N1104" i="15" s="1"/>
  <c r="L1104" i="15"/>
  <c r="J1104" i="15"/>
  <c r="I1104" i="15"/>
  <c r="E1104" i="15"/>
  <c r="D1104" i="15"/>
  <c r="S1103" i="15"/>
  <c r="R1103" i="15"/>
  <c r="N1103" i="15"/>
  <c r="N1103" i="15" a="1"/>
  <c r="M1103" i="15"/>
  <c r="L1103" i="15"/>
  <c r="J1103" i="15"/>
  <c r="I1103" i="15"/>
  <c r="E1103" i="15"/>
  <c r="D1103" i="15"/>
  <c r="S1102" i="15"/>
  <c r="R1102" i="15"/>
  <c r="N1102" i="15" a="1"/>
  <c r="N1102" i="15" s="1"/>
  <c r="M1102" i="15"/>
  <c r="L1102" i="15"/>
  <c r="J1102" i="15"/>
  <c r="I1102" i="15"/>
  <c r="E1102" i="15"/>
  <c r="D1102" i="15"/>
  <c r="S1101" i="15"/>
  <c r="R1101" i="15"/>
  <c r="N1101" i="15" a="1"/>
  <c r="N1101" i="15" s="1"/>
  <c r="M1101" i="15"/>
  <c r="L1101" i="15"/>
  <c r="J1101" i="15"/>
  <c r="I1101" i="15"/>
  <c r="E1101" i="15"/>
  <c r="D1101" i="15"/>
  <c r="S1100" i="15"/>
  <c r="R1100" i="15"/>
  <c r="M1100" i="15"/>
  <c r="N1100" i="15" s="1" a="1"/>
  <c r="N1100" i="15" s="1"/>
  <c r="L1100" i="15"/>
  <c r="J1100" i="15"/>
  <c r="I1100" i="15"/>
  <c r="E1100" i="15"/>
  <c r="D1100" i="15"/>
  <c r="S1099" i="15"/>
  <c r="R1099" i="15"/>
  <c r="N1099" i="15"/>
  <c r="N1099" i="15" a="1"/>
  <c r="M1099" i="15"/>
  <c r="L1099" i="15"/>
  <c r="J1099" i="15"/>
  <c r="I1099" i="15"/>
  <c r="E1099" i="15"/>
  <c r="D1099" i="15"/>
  <c r="S1098" i="15"/>
  <c r="R1098" i="15"/>
  <c r="N1098" i="15" a="1"/>
  <c r="N1098" i="15" s="1"/>
  <c r="M1098" i="15"/>
  <c r="L1098" i="15"/>
  <c r="J1098" i="15"/>
  <c r="I1098" i="15"/>
  <c r="E1098" i="15"/>
  <c r="D1098" i="15"/>
  <c r="S1097" i="15"/>
  <c r="R1097" i="15"/>
  <c r="N1097" i="15" a="1"/>
  <c r="N1097" i="15" s="1"/>
  <c r="M1097" i="15"/>
  <c r="L1097" i="15"/>
  <c r="J1097" i="15"/>
  <c r="I1097" i="15"/>
  <c r="E1097" i="15"/>
  <c r="D1097" i="15"/>
  <c r="S1096" i="15"/>
  <c r="R1096" i="15"/>
  <c r="M1096" i="15"/>
  <c r="N1096" i="15" s="1" a="1"/>
  <c r="N1096" i="15" s="1"/>
  <c r="L1096" i="15"/>
  <c r="J1096" i="15"/>
  <c r="I1096" i="15"/>
  <c r="E1096" i="15"/>
  <c r="D1096" i="15"/>
  <c r="S1095" i="15"/>
  <c r="R1095" i="15"/>
  <c r="N1095" i="15"/>
  <c r="N1095" i="15" a="1"/>
  <c r="M1095" i="15"/>
  <c r="L1095" i="15"/>
  <c r="J1095" i="15"/>
  <c r="I1095" i="15"/>
  <c r="E1095" i="15"/>
  <c r="D1095" i="15"/>
  <c r="S1094" i="15"/>
  <c r="R1094" i="15"/>
  <c r="N1094" i="15" a="1"/>
  <c r="N1094" i="15" s="1"/>
  <c r="M1094" i="15"/>
  <c r="L1094" i="15"/>
  <c r="J1094" i="15"/>
  <c r="I1094" i="15"/>
  <c r="E1094" i="15"/>
  <c r="D1094" i="15"/>
  <c r="S1093" i="15"/>
  <c r="R1093" i="15"/>
  <c r="N1093" i="15" a="1"/>
  <c r="N1093" i="15" s="1"/>
  <c r="M1093" i="15"/>
  <c r="L1093" i="15"/>
  <c r="J1093" i="15"/>
  <c r="I1093" i="15"/>
  <c r="E1093" i="15"/>
  <c r="D1093" i="15"/>
  <c r="S1092" i="15"/>
  <c r="R1092" i="15"/>
  <c r="M1092" i="15"/>
  <c r="N1092" i="15" s="1" a="1"/>
  <c r="N1092" i="15" s="1"/>
  <c r="L1092" i="15"/>
  <c r="J1092" i="15"/>
  <c r="I1092" i="15"/>
  <c r="E1092" i="15"/>
  <c r="D1092" i="15"/>
  <c r="S1091" i="15"/>
  <c r="R1091" i="15"/>
  <c r="N1091" i="15"/>
  <c r="N1091" i="15" a="1"/>
  <c r="M1091" i="15"/>
  <c r="L1091" i="15"/>
  <c r="J1091" i="15"/>
  <c r="I1091" i="15"/>
  <c r="E1091" i="15"/>
  <c r="D1091" i="15"/>
  <c r="S1090" i="15"/>
  <c r="R1090" i="15"/>
  <c r="N1090" i="15" a="1"/>
  <c r="N1090" i="15" s="1"/>
  <c r="M1090" i="15"/>
  <c r="L1090" i="15"/>
  <c r="J1090" i="15"/>
  <c r="I1090" i="15"/>
  <c r="E1090" i="15"/>
  <c r="D1090" i="15"/>
  <c r="S1089" i="15"/>
  <c r="R1089" i="15"/>
  <c r="N1089" i="15" a="1"/>
  <c r="N1089" i="15" s="1"/>
  <c r="M1089" i="15"/>
  <c r="L1089" i="15"/>
  <c r="J1089" i="15"/>
  <c r="I1089" i="15"/>
  <c r="E1089" i="15"/>
  <c r="D1089" i="15"/>
  <c r="S1088" i="15"/>
  <c r="R1088" i="15"/>
  <c r="M1088" i="15"/>
  <c r="N1088" i="15" s="1" a="1"/>
  <c r="N1088" i="15" s="1"/>
  <c r="L1088" i="15"/>
  <c r="J1088" i="15"/>
  <c r="I1088" i="15"/>
  <c r="E1088" i="15"/>
  <c r="D1088" i="15"/>
  <c r="S1087" i="15"/>
  <c r="R1087" i="15"/>
  <c r="N1087" i="15"/>
  <c r="N1087" i="15" a="1"/>
  <c r="M1087" i="15"/>
  <c r="L1087" i="15"/>
  <c r="J1087" i="15"/>
  <c r="I1087" i="15"/>
  <c r="E1087" i="15"/>
  <c r="D1087" i="15"/>
  <c r="S1086" i="15"/>
  <c r="R1086" i="15"/>
  <c r="N1086" i="15" a="1"/>
  <c r="N1086" i="15" s="1"/>
  <c r="M1086" i="15"/>
  <c r="L1086" i="15"/>
  <c r="J1086" i="15"/>
  <c r="I1086" i="15"/>
  <c r="E1086" i="15"/>
  <c r="D1086" i="15"/>
  <c r="S1085" i="15"/>
  <c r="R1085" i="15"/>
  <c r="N1085" i="15" a="1"/>
  <c r="N1085" i="15" s="1"/>
  <c r="M1085" i="15"/>
  <c r="L1085" i="15"/>
  <c r="J1085" i="15"/>
  <c r="I1085" i="15"/>
  <c r="E1085" i="15"/>
  <c r="D1085" i="15"/>
  <c r="S1084" i="15"/>
  <c r="R1084" i="15"/>
  <c r="M1084" i="15"/>
  <c r="N1084" i="15" s="1" a="1"/>
  <c r="N1084" i="15" s="1"/>
  <c r="L1084" i="15"/>
  <c r="J1084" i="15"/>
  <c r="I1084" i="15"/>
  <c r="E1084" i="15"/>
  <c r="D1084" i="15"/>
  <c r="S1083" i="15"/>
  <c r="R1083" i="15"/>
  <c r="N1083" i="15"/>
  <c r="N1083" i="15" a="1"/>
  <c r="M1083" i="15"/>
  <c r="L1083" i="15"/>
  <c r="J1083" i="15"/>
  <c r="I1083" i="15"/>
  <c r="E1083" i="15"/>
  <c r="D1083" i="15"/>
  <c r="S1082" i="15"/>
  <c r="R1082" i="15"/>
  <c r="N1082" i="15" a="1"/>
  <c r="N1082" i="15" s="1"/>
  <c r="M1082" i="15"/>
  <c r="L1082" i="15"/>
  <c r="J1082" i="15"/>
  <c r="I1082" i="15"/>
  <c r="E1082" i="15"/>
  <c r="D1082" i="15"/>
  <c r="S1081" i="15"/>
  <c r="R1081" i="15"/>
  <c r="N1081" i="15" a="1"/>
  <c r="N1081" i="15" s="1"/>
  <c r="M1081" i="15"/>
  <c r="L1081" i="15"/>
  <c r="J1081" i="15"/>
  <c r="I1081" i="15"/>
  <c r="E1081" i="15"/>
  <c r="D1081" i="15"/>
  <c r="S1080" i="15"/>
  <c r="R1080" i="15"/>
  <c r="M1080" i="15"/>
  <c r="N1080" i="15" s="1" a="1"/>
  <c r="N1080" i="15" s="1"/>
  <c r="L1080" i="15"/>
  <c r="J1080" i="15"/>
  <c r="I1080" i="15"/>
  <c r="E1080" i="15"/>
  <c r="D1080" i="15"/>
  <c r="S1079" i="15"/>
  <c r="R1079" i="15"/>
  <c r="N1079" i="15"/>
  <c r="N1079" i="15" a="1"/>
  <c r="M1079" i="15"/>
  <c r="L1079" i="15"/>
  <c r="J1079" i="15"/>
  <c r="I1079" i="15"/>
  <c r="E1079" i="15"/>
  <c r="D1079" i="15"/>
  <c r="S1078" i="15"/>
  <c r="R1078" i="15"/>
  <c r="N1078" i="15" a="1"/>
  <c r="N1078" i="15" s="1"/>
  <c r="M1078" i="15"/>
  <c r="L1078" i="15"/>
  <c r="J1078" i="15"/>
  <c r="I1078" i="15"/>
  <c r="E1078" i="15"/>
  <c r="D1078" i="15"/>
  <c r="S1077" i="15"/>
  <c r="R1077" i="15"/>
  <c r="N1077" i="15" a="1"/>
  <c r="N1077" i="15" s="1"/>
  <c r="M1077" i="15"/>
  <c r="L1077" i="15"/>
  <c r="J1077" i="15"/>
  <c r="I1077" i="15"/>
  <c r="E1077" i="15"/>
  <c r="D1077" i="15"/>
  <c r="S1076" i="15"/>
  <c r="R1076" i="15"/>
  <c r="M1076" i="15"/>
  <c r="N1076" i="15" s="1" a="1"/>
  <c r="N1076" i="15" s="1"/>
  <c r="L1076" i="15"/>
  <c r="J1076" i="15"/>
  <c r="I1076" i="15"/>
  <c r="E1076" i="15"/>
  <c r="D1076" i="15"/>
  <c r="S1075" i="15"/>
  <c r="R1075" i="15"/>
  <c r="N1075" i="15"/>
  <c r="N1075" i="15" a="1"/>
  <c r="M1075" i="15"/>
  <c r="L1075" i="15"/>
  <c r="J1075" i="15"/>
  <c r="I1075" i="15"/>
  <c r="E1075" i="15"/>
  <c r="D1075" i="15"/>
  <c r="S1074" i="15"/>
  <c r="R1074" i="15"/>
  <c r="N1074" i="15" a="1"/>
  <c r="N1074" i="15" s="1"/>
  <c r="M1074" i="15"/>
  <c r="L1074" i="15"/>
  <c r="J1074" i="15"/>
  <c r="I1074" i="15"/>
  <c r="E1074" i="15"/>
  <c r="D1074" i="15"/>
  <c r="S1073" i="15"/>
  <c r="R1073" i="15"/>
  <c r="N1073" i="15" a="1"/>
  <c r="N1073" i="15" s="1"/>
  <c r="M1073" i="15"/>
  <c r="L1073" i="15"/>
  <c r="J1073" i="15"/>
  <c r="I1073" i="15"/>
  <c r="E1073" i="15"/>
  <c r="D1073" i="15"/>
  <c r="S1072" i="15"/>
  <c r="R1072" i="15"/>
  <c r="M1072" i="15"/>
  <c r="N1072" i="15" s="1" a="1"/>
  <c r="N1072" i="15" s="1"/>
  <c r="L1072" i="15"/>
  <c r="J1072" i="15"/>
  <c r="I1072" i="15"/>
  <c r="E1072" i="15"/>
  <c r="D1072" i="15"/>
  <c r="S1071" i="15"/>
  <c r="R1071" i="15"/>
  <c r="N1071" i="15"/>
  <c r="N1071" i="15" a="1"/>
  <c r="M1071" i="15"/>
  <c r="L1071" i="15"/>
  <c r="J1071" i="15"/>
  <c r="I1071" i="15"/>
  <c r="E1071" i="15"/>
  <c r="D1071" i="15"/>
  <c r="S1070" i="15"/>
  <c r="R1070" i="15"/>
  <c r="N1070" i="15" a="1"/>
  <c r="N1070" i="15" s="1"/>
  <c r="M1070" i="15"/>
  <c r="L1070" i="15"/>
  <c r="J1070" i="15"/>
  <c r="I1070" i="15"/>
  <c r="E1070" i="15"/>
  <c r="D1070" i="15"/>
  <c r="S1069" i="15"/>
  <c r="R1069" i="15"/>
  <c r="N1069" i="15" a="1"/>
  <c r="N1069" i="15" s="1"/>
  <c r="M1069" i="15"/>
  <c r="L1069" i="15"/>
  <c r="J1069" i="15"/>
  <c r="I1069" i="15"/>
  <c r="E1069" i="15"/>
  <c r="D1069" i="15"/>
  <c r="S1068" i="15"/>
  <c r="R1068" i="15"/>
  <c r="M1068" i="15"/>
  <c r="N1068" i="15" s="1" a="1"/>
  <c r="N1068" i="15" s="1"/>
  <c r="L1068" i="15"/>
  <c r="J1068" i="15"/>
  <c r="I1068" i="15"/>
  <c r="E1068" i="15"/>
  <c r="D1068" i="15"/>
  <c r="S1067" i="15"/>
  <c r="R1067" i="15"/>
  <c r="N1067" i="15"/>
  <c r="N1067" i="15" a="1"/>
  <c r="M1067" i="15"/>
  <c r="L1067" i="15"/>
  <c r="J1067" i="15"/>
  <c r="I1067" i="15"/>
  <c r="E1067" i="15"/>
  <c r="D1067" i="15"/>
  <c r="S1066" i="15"/>
  <c r="R1066" i="15"/>
  <c r="N1066" i="15" a="1"/>
  <c r="N1066" i="15" s="1"/>
  <c r="M1066" i="15"/>
  <c r="L1066" i="15"/>
  <c r="J1066" i="15"/>
  <c r="I1066" i="15"/>
  <c r="E1066" i="15"/>
  <c r="D1066" i="15"/>
  <c r="S1065" i="15"/>
  <c r="R1065" i="15"/>
  <c r="N1065" i="15" a="1"/>
  <c r="N1065" i="15" s="1"/>
  <c r="M1065" i="15"/>
  <c r="L1065" i="15"/>
  <c r="J1065" i="15"/>
  <c r="I1065" i="15"/>
  <c r="E1065" i="15"/>
  <c r="D1065" i="15"/>
  <c r="S1064" i="15"/>
  <c r="R1064" i="15"/>
  <c r="M1064" i="15"/>
  <c r="N1064" i="15" s="1" a="1"/>
  <c r="N1064" i="15" s="1"/>
  <c r="L1064" i="15"/>
  <c r="J1064" i="15"/>
  <c r="I1064" i="15"/>
  <c r="E1064" i="15"/>
  <c r="D1064" i="15"/>
  <c r="S1063" i="15"/>
  <c r="R1063" i="15"/>
  <c r="N1063" i="15"/>
  <c r="N1063" i="15" a="1"/>
  <c r="M1063" i="15"/>
  <c r="L1063" i="15"/>
  <c r="J1063" i="15"/>
  <c r="I1063" i="15"/>
  <c r="E1063" i="15"/>
  <c r="D1063" i="15"/>
  <c r="S1062" i="15"/>
  <c r="R1062" i="15"/>
  <c r="N1062" i="15" a="1"/>
  <c r="N1062" i="15" s="1"/>
  <c r="M1062" i="15"/>
  <c r="L1062" i="15"/>
  <c r="J1062" i="15"/>
  <c r="I1062" i="15"/>
  <c r="E1062" i="15"/>
  <c r="D1062" i="15"/>
  <c r="S1061" i="15"/>
  <c r="R1061" i="15"/>
  <c r="N1061" i="15" a="1"/>
  <c r="N1061" i="15" s="1"/>
  <c r="M1061" i="15"/>
  <c r="L1061" i="15"/>
  <c r="J1061" i="15"/>
  <c r="I1061" i="15"/>
  <c r="E1061" i="15"/>
  <c r="D1061" i="15"/>
  <c r="S1060" i="15"/>
  <c r="R1060" i="15"/>
  <c r="M1060" i="15"/>
  <c r="N1060" i="15" s="1" a="1"/>
  <c r="N1060" i="15" s="1"/>
  <c r="L1060" i="15"/>
  <c r="J1060" i="15"/>
  <c r="I1060" i="15"/>
  <c r="E1060" i="15"/>
  <c r="D1060" i="15"/>
  <c r="S1059" i="15"/>
  <c r="R1059" i="15"/>
  <c r="N1059" i="15"/>
  <c r="N1059" i="15" a="1"/>
  <c r="M1059" i="15"/>
  <c r="L1059" i="15"/>
  <c r="J1059" i="15"/>
  <c r="I1059" i="15"/>
  <c r="E1059" i="15"/>
  <c r="D1059" i="15"/>
  <c r="S1058" i="15"/>
  <c r="R1058" i="15"/>
  <c r="N1058" i="15" a="1"/>
  <c r="N1058" i="15" s="1"/>
  <c r="M1058" i="15"/>
  <c r="L1058" i="15"/>
  <c r="J1058" i="15"/>
  <c r="I1058" i="15"/>
  <c r="E1058" i="15"/>
  <c r="D1058" i="15"/>
  <c r="S1057" i="15"/>
  <c r="R1057" i="15"/>
  <c r="N1057" i="15" a="1"/>
  <c r="N1057" i="15" s="1"/>
  <c r="M1057" i="15"/>
  <c r="L1057" i="15"/>
  <c r="J1057" i="15"/>
  <c r="I1057" i="15"/>
  <c r="E1057" i="15"/>
  <c r="D1057" i="15"/>
  <c r="S1056" i="15"/>
  <c r="R1056" i="15"/>
  <c r="M1056" i="15"/>
  <c r="N1056" i="15" s="1" a="1"/>
  <c r="N1056" i="15" s="1"/>
  <c r="L1056" i="15"/>
  <c r="J1056" i="15"/>
  <c r="I1056" i="15"/>
  <c r="E1056" i="15"/>
  <c r="D1056" i="15"/>
  <c r="S1055" i="15"/>
  <c r="R1055" i="15"/>
  <c r="N1055" i="15"/>
  <c r="N1055" i="15" a="1"/>
  <c r="M1055" i="15"/>
  <c r="L1055" i="15"/>
  <c r="J1055" i="15"/>
  <c r="I1055" i="15"/>
  <c r="E1055" i="15"/>
  <c r="D1055" i="15"/>
  <c r="S1054" i="15"/>
  <c r="R1054" i="15"/>
  <c r="N1054" i="15" a="1"/>
  <c r="N1054" i="15" s="1"/>
  <c r="M1054" i="15"/>
  <c r="L1054" i="15"/>
  <c r="J1054" i="15"/>
  <c r="I1054" i="15"/>
  <c r="E1054" i="15"/>
  <c r="D1054" i="15"/>
  <c r="S1053" i="15"/>
  <c r="R1053" i="15"/>
  <c r="N1053" i="15" a="1"/>
  <c r="N1053" i="15" s="1"/>
  <c r="M1053" i="15"/>
  <c r="L1053" i="15"/>
  <c r="J1053" i="15"/>
  <c r="I1053" i="15"/>
  <c r="E1053" i="15"/>
  <c r="D1053" i="15"/>
  <c r="S1052" i="15"/>
  <c r="R1052" i="15"/>
  <c r="M1052" i="15"/>
  <c r="N1052" i="15" s="1" a="1"/>
  <c r="N1052" i="15" s="1"/>
  <c r="L1052" i="15"/>
  <c r="J1052" i="15"/>
  <c r="I1052" i="15"/>
  <c r="E1052" i="15"/>
  <c r="D1052" i="15"/>
  <c r="S1051" i="15"/>
  <c r="R1051" i="15"/>
  <c r="N1051" i="15"/>
  <c r="N1051" i="15" a="1"/>
  <c r="M1051" i="15"/>
  <c r="L1051" i="15"/>
  <c r="J1051" i="15"/>
  <c r="I1051" i="15"/>
  <c r="E1051" i="15"/>
  <c r="D1051" i="15"/>
  <c r="S1050" i="15"/>
  <c r="R1050" i="15"/>
  <c r="N1050" i="15" a="1"/>
  <c r="N1050" i="15" s="1"/>
  <c r="M1050" i="15"/>
  <c r="L1050" i="15"/>
  <c r="J1050" i="15"/>
  <c r="I1050" i="15"/>
  <c r="E1050" i="15"/>
  <c r="D1050" i="15"/>
  <c r="S1049" i="15"/>
  <c r="R1049" i="15"/>
  <c r="N1049" i="15" a="1"/>
  <c r="N1049" i="15" s="1"/>
  <c r="M1049" i="15"/>
  <c r="L1049" i="15"/>
  <c r="J1049" i="15"/>
  <c r="I1049" i="15"/>
  <c r="E1049" i="15"/>
  <c r="D1049" i="15"/>
  <c r="S1048" i="15"/>
  <c r="R1048" i="15"/>
  <c r="M1048" i="15"/>
  <c r="N1048" i="15" s="1" a="1"/>
  <c r="N1048" i="15" s="1"/>
  <c r="L1048" i="15"/>
  <c r="J1048" i="15"/>
  <c r="I1048" i="15"/>
  <c r="E1048" i="15"/>
  <c r="D1048" i="15"/>
  <c r="S1047" i="15"/>
  <c r="R1047" i="15"/>
  <c r="N1047" i="15"/>
  <c r="N1047" i="15" a="1"/>
  <c r="M1047" i="15"/>
  <c r="L1047" i="15"/>
  <c r="J1047" i="15"/>
  <c r="I1047" i="15"/>
  <c r="E1047" i="15"/>
  <c r="D1047" i="15"/>
  <c r="S1046" i="15"/>
  <c r="R1046" i="15"/>
  <c r="N1046" i="15" a="1"/>
  <c r="N1046" i="15" s="1"/>
  <c r="M1046" i="15"/>
  <c r="L1046" i="15"/>
  <c r="J1046" i="15"/>
  <c r="I1046" i="15"/>
  <c r="E1046" i="15"/>
  <c r="D1046" i="15"/>
  <c r="S1045" i="15"/>
  <c r="R1045" i="15"/>
  <c r="N1045" i="15" a="1"/>
  <c r="N1045" i="15" s="1"/>
  <c r="M1045" i="15"/>
  <c r="L1045" i="15"/>
  <c r="J1045" i="15"/>
  <c r="I1045" i="15"/>
  <c r="E1045" i="15"/>
  <c r="D1045" i="15"/>
  <c r="S1044" i="15"/>
  <c r="R1044" i="15"/>
  <c r="M1044" i="15"/>
  <c r="N1044" i="15" s="1" a="1"/>
  <c r="N1044" i="15" s="1"/>
  <c r="L1044" i="15"/>
  <c r="J1044" i="15"/>
  <c r="I1044" i="15"/>
  <c r="E1044" i="15"/>
  <c r="D1044" i="15"/>
  <c r="S1043" i="15"/>
  <c r="R1043" i="15"/>
  <c r="N1043" i="15"/>
  <c r="N1043" i="15" a="1"/>
  <c r="M1043" i="15"/>
  <c r="L1043" i="15"/>
  <c r="J1043" i="15"/>
  <c r="I1043" i="15"/>
  <c r="E1043" i="15"/>
  <c r="D1043" i="15"/>
  <c r="S1042" i="15"/>
  <c r="R1042" i="15"/>
  <c r="N1042" i="15" a="1"/>
  <c r="N1042" i="15" s="1"/>
  <c r="M1042" i="15"/>
  <c r="L1042" i="15"/>
  <c r="J1042" i="15"/>
  <c r="I1042" i="15"/>
  <c r="E1042" i="15"/>
  <c r="D1042" i="15"/>
  <c r="S1041" i="15"/>
  <c r="R1041" i="15"/>
  <c r="N1041" i="15" a="1"/>
  <c r="N1041" i="15" s="1"/>
  <c r="M1041" i="15"/>
  <c r="L1041" i="15"/>
  <c r="J1041" i="15"/>
  <c r="I1041" i="15"/>
  <c r="E1041" i="15"/>
  <c r="D1041" i="15"/>
  <c r="S1040" i="15"/>
  <c r="R1040" i="15"/>
  <c r="M1040" i="15"/>
  <c r="N1040" i="15" s="1" a="1"/>
  <c r="N1040" i="15" s="1"/>
  <c r="L1040" i="15"/>
  <c r="J1040" i="15"/>
  <c r="I1040" i="15"/>
  <c r="E1040" i="15"/>
  <c r="D1040" i="15"/>
  <c r="S1039" i="15"/>
  <c r="R1039" i="15"/>
  <c r="N1039" i="15"/>
  <c r="N1039" i="15" a="1"/>
  <c r="M1039" i="15"/>
  <c r="L1039" i="15"/>
  <c r="J1039" i="15"/>
  <c r="I1039" i="15"/>
  <c r="E1039" i="15"/>
  <c r="D1039" i="15"/>
  <c r="S1038" i="15"/>
  <c r="R1038" i="15"/>
  <c r="N1038" i="15" a="1"/>
  <c r="N1038" i="15" s="1"/>
  <c r="M1038" i="15"/>
  <c r="L1038" i="15"/>
  <c r="J1038" i="15"/>
  <c r="I1038" i="15"/>
  <c r="E1038" i="15"/>
  <c r="D1038" i="15"/>
  <c r="S1037" i="15"/>
  <c r="R1037" i="15"/>
  <c r="N1037" i="15" a="1"/>
  <c r="N1037" i="15" s="1"/>
  <c r="M1037" i="15"/>
  <c r="L1037" i="15"/>
  <c r="J1037" i="15"/>
  <c r="I1037" i="15"/>
  <c r="E1037" i="15"/>
  <c r="D1037" i="15"/>
  <c r="S1036" i="15"/>
  <c r="R1036" i="15"/>
  <c r="M1036" i="15"/>
  <c r="N1036" i="15" s="1" a="1"/>
  <c r="N1036" i="15" s="1"/>
  <c r="L1036" i="15"/>
  <c r="J1036" i="15"/>
  <c r="I1036" i="15"/>
  <c r="E1036" i="15"/>
  <c r="D1036" i="15"/>
  <c r="S1035" i="15"/>
  <c r="R1035" i="15"/>
  <c r="N1035" i="15"/>
  <c r="N1035" i="15" a="1"/>
  <c r="M1035" i="15"/>
  <c r="L1035" i="15"/>
  <c r="J1035" i="15"/>
  <c r="I1035" i="15"/>
  <c r="E1035" i="15"/>
  <c r="D1035" i="15"/>
  <c r="S1034" i="15"/>
  <c r="R1034" i="15"/>
  <c r="N1034" i="15" a="1"/>
  <c r="N1034" i="15" s="1"/>
  <c r="M1034" i="15"/>
  <c r="L1034" i="15"/>
  <c r="J1034" i="15"/>
  <c r="I1034" i="15"/>
  <c r="E1034" i="15"/>
  <c r="D1034" i="15"/>
  <c r="S1033" i="15"/>
  <c r="R1033" i="15"/>
  <c r="N1033" i="15" a="1"/>
  <c r="N1033" i="15" s="1"/>
  <c r="M1033" i="15"/>
  <c r="L1033" i="15"/>
  <c r="J1033" i="15"/>
  <c r="I1033" i="15"/>
  <c r="E1033" i="15"/>
  <c r="D1033" i="15"/>
  <c r="S1032" i="15"/>
  <c r="R1032" i="15"/>
  <c r="M1032" i="15"/>
  <c r="N1032" i="15" s="1" a="1"/>
  <c r="N1032" i="15" s="1"/>
  <c r="L1032" i="15"/>
  <c r="J1032" i="15"/>
  <c r="I1032" i="15"/>
  <c r="E1032" i="15"/>
  <c r="D1032" i="15"/>
  <c r="S1031" i="15"/>
  <c r="R1031" i="15"/>
  <c r="N1031" i="15"/>
  <c r="N1031" i="15" a="1"/>
  <c r="M1031" i="15"/>
  <c r="L1031" i="15"/>
  <c r="J1031" i="15"/>
  <c r="I1031" i="15"/>
  <c r="E1031" i="15"/>
  <c r="D1031" i="15"/>
  <c r="S1030" i="15"/>
  <c r="R1030" i="15"/>
  <c r="N1030" i="15" a="1"/>
  <c r="N1030" i="15" s="1"/>
  <c r="M1030" i="15"/>
  <c r="L1030" i="15"/>
  <c r="J1030" i="15"/>
  <c r="I1030" i="15"/>
  <c r="E1030" i="15"/>
  <c r="D1030" i="15"/>
  <c r="S1029" i="15"/>
  <c r="R1029" i="15"/>
  <c r="N1029" i="15" a="1"/>
  <c r="N1029" i="15" s="1"/>
  <c r="M1029" i="15"/>
  <c r="L1029" i="15"/>
  <c r="J1029" i="15"/>
  <c r="I1029" i="15"/>
  <c r="E1029" i="15"/>
  <c r="D1029" i="15"/>
  <c r="S1028" i="15"/>
  <c r="R1028" i="15"/>
  <c r="M1028" i="15"/>
  <c r="N1028" i="15" s="1" a="1"/>
  <c r="N1028" i="15" s="1"/>
  <c r="L1028" i="15"/>
  <c r="J1028" i="15"/>
  <c r="I1028" i="15"/>
  <c r="E1028" i="15"/>
  <c r="D1028" i="15"/>
  <c r="S1027" i="15"/>
  <c r="R1027" i="15"/>
  <c r="N1027" i="15"/>
  <c r="N1027" i="15" a="1"/>
  <c r="M1027" i="15"/>
  <c r="L1027" i="15"/>
  <c r="J1027" i="15"/>
  <c r="I1027" i="15"/>
  <c r="E1027" i="15"/>
  <c r="D1027" i="15"/>
  <c r="S1026" i="15"/>
  <c r="R1026" i="15"/>
  <c r="N1026" i="15" a="1"/>
  <c r="N1026" i="15" s="1"/>
  <c r="M1026" i="15"/>
  <c r="L1026" i="15"/>
  <c r="J1026" i="15"/>
  <c r="I1026" i="15"/>
  <c r="E1026" i="15"/>
  <c r="D1026" i="15"/>
  <c r="S1025" i="15"/>
  <c r="R1025" i="15"/>
  <c r="N1025" i="15" a="1"/>
  <c r="N1025" i="15" s="1"/>
  <c r="M1025" i="15"/>
  <c r="L1025" i="15"/>
  <c r="J1025" i="15"/>
  <c r="I1025" i="15"/>
  <c r="E1025" i="15"/>
  <c r="D1025" i="15"/>
  <c r="S1024" i="15"/>
  <c r="R1024" i="15"/>
  <c r="M1024" i="15"/>
  <c r="N1024" i="15" s="1" a="1"/>
  <c r="N1024" i="15" s="1"/>
  <c r="L1024" i="15"/>
  <c r="J1024" i="15"/>
  <c r="I1024" i="15"/>
  <c r="E1024" i="15"/>
  <c r="D1024" i="15"/>
  <c r="S1023" i="15"/>
  <c r="R1023" i="15"/>
  <c r="N1023" i="15"/>
  <c r="N1023" i="15" a="1"/>
  <c r="M1023" i="15"/>
  <c r="L1023" i="15"/>
  <c r="J1023" i="15"/>
  <c r="I1023" i="15"/>
  <c r="E1023" i="15"/>
  <c r="D1023" i="15"/>
  <c r="S1022" i="15"/>
  <c r="R1022" i="15"/>
  <c r="N1022" i="15" a="1"/>
  <c r="N1022" i="15" s="1"/>
  <c r="M1022" i="15"/>
  <c r="L1022" i="15"/>
  <c r="J1022" i="15"/>
  <c r="I1022" i="15"/>
  <c r="E1022" i="15"/>
  <c r="D1022" i="15"/>
  <c r="S1021" i="15"/>
  <c r="R1021" i="15"/>
  <c r="N1021" i="15" a="1"/>
  <c r="N1021" i="15" s="1"/>
  <c r="M1021" i="15"/>
  <c r="L1021" i="15"/>
  <c r="J1021" i="15"/>
  <c r="I1021" i="15"/>
  <c r="E1021" i="15"/>
  <c r="D1021" i="15"/>
  <c r="S1020" i="15"/>
  <c r="R1020" i="15"/>
  <c r="M1020" i="15"/>
  <c r="N1020" i="15" s="1" a="1"/>
  <c r="N1020" i="15" s="1"/>
  <c r="L1020" i="15"/>
  <c r="J1020" i="15"/>
  <c r="I1020" i="15"/>
  <c r="E1020" i="15"/>
  <c r="D1020" i="15"/>
  <c r="S1019" i="15"/>
  <c r="R1019" i="15"/>
  <c r="N1019" i="15"/>
  <c r="N1019" i="15" a="1"/>
  <c r="M1019" i="15"/>
  <c r="L1019" i="15"/>
  <c r="J1019" i="15"/>
  <c r="I1019" i="15"/>
  <c r="E1019" i="15"/>
  <c r="D1019" i="15"/>
  <c r="S1018" i="15"/>
  <c r="R1018" i="15"/>
  <c r="N1018" i="15" a="1"/>
  <c r="N1018" i="15" s="1"/>
  <c r="M1018" i="15"/>
  <c r="L1018" i="15"/>
  <c r="J1018" i="15"/>
  <c r="I1018" i="15"/>
  <c r="E1018" i="15"/>
  <c r="D1018" i="15"/>
  <c r="S1017" i="15"/>
  <c r="R1017" i="15"/>
  <c r="N1017" i="15" a="1"/>
  <c r="N1017" i="15" s="1"/>
  <c r="M1017" i="15"/>
  <c r="L1017" i="15"/>
  <c r="J1017" i="15"/>
  <c r="I1017" i="15"/>
  <c r="E1017" i="15"/>
  <c r="D1017" i="15"/>
  <c r="S1016" i="15"/>
  <c r="R1016" i="15"/>
  <c r="M1016" i="15"/>
  <c r="N1016" i="15" s="1" a="1"/>
  <c r="N1016" i="15" s="1"/>
  <c r="L1016" i="15"/>
  <c r="J1016" i="15"/>
  <c r="I1016" i="15"/>
  <c r="E1016" i="15"/>
  <c r="D1016" i="15"/>
  <c r="S1015" i="15"/>
  <c r="R1015" i="15"/>
  <c r="N1015" i="15"/>
  <c r="N1015" i="15" a="1"/>
  <c r="M1015" i="15"/>
  <c r="L1015" i="15"/>
  <c r="J1015" i="15"/>
  <c r="I1015" i="15"/>
  <c r="E1015" i="15"/>
  <c r="D1015" i="15"/>
  <c r="S1014" i="15"/>
  <c r="R1014" i="15"/>
  <c r="N1014" i="15" a="1"/>
  <c r="N1014" i="15" s="1"/>
  <c r="M1014" i="15"/>
  <c r="L1014" i="15"/>
  <c r="J1014" i="15"/>
  <c r="I1014" i="15"/>
  <c r="E1014" i="15"/>
  <c r="D1014" i="15"/>
  <c r="S1013" i="15"/>
  <c r="R1013" i="15"/>
  <c r="N1013" i="15" a="1"/>
  <c r="N1013" i="15" s="1"/>
  <c r="M1013" i="15"/>
  <c r="L1013" i="15"/>
  <c r="J1013" i="15"/>
  <c r="I1013" i="15"/>
  <c r="E1013" i="15"/>
  <c r="D1013" i="15"/>
  <c r="S1012" i="15"/>
  <c r="R1012" i="15"/>
  <c r="M1012" i="15"/>
  <c r="N1012" i="15" s="1" a="1"/>
  <c r="N1012" i="15" s="1"/>
  <c r="L1012" i="15"/>
  <c r="J1012" i="15"/>
  <c r="I1012" i="15"/>
  <c r="E1012" i="15"/>
  <c r="D1012" i="15"/>
  <c r="S1011" i="15"/>
  <c r="R1011" i="15"/>
  <c r="N1011" i="15"/>
  <c r="M1011" i="15"/>
  <c r="N1011" i="15" s="1" a="1"/>
  <c r="L1011" i="15"/>
  <c r="J1011" i="15"/>
  <c r="I1011" i="15"/>
  <c r="E1011" i="15"/>
  <c r="D1011" i="15"/>
  <c r="S1010" i="15"/>
  <c r="R1010" i="15"/>
  <c r="M1010" i="15"/>
  <c r="N1010" i="15" s="1" a="1"/>
  <c r="N1010" i="15" s="1"/>
  <c r="L1010" i="15"/>
  <c r="J1010" i="15"/>
  <c r="I1010" i="15"/>
  <c r="E1010" i="15"/>
  <c r="D1010" i="15"/>
  <c r="S1009" i="15"/>
  <c r="R1009" i="15"/>
  <c r="M1009" i="15"/>
  <c r="N1009" i="15" s="1" a="1"/>
  <c r="N1009" i="15" s="1"/>
  <c r="L1009" i="15"/>
  <c r="J1009" i="15"/>
  <c r="I1009" i="15"/>
  <c r="E1009" i="15"/>
  <c r="D1009" i="15"/>
  <c r="S1008" i="15"/>
  <c r="R1008" i="15"/>
  <c r="M1008" i="15"/>
  <c r="N1008" i="15" s="1" a="1"/>
  <c r="N1008" i="15" s="1"/>
  <c r="L1008" i="15"/>
  <c r="J1008" i="15"/>
  <c r="I1008" i="15"/>
  <c r="E1008" i="15"/>
  <c r="D1008" i="15"/>
  <c r="S1007" i="15"/>
  <c r="R1007" i="15"/>
  <c r="N1007" i="15"/>
  <c r="M1007" i="15"/>
  <c r="N1007" i="15" s="1" a="1"/>
  <c r="L1007" i="15"/>
  <c r="J1007" i="15"/>
  <c r="I1007" i="15"/>
  <c r="E1007" i="15"/>
  <c r="D1007" i="15"/>
  <c r="S1006" i="15"/>
  <c r="R1006" i="15"/>
  <c r="M1006" i="15"/>
  <c r="N1006" i="15" s="1" a="1"/>
  <c r="N1006" i="15" s="1"/>
  <c r="L1006" i="15"/>
  <c r="J1006" i="15"/>
  <c r="I1006" i="15"/>
  <c r="E1006" i="15"/>
  <c r="D1006" i="15"/>
  <c r="S1005" i="15"/>
  <c r="R1005" i="15"/>
  <c r="N1005" i="15"/>
  <c r="M1005" i="15"/>
  <c r="N1005" i="15" s="1" a="1"/>
  <c r="L1005" i="15"/>
  <c r="J1005" i="15"/>
  <c r="I1005" i="15"/>
  <c r="E1005" i="15"/>
  <c r="D1005" i="15"/>
  <c r="S1004" i="15"/>
  <c r="R1004" i="15"/>
  <c r="M1004" i="15"/>
  <c r="N1004" i="15" s="1" a="1"/>
  <c r="N1004" i="15" s="1"/>
  <c r="L1004" i="15"/>
  <c r="J1004" i="15"/>
  <c r="I1004" i="15"/>
  <c r="E1004" i="15"/>
  <c r="D1004" i="15"/>
  <c r="S1003" i="15"/>
  <c r="R1003" i="15"/>
  <c r="N1003" i="15"/>
  <c r="M1003" i="15"/>
  <c r="N1003" i="15" s="1" a="1"/>
  <c r="L1003" i="15"/>
  <c r="J1003" i="15"/>
  <c r="I1003" i="15"/>
  <c r="E1003" i="15"/>
  <c r="D1003" i="15"/>
  <c r="S1002" i="15"/>
  <c r="R1002" i="15"/>
  <c r="M1002" i="15"/>
  <c r="N1002" i="15" s="1" a="1"/>
  <c r="N1002" i="15" s="1"/>
  <c r="L1002" i="15"/>
  <c r="J1002" i="15"/>
  <c r="I1002" i="15"/>
  <c r="E1002" i="15"/>
  <c r="D1002" i="15"/>
  <c r="S1001" i="15"/>
  <c r="R1001" i="15"/>
  <c r="N1001" i="15"/>
  <c r="M1001" i="15"/>
  <c r="N1001" i="15" s="1" a="1"/>
  <c r="L1001" i="15"/>
  <c r="J1001" i="15"/>
  <c r="I1001" i="15"/>
  <c r="E1001" i="15"/>
  <c r="D1001" i="15"/>
  <c r="S1000" i="15"/>
  <c r="R1000" i="15"/>
  <c r="N1000" i="15"/>
  <c r="M1000" i="15"/>
  <c r="N1000" i="15" s="1" a="1"/>
  <c r="L1000" i="15"/>
  <c r="J1000" i="15"/>
  <c r="I1000" i="15"/>
  <c r="E1000" i="15"/>
  <c r="D1000" i="15"/>
  <c r="S999" i="15"/>
  <c r="R999" i="15"/>
  <c r="N999" i="15"/>
  <c r="M999" i="15"/>
  <c r="N999" i="15" s="1" a="1"/>
  <c r="L999" i="15"/>
  <c r="J999" i="15"/>
  <c r="I999" i="15"/>
  <c r="E999" i="15"/>
  <c r="D999" i="15"/>
  <c r="S998" i="15"/>
  <c r="R998" i="15"/>
  <c r="M998" i="15"/>
  <c r="N998" i="15" s="1" a="1"/>
  <c r="N998" i="15" s="1"/>
  <c r="L998" i="15"/>
  <c r="J998" i="15"/>
  <c r="I998" i="15"/>
  <c r="E998" i="15"/>
  <c r="D998" i="15"/>
  <c r="S997" i="15"/>
  <c r="R997" i="15"/>
  <c r="M997" i="15"/>
  <c r="N997" i="15" s="1" a="1"/>
  <c r="N997" i="15" s="1"/>
  <c r="L997" i="15"/>
  <c r="J997" i="15"/>
  <c r="I997" i="15"/>
  <c r="E997" i="15"/>
  <c r="D997" i="15"/>
  <c r="S996" i="15"/>
  <c r="R996" i="15"/>
  <c r="N996" i="15"/>
  <c r="M996" i="15"/>
  <c r="N996" i="15" s="1" a="1"/>
  <c r="L996" i="15"/>
  <c r="J996" i="15"/>
  <c r="I996" i="15"/>
  <c r="E996" i="15"/>
  <c r="D996" i="15"/>
  <c r="S995" i="15"/>
  <c r="R995" i="15"/>
  <c r="N995" i="15"/>
  <c r="M995" i="15"/>
  <c r="N995" i="15" s="1" a="1"/>
  <c r="L995" i="15"/>
  <c r="J995" i="15"/>
  <c r="I995" i="15"/>
  <c r="E995" i="15"/>
  <c r="D995" i="15"/>
  <c r="S994" i="15"/>
  <c r="R994" i="15"/>
  <c r="M994" i="15"/>
  <c r="N994" i="15" s="1" a="1"/>
  <c r="N994" i="15" s="1"/>
  <c r="L994" i="15"/>
  <c r="J994" i="15"/>
  <c r="I994" i="15"/>
  <c r="E994" i="15"/>
  <c r="D994" i="15"/>
  <c r="S993" i="15"/>
  <c r="R993" i="15"/>
  <c r="M993" i="15"/>
  <c r="N993" i="15" s="1" a="1"/>
  <c r="N993" i="15" s="1"/>
  <c r="L993" i="15"/>
  <c r="J993" i="15"/>
  <c r="I993" i="15"/>
  <c r="E993" i="15"/>
  <c r="D993" i="15"/>
  <c r="S992" i="15"/>
  <c r="R992" i="15"/>
  <c r="M992" i="15"/>
  <c r="N992" i="15" s="1" a="1"/>
  <c r="N992" i="15" s="1"/>
  <c r="L992" i="15"/>
  <c r="J992" i="15"/>
  <c r="I992" i="15"/>
  <c r="E992" i="15"/>
  <c r="D992" i="15"/>
  <c r="S991" i="15"/>
  <c r="R991" i="15"/>
  <c r="N991" i="15"/>
  <c r="M991" i="15"/>
  <c r="N991" i="15" s="1" a="1"/>
  <c r="L991" i="15"/>
  <c r="J991" i="15"/>
  <c r="I991" i="15"/>
  <c r="E991" i="15"/>
  <c r="D991" i="15"/>
  <c r="S990" i="15"/>
  <c r="R990" i="15"/>
  <c r="M990" i="15"/>
  <c r="N990" i="15" s="1" a="1"/>
  <c r="N990" i="15" s="1"/>
  <c r="L990" i="15"/>
  <c r="J990" i="15"/>
  <c r="I990" i="15"/>
  <c r="E990" i="15"/>
  <c r="D990" i="15"/>
  <c r="S989" i="15"/>
  <c r="R989" i="15"/>
  <c r="N989" i="15"/>
  <c r="M989" i="15"/>
  <c r="N989" i="15" s="1" a="1"/>
  <c r="L989" i="15"/>
  <c r="J989" i="15"/>
  <c r="I989" i="15"/>
  <c r="E989" i="15"/>
  <c r="D989" i="15"/>
  <c r="S988" i="15"/>
  <c r="R988" i="15"/>
  <c r="M988" i="15"/>
  <c r="N988" i="15" s="1" a="1"/>
  <c r="N988" i="15" s="1"/>
  <c r="L988" i="15"/>
  <c r="J988" i="15"/>
  <c r="I988" i="15"/>
  <c r="E988" i="15"/>
  <c r="D988" i="15"/>
  <c r="S987" i="15"/>
  <c r="R987" i="15"/>
  <c r="N987" i="15"/>
  <c r="M987" i="15"/>
  <c r="N987" i="15" s="1" a="1"/>
  <c r="L987" i="15"/>
  <c r="J987" i="15"/>
  <c r="I987" i="15"/>
  <c r="E987" i="15"/>
  <c r="D987" i="15"/>
  <c r="S986" i="15"/>
  <c r="R986" i="15"/>
  <c r="M986" i="15"/>
  <c r="N986" i="15" s="1" a="1"/>
  <c r="N986" i="15" s="1"/>
  <c r="L986" i="15"/>
  <c r="J986" i="15"/>
  <c r="I986" i="15"/>
  <c r="E986" i="15"/>
  <c r="D986" i="15"/>
  <c r="S985" i="15"/>
  <c r="R985" i="15"/>
  <c r="N985" i="15"/>
  <c r="M985" i="15"/>
  <c r="N985" i="15" s="1" a="1"/>
  <c r="L985" i="15"/>
  <c r="J985" i="15"/>
  <c r="I985" i="15"/>
  <c r="E985" i="15"/>
  <c r="D985" i="15"/>
  <c r="S984" i="15"/>
  <c r="R984" i="15"/>
  <c r="N984" i="15"/>
  <c r="M984" i="15"/>
  <c r="N984" i="15" s="1" a="1"/>
  <c r="L984" i="15"/>
  <c r="J984" i="15"/>
  <c r="I984" i="15"/>
  <c r="E984" i="15"/>
  <c r="D984" i="15"/>
  <c r="S983" i="15"/>
  <c r="R983" i="15"/>
  <c r="N983" i="15"/>
  <c r="M983" i="15"/>
  <c r="N983" i="15" s="1" a="1"/>
  <c r="L983" i="15"/>
  <c r="J983" i="15"/>
  <c r="I983" i="15"/>
  <c r="E983" i="15"/>
  <c r="D983" i="15"/>
  <c r="S982" i="15"/>
  <c r="R982" i="15"/>
  <c r="M982" i="15"/>
  <c r="N982" i="15" s="1" a="1"/>
  <c r="N982" i="15" s="1"/>
  <c r="L982" i="15"/>
  <c r="J982" i="15"/>
  <c r="I982" i="15"/>
  <c r="E982" i="15"/>
  <c r="D982" i="15"/>
  <c r="S981" i="15"/>
  <c r="R981" i="15"/>
  <c r="M981" i="15"/>
  <c r="N981" i="15" s="1" a="1"/>
  <c r="N981" i="15" s="1"/>
  <c r="L981" i="15"/>
  <c r="J981" i="15"/>
  <c r="I981" i="15"/>
  <c r="E981" i="15"/>
  <c r="D981" i="15"/>
  <c r="S980" i="15"/>
  <c r="R980" i="15"/>
  <c r="N980" i="15"/>
  <c r="M980" i="15"/>
  <c r="N980" i="15" s="1" a="1"/>
  <c r="L980" i="15"/>
  <c r="J980" i="15"/>
  <c r="I980" i="15"/>
  <c r="E980" i="15"/>
  <c r="D980" i="15"/>
  <c r="S979" i="15"/>
  <c r="R979" i="15"/>
  <c r="N979" i="15"/>
  <c r="M979" i="15"/>
  <c r="N979" i="15" s="1" a="1"/>
  <c r="L979" i="15"/>
  <c r="J979" i="15"/>
  <c r="I979" i="15"/>
  <c r="E979" i="15"/>
  <c r="D979" i="15"/>
  <c r="S978" i="15"/>
  <c r="R978" i="15"/>
  <c r="M978" i="15"/>
  <c r="N978" i="15" s="1" a="1"/>
  <c r="N978" i="15" s="1"/>
  <c r="L978" i="15"/>
  <c r="J978" i="15"/>
  <c r="I978" i="15"/>
  <c r="E978" i="15"/>
  <c r="D978" i="15"/>
  <c r="S977" i="15"/>
  <c r="R977" i="15"/>
  <c r="M977" i="15"/>
  <c r="N977" i="15" s="1" a="1"/>
  <c r="N977" i="15" s="1"/>
  <c r="L977" i="15"/>
  <c r="J977" i="15"/>
  <c r="I977" i="15"/>
  <c r="E977" i="15"/>
  <c r="D977" i="15"/>
  <c r="S976" i="15"/>
  <c r="R976" i="15"/>
  <c r="M976" i="15"/>
  <c r="N976" i="15" s="1" a="1"/>
  <c r="N976" i="15" s="1"/>
  <c r="L976" i="15"/>
  <c r="J976" i="15"/>
  <c r="I976" i="15"/>
  <c r="E976" i="15"/>
  <c r="D976" i="15"/>
  <c r="S975" i="15"/>
  <c r="R975" i="15"/>
  <c r="N975" i="15"/>
  <c r="M975" i="15"/>
  <c r="N975" i="15" s="1" a="1"/>
  <c r="L975" i="15"/>
  <c r="J975" i="15"/>
  <c r="I975" i="15"/>
  <c r="E975" i="15"/>
  <c r="D975" i="15"/>
  <c r="S974" i="15"/>
  <c r="R974" i="15"/>
  <c r="M974" i="15"/>
  <c r="N974" i="15" s="1" a="1"/>
  <c r="N974" i="15" s="1"/>
  <c r="L974" i="15"/>
  <c r="J974" i="15"/>
  <c r="I974" i="15"/>
  <c r="E974" i="15"/>
  <c r="D974" i="15"/>
  <c r="S973" i="15"/>
  <c r="R973" i="15"/>
  <c r="N973" i="15"/>
  <c r="M973" i="15"/>
  <c r="N973" i="15" s="1" a="1"/>
  <c r="L973" i="15"/>
  <c r="J973" i="15"/>
  <c r="I973" i="15"/>
  <c r="E973" i="15"/>
  <c r="D973" i="15"/>
  <c r="S972" i="15"/>
  <c r="R972" i="15"/>
  <c r="M972" i="15"/>
  <c r="N972" i="15" s="1" a="1"/>
  <c r="N972" i="15" s="1"/>
  <c r="L972" i="15"/>
  <c r="J972" i="15"/>
  <c r="I972" i="15"/>
  <c r="E972" i="15"/>
  <c r="D972" i="15"/>
  <c r="S971" i="15"/>
  <c r="R971" i="15"/>
  <c r="N971" i="15"/>
  <c r="M971" i="15"/>
  <c r="N971" i="15" s="1" a="1"/>
  <c r="L971" i="15"/>
  <c r="J971" i="15"/>
  <c r="I971" i="15"/>
  <c r="E971" i="15"/>
  <c r="D971" i="15"/>
  <c r="S970" i="15"/>
  <c r="R970" i="15"/>
  <c r="M970" i="15"/>
  <c r="N970" i="15" s="1" a="1"/>
  <c r="N970" i="15" s="1"/>
  <c r="L970" i="15"/>
  <c r="J970" i="15"/>
  <c r="I970" i="15"/>
  <c r="E970" i="15"/>
  <c r="D970" i="15"/>
  <c r="S969" i="15"/>
  <c r="R969" i="15"/>
  <c r="N969" i="15"/>
  <c r="M969" i="15"/>
  <c r="N969" i="15" s="1" a="1"/>
  <c r="L969" i="15"/>
  <c r="J969" i="15"/>
  <c r="I969" i="15"/>
  <c r="E969" i="15"/>
  <c r="D969" i="15"/>
  <c r="S968" i="15"/>
  <c r="R968" i="15"/>
  <c r="N968" i="15"/>
  <c r="M968" i="15"/>
  <c r="N968" i="15" s="1" a="1"/>
  <c r="L968" i="15"/>
  <c r="J968" i="15"/>
  <c r="I968" i="15"/>
  <c r="E968" i="15"/>
  <c r="D968" i="15"/>
  <c r="S967" i="15"/>
  <c r="R967" i="15"/>
  <c r="N967" i="15"/>
  <c r="M967" i="15"/>
  <c r="N967" i="15" s="1" a="1"/>
  <c r="L967" i="15"/>
  <c r="J967" i="15"/>
  <c r="I967" i="15"/>
  <c r="E967" i="15"/>
  <c r="D967" i="15"/>
  <c r="S966" i="15"/>
  <c r="R966" i="15"/>
  <c r="M966" i="15"/>
  <c r="N966" i="15" s="1" a="1"/>
  <c r="N966" i="15" s="1"/>
  <c r="L966" i="15"/>
  <c r="J966" i="15"/>
  <c r="I966" i="15"/>
  <c r="E966" i="15"/>
  <c r="D966" i="15"/>
  <c r="S965" i="15"/>
  <c r="R965" i="15"/>
  <c r="M965" i="15"/>
  <c r="N965" i="15" s="1" a="1"/>
  <c r="N965" i="15" s="1"/>
  <c r="L965" i="15"/>
  <c r="J965" i="15"/>
  <c r="I965" i="15"/>
  <c r="E965" i="15"/>
  <c r="D965" i="15"/>
  <c r="S964" i="15"/>
  <c r="R964" i="15"/>
  <c r="N964" i="15"/>
  <c r="M964" i="15"/>
  <c r="N964" i="15" s="1" a="1"/>
  <c r="L964" i="15"/>
  <c r="J964" i="15"/>
  <c r="I964" i="15"/>
  <c r="E964" i="15"/>
  <c r="D964" i="15"/>
  <c r="S963" i="15"/>
  <c r="R963" i="15"/>
  <c r="N963" i="15"/>
  <c r="M963" i="15"/>
  <c r="N963" i="15" s="1" a="1"/>
  <c r="L963" i="15"/>
  <c r="J963" i="15"/>
  <c r="I963" i="15"/>
  <c r="E963" i="15"/>
  <c r="D963" i="15"/>
  <c r="S962" i="15"/>
  <c r="R962" i="15"/>
  <c r="M962" i="15"/>
  <c r="N962" i="15" s="1" a="1"/>
  <c r="N962" i="15" s="1"/>
  <c r="L962" i="15"/>
  <c r="J962" i="15"/>
  <c r="I962" i="15"/>
  <c r="E962" i="15"/>
  <c r="D962" i="15"/>
  <c r="S961" i="15"/>
  <c r="R961" i="15"/>
  <c r="M961" i="15"/>
  <c r="N961" i="15" s="1" a="1"/>
  <c r="N961" i="15" s="1"/>
  <c r="L961" i="15"/>
  <c r="J961" i="15"/>
  <c r="I961" i="15"/>
  <c r="E961" i="15"/>
  <c r="D961" i="15"/>
  <c r="S960" i="15"/>
  <c r="R960" i="15"/>
  <c r="M960" i="15"/>
  <c r="N960" i="15" s="1" a="1"/>
  <c r="N960" i="15" s="1"/>
  <c r="L960" i="15"/>
  <c r="J960" i="15"/>
  <c r="I960" i="15"/>
  <c r="E960" i="15"/>
  <c r="D960" i="15"/>
  <c r="S959" i="15"/>
  <c r="R959" i="15"/>
  <c r="N959" i="15"/>
  <c r="M959" i="15"/>
  <c r="N959" i="15" s="1" a="1"/>
  <c r="L959" i="15"/>
  <c r="J959" i="15"/>
  <c r="I959" i="15"/>
  <c r="E959" i="15"/>
  <c r="D959" i="15"/>
  <c r="S958" i="15"/>
  <c r="R958" i="15"/>
  <c r="M958" i="15"/>
  <c r="N958" i="15" s="1" a="1"/>
  <c r="N958" i="15" s="1"/>
  <c r="L958" i="15"/>
  <c r="J958" i="15"/>
  <c r="I958" i="15"/>
  <c r="E958" i="15"/>
  <c r="D958" i="15"/>
  <c r="S957" i="15"/>
  <c r="R957" i="15"/>
  <c r="N957" i="15"/>
  <c r="M957" i="15"/>
  <c r="N957" i="15" s="1" a="1"/>
  <c r="L957" i="15"/>
  <c r="J957" i="15"/>
  <c r="I957" i="15"/>
  <c r="E957" i="15"/>
  <c r="D957" i="15"/>
  <c r="S956" i="15"/>
  <c r="R956" i="15"/>
  <c r="M956" i="15"/>
  <c r="N956" i="15" s="1" a="1"/>
  <c r="N956" i="15" s="1"/>
  <c r="L956" i="15"/>
  <c r="J956" i="15"/>
  <c r="I956" i="15"/>
  <c r="E956" i="15"/>
  <c r="D956" i="15"/>
  <c r="S955" i="15"/>
  <c r="R955" i="15"/>
  <c r="N955" i="15"/>
  <c r="M955" i="15"/>
  <c r="N955" i="15" s="1" a="1"/>
  <c r="L955" i="15"/>
  <c r="J955" i="15"/>
  <c r="I955" i="15"/>
  <c r="E955" i="15"/>
  <c r="D955" i="15"/>
  <c r="S954" i="15"/>
  <c r="R954" i="15"/>
  <c r="M954" i="15"/>
  <c r="N954" i="15" s="1" a="1"/>
  <c r="N954" i="15" s="1"/>
  <c r="L954" i="15"/>
  <c r="J954" i="15"/>
  <c r="I954" i="15"/>
  <c r="E954" i="15"/>
  <c r="D954" i="15"/>
  <c r="S953" i="15"/>
  <c r="R953" i="15"/>
  <c r="N953" i="15"/>
  <c r="M953" i="15"/>
  <c r="N953" i="15" s="1" a="1"/>
  <c r="L953" i="15"/>
  <c r="J953" i="15"/>
  <c r="I953" i="15"/>
  <c r="E953" i="15"/>
  <c r="D953" i="15"/>
  <c r="S952" i="15"/>
  <c r="R952" i="15"/>
  <c r="N952" i="15"/>
  <c r="M952" i="15"/>
  <c r="N952" i="15" s="1" a="1"/>
  <c r="L952" i="15"/>
  <c r="J952" i="15"/>
  <c r="I952" i="15"/>
  <c r="E952" i="15"/>
  <c r="D952" i="15"/>
  <c r="S951" i="15"/>
  <c r="R951" i="15"/>
  <c r="N951" i="15"/>
  <c r="M951" i="15"/>
  <c r="N951" i="15" s="1" a="1"/>
  <c r="L951" i="15"/>
  <c r="J951" i="15"/>
  <c r="I951" i="15"/>
  <c r="E951" i="15"/>
  <c r="D951" i="15"/>
  <c r="S950" i="15"/>
  <c r="R950" i="15"/>
  <c r="M950" i="15"/>
  <c r="N950" i="15" s="1" a="1"/>
  <c r="N950" i="15" s="1"/>
  <c r="L950" i="15"/>
  <c r="J950" i="15"/>
  <c r="I950" i="15"/>
  <c r="E950" i="15"/>
  <c r="D950" i="15"/>
  <c r="S949" i="15"/>
  <c r="R949" i="15"/>
  <c r="N949" i="15"/>
  <c r="M949" i="15"/>
  <c r="N949" i="15" s="1" a="1"/>
  <c r="L949" i="15"/>
  <c r="J949" i="15"/>
  <c r="I949" i="15"/>
  <c r="E949" i="15"/>
  <c r="D949" i="15"/>
  <c r="S948" i="15"/>
  <c r="R948" i="15"/>
  <c r="N948" i="15"/>
  <c r="M948" i="15"/>
  <c r="N948" i="15" s="1" a="1"/>
  <c r="L948" i="15"/>
  <c r="J948" i="15"/>
  <c r="I948" i="15"/>
  <c r="E948" i="15"/>
  <c r="D948" i="15"/>
  <c r="S947" i="15"/>
  <c r="R947" i="15"/>
  <c r="N947" i="15"/>
  <c r="M947" i="15"/>
  <c r="N947" i="15" s="1" a="1"/>
  <c r="L947" i="15"/>
  <c r="J947" i="15"/>
  <c r="I947" i="15"/>
  <c r="E947" i="15"/>
  <c r="D947" i="15"/>
  <c r="S946" i="15"/>
  <c r="R946" i="15"/>
  <c r="M946" i="15"/>
  <c r="N946" i="15" s="1" a="1"/>
  <c r="N946" i="15" s="1"/>
  <c r="L946" i="15"/>
  <c r="J946" i="15"/>
  <c r="I946" i="15"/>
  <c r="E946" i="15"/>
  <c r="D946" i="15"/>
  <c r="S945" i="15"/>
  <c r="R945" i="15"/>
  <c r="M945" i="15"/>
  <c r="N945" i="15" s="1" a="1"/>
  <c r="N945" i="15" s="1"/>
  <c r="L945" i="15"/>
  <c r="J945" i="15"/>
  <c r="I945" i="15"/>
  <c r="E945" i="15"/>
  <c r="D945" i="15"/>
  <c r="S944" i="15"/>
  <c r="R944" i="15"/>
  <c r="M944" i="15"/>
  <c r="N944" i="15" s="1" a="1"/>
  <c r="N944" i="15" s="1"/>
  <c r="L944" i="15"/>
  <c r="J944" i="15"/>
  <c r="I944" i="15"/>
  <c r="E944" i="15"/>
  <c r="D944" i="15"/>
  <c r="S943" i="15"/>
  <c r="R943" i="15"/>
  <c r="N943" i="15"/>
  <c r="M943" i="15"/>
  <c r="N943" i="15" s="1" a="1"/>
  <c r="L943" i="15"/>
  <c r="J943" i="15"/>
  <c r="I943" i="15"/>
  <c r="E943" i="15"/>
  <c r="D943" i="15"/>
  <c r="S942" i="15"/>
  <c r="R942" i="15"/>
  <c r="M942" i="15"/>
  <c r="N942" i="15" s="1" a="1"/>
  <c r="N942" i="15" s="1"/>
  <c r="L942" i="15"/>
  <c r="J942" i="15"/>
  <c r="I942" i="15"/>
  <c r="E942" i="15"/>
  <c r="D942" i="15"/>
  <c r="S941" i="15"/>
  <c r="R941" i="15"/>
  <c r="N941" i="15"/>
  <c r="M941" i="15"/>
  <c r="N941" i="15" s="1" a="1"/>
  <c r="L941" i="15"/>
  <c r="J941" i="15"/>
  <c r="I941" i="15"/>
  <c r="E941" i="15"/>
  <c r="D941" i="15"/>
  <c r="S940" i="15"/>
  <c r="R940" i="15"/>
  <c r="M940" i="15"/>
  <c r="N940" i="15" s="1" a="1"/>
  <c r="N940" i="15" s="1"/>
  <c r="L940" i="15"/>
  <c r="J940" i="15"/>
  <c r="I940" i="15"/>
  <c r="E940" i="15"/>
  <c r="D940" i="15"/>
  <c r="S939" i="15"/>
  <c r="R939" i="15"/>
  <c r="N939" i="15"/>
  <c r="M939" i="15"/>
  <c r="N939" i="15" s="1" a="1"/>
  <c r="L939" i="15"/>
  <c r="J939" i="15"/>
  <c r="I939" i="15"/>
  <c r="E939" i="15"/>
  <c r="D939" i="15"/>
  <c r="S938" i="15"/>
  <c r="R938" i="15"/>
  <c r="M938" i="15"/>
  <c r="N938" i="15" s="1" a="1"/>
  <c r="N938" i="15" s="1"/>
  <c r="L938" i="15"/>
  <c r="J938" i="15"/>
  <c r="I938" i="15"/>
  <c r="E938" i="15"/>
  <c r="D938" i="15"/>
  <c r="S937" i="15"/>
  <c r="R937" i="15"/>
  <c r="N937" i="15"/>
  <c r="M937" i="15"/>
  <c r="N937" i="15" s="1" a="1"/>
  <c r="L937" i="15"/>
  <c r="J937" i="15"/>
  <c r="I937" i="15"/>
  <c r="E937" i="15"/>
  <c r="D937" i="15"/>
  <c r="S936" i="15"/>
  <c r="R936" i="15"/>
  <c r="N936" i="15"/>
  <c r="M936" i="15"/>
  <c r="N936" i="15" s="1" a="1"/>
  <c r="L936" i="15"/>
  <c r="J936" i="15"/>
  <c r="I936" i="15"/>
  <c r="E936" i="15"/>
  <c r="D936" i="15"/>
  <c r="S935" i="15"/>
  <c r="R935" i="15"/>
  <c r="N935" i="15"/>
  <c r="M935" i="15"/>
  <c r="N935" i="15" s="1" a="1"/>
  <c r="L935" i="15"/>
  <c r="J935" i="15"/>
  <c r="I935" i="15"/>
  <c r="E935" i="15"/>
  <c r="D935" i="15"/>
  <c r="S934" i="15"/>
  <c r="R934" i="15"/>
  <c r="M934" i="15"/>
  <c r="N934" i="15" s="1" a="1"/>
  <c r="N934" i="15" s="1"/>
  <c r="L934" i="15"/>
  <c r="J934" i="15"/>
  <c r="I934" i="15"/>
  <c r="E934" i="15"/>
  <c r="D934" i="15"/>
  <c r="S933" i="15"/>
  <c r="R933" i="15"/>
  <c r="M933" i="15"/>
  <c r="N933" i="15" s="1" a="1"/>
  <c r="N933" i="15" s="1"/>
  <c r="L933" i="15"/>
  <c r="J933" i="15"/>
  <c r="I933" i="15"/>
  <c r="E933" i="15"/>
  <c r="D933" i="15"/>
  <c r="S932" i="15"/>
  <c r="R932" i="15"/>
  <c r="N932" i="15"/>
  <c r="M932" i="15"/>
  <c r="N932" i="15" s="1" a="1"/>
  <c r="L932" i="15"/>
  <c r="J932" i="15"/>
  <c r="I932" i="15"/>
  <c r="E932" i="15"/>
  <c r="D932" i="15"/>
  <c r="S931" i="15"/>
  <c r="R931" i="15"/>
  <c r="N931" i="15"/>
  <c r="M931" i="15"/>
  <c r="N931" i="15" s="1" a="1"/>
  <c r="L931" i="15"/>
  <c r="J931" i="15"/>
  <c r="I931" i="15"/>
  <c r="E931" i="15"/>
  <c r="D931" i="15"/>
  <c r="S930" i="15"/>
  <c r="R930" i="15"/>
  <c r="M930" i="15"/>
  <c r="N930" i="15" s="1" a="1"/>
  <c r="N930" i="15" s="1"/>
  <c r="L930" i="15"/>
  <c r="J930" i="15"/>
  <c r="I930" i="15"/>
  <c r="E930" i="15"/>
  <c r="D930" i="15"/>
  <c r="S929" i="15"/>
  <c r="R929" i="15"/>
  <c r="M929" i="15"/>
  <c r="N929" i="15" s="1" a="1"/>
  <c r="N929" i="15" s="1"/>
  <c r="L929" i="15"/>
  <c r="J929" i="15"/>
  <c r="I929" i="15"/>
  <c r="E929" i="15"/>
  <c r="D929" i="15"/>
  <c r="S928" i="15"/>
  <c r="R928" i="15"/>
  <c r="M928" i="15"/>
  <c r="N928" i="15" s="1" a="1"/>
  <c r="N928" i="15" s="1"/>
  <c r="L928" i="15"/>
  <c r="J928" i="15"/>
  <c r="I928" i="15"/>
  <c r="E928" i="15"/>
  <c r="D928" i="15"/>
  <c r="S927" i="15"/>
  <c r="R927" i="15"/>
  <c r="N927" i="15"/>
  <c r="M927" i="15"/>
  <c r="N927" i="15" s="1" a="1"/>
  <c r="L927" i="15"/>
  <c r="J927" i="15"/>
  <c r="I927" i="15"/>
  <c r="E927" i="15"/>
  <c r="D927" i="15"/>
  <c r="S926" i="15"/>
  <c r="R926" i="15"/>
  <c r="M926" i="15"/>
  <c r="N926" i="15" s="1" a="1"/>
  <c r="N926" i="15" s="1"/>
  <c r="L926" i="15"/>
  <c r="J926" i="15"/>
  <c r="I926" i="15"/>
  <c r="E926" i="15"/>
  <c r="D926" i="15"/>
  <c r="S925" i="15"/>
  <c r="R925" i="15"/>
  <c r="N925" i="15"/>
  <c r="M925" i="15"/>
  <c r="N925" i="15" s="1" a="1"/>
  <c r="L925" i="15"/>
  <c r="J925" i="15"/>
  <c r="I925" i="15"/>
  <c r="E925" i="15"/>
  <c r="D925" i="15"/>
  <c r="S924" i="15"/>
  <c r="R924" i="15"/>
  <c r="M924" i="15"/>
  <c r="N924" i="15" s="1" a="1"/>
  <c r="N924" i="15" s="1"/>
  <c r="L924" i="15"/>
  <c r="J924" i="15"/>
  <c r="I924" i="15"/>
  <c r="E924" i="15"/>
  <c r="D924" i="15"/>
  <c r="S923" i="15"/>
  <c r="R923" i="15"/>
  <c r="N923" i="15"/>
  <c r="M923" i="15"/>
  <c r="N923" i="15" s="1" a="1"/>
  <c r="L923" i="15"/>
  <c r="J923" i="15"/>
  <c r="I923" i="15"/>
  <c r="E923" i="15"/>
  <c r="D923" i="15"/>
  <c r="S922" i="15"/>
  <c r="R922" i="15"/>
  <c r="M922" i="15"/>
  <c r="N922" i="15" s="1" a="1"/>
  <c r="N922" i="15" s="1"/>
  <c r="L922" i="15"/>
  <c r="J922" i="15"/>
  <c r="I922" i="15"/>
  <c r="E922" i="15"/>
  <c r="D922" i="15"/>
  <c r="S921" i="15"/>
  <c r="R921" i="15"/>
  <c r="N921" i="15"/>
  <c r="M921" i="15"/>
  <c r="N921" i="15" s="1" a="1"/>
  <c r="L921" i="15"/>
  <c r="J921" i="15"/>
  <c r="I921" i="15"/>
  <c r="E921" i="15"/>
  <c r="D921" i="15"/>
  <c r="S920" i="15"/>
  <c r="R920" i="15"/>
  <c r="N920" i="15"/>
  <c r="M920" i="15"/>
  <c r="N920" i="15" s="1" a="1"/>
  <c r="L920" i="15"/>
  <c r="J920" i="15"/>
  <c r="I920" i="15"/>
  <c r="E920" i="15"/>
  <c r="D920" i="15"/>
  <c r="S919" i="15"/>
  <c r="R919" i="15"/>
  <c r="M919" i="15"/>
  <c r="N919" i="15" s="1" a="1"/>
  <c r="N919" i="15" s="1"/>
  <c r="L919" i="15"/>
  <c r="J919" i="15"/>
  <c r="I919" i="15"/>
  <c r="E919" i="15"/>
  <c r="D919" i="15"/>
  <c r="S918" i="15"/>
  <c r="R918" i="15"/>
  <c r="M918" i="15"/>
  <c r="N918" i="15" s="1" a="1"/>
  <c r="N918" i="15" s="1"/>
  <c r="L918" i="15"/>
  <c r="J918" i="15"/>
  <c r="I918" i="15"/>
  <c r="E918" i="15"/>
  <c r="D918" i="15"/>
  <c r="S917" i="15"/>
  <c r="R917" i="15"/>
  <c r="N917" i="15"/>
  <c r="N917" i="15" a="1"/>
  <c r="M917" i="15"/>
  <c r="L917" i="15"/>
  <c r="J917" i="15"/>
  <c r="I917" i="15"/>
  <c r="E917" i="15"/>
  <c r="D917" i="15"/>
  <c r="S916" i="15"/>
  <c r="R916" i="15"/>
  <c r="M916" i="15"/>
  <c r="N916" i="15" s="1" a="1"/>
  <c r="N916" i="15" s="1"/>
  <c r="L916" i="15"/>
  <c r="J916" i="15"/>
  <c r="I916" i="15"/>
  <c r="E916" i="15"/>
  <c r="D916" i="15"/>
  <c r="S915" i="15"/>
  <c r="R915" i="15"/>
  <c r="M915" i="15"/>
  <c r="N915" i="15" s="1" a="1"/>
  <c r="N915" i="15" s="1"/>
  <c r="L915" i="15"/>
  <c r="J915" i="15"/>
  <c r="I915" i="15"/>
  <c r="E915" i="15"/>
  <c r="D915" i="15"/>
  <c r="S914" i="15"/>
  <c r="R914" i="15"/>
  <c r="N914" i="15"/>
  <c r="M914" i="15"/>
  <c r="N914" i="15" s="1" a="1"/>
  <c r="L914" i="15"/>
  <c r="J914" i="15"/>
  <c r="I914" i="15"/>
  <c r="E914" i="15"/>
  <c r="D914" i="15"/>
  <c r="S913" i="15"/>
  <c r="R913" i="15"/>
  <c r="N913" i="15" a="1"/>
  <c r="N913" i="15" s="1"/>
  <c r="M913" i="15"/>
  <c r="L913" i="15"/>
  <c r="J913" i="15"/>
  <c r="I913" i="15"/>
  <c r="E913" i="15"/>
  <c r="D913" i="15"/>
  <c r="S912" i="15"/>
  <c r="R912" i="15"/>
  <c r="M912" i="15"/>
  <c r="N912" i="15" s="1" a="1"/>
  <c r="N912" i="15" s="1"/>
  <c r="L912" i="15"/>
  <c r="J912" i="15"/>
  <c r="I912" i="15"/>
  <c r="E912" i="15"/>
  <c r="D912" i="15"/>
  <c r="S911" i="15"/>
  <c r="R911" i="15"/>
  <c r="N911" i="15"/>
  <c r="M911" i="15"/>
  <c r="N911" i="15" s="1" a="1"/>
  <c r="L911" i="15"/>
  <c r="J911" i="15"/>
  <c r="I911" i="15"/>
  <c r="E911" i="15"/>
  <c r="D911" i="15"/>
  <c r="S910" i="15"/>
  <c r="R910" i="15"/>
  <c r="N910" i="15"/>
  <c r="M910" i="15"/>
  <c r="N910" i="15" s="1" a="1"/>
  <c r="L910" i="15"/>
  <c r="J910" i="15"/>
  <c r="I910" i="15"/>
  <c r="E910" i="15"/>
  <c r="D910" i="15"/>
  <c r="S909" i="15"/>
  <c r="R909" i="15"/>
  <c r="N909" i="15"/>
  <c r="N909" i="15" a="1"/>
  <c r="M909" i="15"/>
  <c r="L909" i="15"/>
  <c r="J909" i="15"/>
  <c r="I909" i="15"/>
  <c r="E909" i="15"/>
  <c r="D909" i="15"/>
  <c r="S908" i="15"/>
  <c r="R908" i="15"/>
  <c r="M908" i="15"/>
  <c r="N908" i="15" s="1" a="1"/>
  <c r="N908" i="15" s="1"/>
  <c r="L908" i="15"/>
  <c r="J908" i="15"/>
  <c r="I908" i="15"/>
  <c r="E908" i="15"/>
  <c r="D908" i="15"/>
  <c r="S907" i="15"/>
  <c r="R907" i="15"/>
  <c r="N907" i="15"/>
  <c r="N907" i="15" a="1"/>
  <c r="M907" i="15"/>
  <c r="L907" i="15"/>
  <c r="J907" i="15"/>
  <c r="I907" i="15"/>
  <c r="E907" i="15"/>
  <c r="D907" i="15"/>
  <c r="S906" i="15"/>
  <c r="R906" i="15"/>
  <c r="N906" i="15"/>
  <c r="M906" i="15"/>
  <c r="N906" i="15" s="1" a="1"/>
  <c r="L906" i="15"/>
  <c r="J906" i="15"/>
  <c r="I906" i="15"/>
  <c r="E906" i="15"/>
  <c r="D906" i="15"/>
  <c r="S905" i="15"/>
  <c r="R905" i="15"/>
  <c r="M905" i="15"/>
  <c r="N905" i="15" s="1" a="1"/>
  <c r="N905" i="15" s="1"/>
  <c r="L905" i="15"/>
  <c r="J905" i="15"/>
  <c r="I905" i="15"/>
  <c r="E905" i="15"/>
  <c r="D905" i="15"/>
  <c r="S904" i="15"/>
  <c r="R904" i="15"/>
  <c r="N904" i="15"/>
  <c r="M904" i="15"/>
  <c r="N904" i="15" s="1" a="1"/>
  <c r="L904" i="15"/>
  <c r="J904" i="15"/>
  <c r="I904" i="15"/>
  <c r="E904" i="15"/>
  <c r="D904" i="15"/>
  <c r="S903" i="15"/>
  <c r="R903" i="15"/>
  <c r="N903" i="15"/>
  <c r="M903" i="15"/>
  <c r="N903" i="15" s="1" a="1"/>
  <c r="L903" i="15"/>
  <c r="J903" i="15"/>
  <c r="I903" i="15"/>
  <c r="E903" i="15"/>
  <c r="D903" i="15"/>
  <c r="S902" i="15"/>
  <c r="R902" i="15"/>
  <c r="N902" i="15"/>
  <c r="M902" i="15"/>
  <c r="N902" i="15" s="1" a="1"/>
  <c r="L902" i="15"/>
  <c r="J902" i="15"/>
  <c r="I902" i="15"/>
  <c r="E902" i="15"/>
  <c r="D902" i="15"/>
  <c r="S901" i="15"/>
  <c r="R901" i="15"/>
  <c r="N901" i="15" a="1"/>
  <c r="N901" i="15" s="1"/>
  <c r="M901" i="15"/>
  <c r="L901" i="15"/>
  <c r="J901" i="15"/>
  <c r="I901" i="15"/>
  <c r="E901" i="15"/>
  <c r="D901" i="15"/>
  <c r="S900" i="15"/>
  <c r="R900" i="15"/>
  <c r="M900" i="15"/>
  <c r="N900" i="15" s="1" a="1"/>
  <c r="N900" i="15" s="1"/>
  <c r="L900" i="15"/>
  <c r="J900" i="15"/>
  <c r="I900" i="15"/>
  <c r="E900" i="15"/>
  <c r="D900" i="15"/>
  <c r="S899" i="15"/>
  <c r="R899" i="15"/>
  <c r="N899" i="15"/>
  <c r="N899" i="15" a="1"/>
  <c r="M899" i="15"/>
  <c r="L899" i="15"/>
  <c r="J899" i="15"/>
  <c r="I899" i="15"/>
  <c r="E899" i="15"/>
  <c r="D899" i="15"/>
  <c r="S898" i="15"/>
  <c r="R898" i="15"/>
  <c r="N898" i="15"/>
  <c r="M898" i="15"/>
  <c r="N898" i="15" s="1" a="1"/>
  <c r="L898" i="15"/>
  <c r="J898" i="15"/>
  <c r="I898" i="15"/>
  <c r="E898" i="15"/>
  <c r="D898" i="15"/>
  <c r="S897" i="15"/>
  <c r="R897" i="15"/>
  <c r="M897" i="15"/>
  <c r="N897" i="15" s="1" a="1"/>
  <c r="N897" i="15" s="1"/>
  <c r="L897" i="15"/>
  <c r="J897" i="15"/>
  <c r="I897" i="15"/>
  <c r="E897" i="15"/>
  <c r="D897" i="15"/>
  <c r="S896" i="15"/>
  <c r="R896" i="15"/>
  <c r="N896" i="15"/>
  <c r="M896" i="15"/>
  <c r="N896" i="15" s="1" a="1"/>
  <c r="L896" i="15"/>
  <c r="J896" i="15"/>
  <c r="I896" i="15"/>
  <c r="E896" i="15"/>
  <c r="D896" i="15"/>
  <c r="S895" i="15"/>
  <c r="R895" i="15"/>
  <c r="N895" i="15"/>
  <c r="M895" i="15"/>
  <c r="N895" i="15" s="1" a="1"/>
  <c r="L895" i="15"/>
  <c r="J895" i="15"/>
  <c r="I895" i="15"/>
  <c r="E895" i="15"/>
  <c r="D895" i="15"/>
  <c r="S894" i="15"/>
  <c r="R894" i="15"/>
  <c r="M894" i="15"/>
  <c r="N894" i="15" s="1" a="1"/>
  <c r="N894" i="15" s="1"/>
  <c r="L894" i="15"/>
  <c r="J894" i="15"/>
  <c r="I894" i="15"/>
  <c r="E894" i="15"/>
  <c r="D894" i="15"/>
  <c r="S893" i="15"/>
  <c r="R893" i="15"/>
  <c r="N893" i="15"/>
  <c r="N893" i="15" a="1"/>
  <c r="M893" i="15"/>
  <c r="L893" i="15"/>
  <c r="J893" i="15"/>
  <c r="I893" i="15"/>
  <c r="E893" i="15"/>
  <c r="D893" i="15"/>
  <c r="S892" i="15"/>
  <c r="R892" i="15"/>
  <c r="M892" i="15"/>
  <c r="N892" i="15" s="1" a="1"/>
  <c r="N892" i="15" s="1"/>
  <c r="L892" i="15"/>
  <c r="J892" i="15"/>
  <c r="I892" i="15"/>
  <c r="E892" i="15"/>
  <c r="D892" i="15"/>
  <c r="S891" i="15"/>
  <c r="R891" i="15"/>
  <c r="M891" i="15"/>
  <c r="N891" i="15" s="1" a="1"/>
  <c r="N891" i="15" s="1"/>
  <c r="L891" i="15"/>
  <c r="J891" i="15"/>
  <c r="I891" i="15"/>
  <c r="E891" i="15"/>
  <c r="D891" i="15"/>
  <c r="S890" i="15"/>
  <c r="R890" i="15"/>
  <c r="N890" i="15"/>
  <c r="M890" i="15"/>
  <c r="N890" i="15" s="1" a="1"/>
  <c r="L890" i="15"/>
  <c r="J890" i="15"/>
  <c r="I890" i="15"/>
  <c r="E890" i="15"/>
  <c r="D890" i="15"/>
  <c r="S889" i="15"/>
  <c r="R889" i="15"/>
  <c r="N889" i="15" a="1"/>
  <c r="N889" i="15" s="1"/>
  <c r="M889" i="15"/>
  <c r="L889" i="15"/>
  <c r="J889" i="15"/>
  <c r="I889" i="15"/>
  <c r="E889" i="15"/>
  <c r="D889" i="15"/>
  <c r="S888" i="15"/>
  <c r="R888" i="15"/>
  <c r="N888" i="15"/>
  <c r="M888" i="15"/>
  <c r="N888" i="15" s="1" a="1"/>
  <c r="L888" i="15"/>
  <c r="J888" i="15"/>
  <c r="I888" i="15"/>
  <c r="E888" i="15"/>
  <c r="D888" i="15"/>
  <c r="S887" i="15"/>
  <c r="R887" i="15"/>
  <c r="M887" i="15"/>
  <c r="N887" i="15" s="1" a="1"/>
  <c r="N887" i="15" s="1"/>
  <c r="L887" i="15"/>
  <c r="J887" i="15"/>
  <c r="I887" i="15"/>
  <c r="E887" i="15"/>
  <c r="D887" i="15"/>
  <c r="S886" i="15"/>
  <c r="R886" i="15"/>
  <c r="M886" i="15"/>
  <c r="N886" i="15" s="1" a="1"/>
  <c r="N886" i="15" s="1"/>
  <c r="L886" i="15"/>
  <c r="J886" i="15"/>
  <c r="I886" i="15"/>
  <c r="E886" i="15"/>
  <c r="D886" i="15"/>
  <c r="S885" i="15"/>
  <c r="R885" i="15"/>
  <c r="N885" i="15"/>
  <c r="N885" i="15" a="1"/>
  <c r="M885" i="15"/>
  <c r="L885" i="15"/>
  <c r="J885" i="15"/>
  <c r="I885" i="15"/>
  <c r="E885" i="15"/>
  <c r="D885" i="15"/>
  <c r="S884" i="15"/>
  <c r="R884" i="15"/>
  <c r="M884" i="15"/>
  <c r="N884" i="15" s="1" a="1"/>
  <c r="N884" i="15" s="1"/>
  <c r="L884" i="15"/>
  <c r="J884" i="15"/>
  <c r="I884" i="15"/>
  <c r="E884" i="15"/>
  <c r="D884" i="15"/>
  <c r="S883" i="15"/>
  <c r="R883" i="15"/>
  <c r="M883" i="15"/>
  <c r="N883" i="15" s="1" a="1"/>
  <c r="N883" i="15" s="1"/>
  <c r="L883" i="15"/>
  <c r="J883" i="15"/>
  <c r="I883" i="15"/>
  <c r="E883" i="15"/>
  <c r="D883" i="15"/>
  <c r="S882" i="15"/>
  <c r="R882" i="15"/>
  <c r="N882" i="15"/>
  <c r="M882" i="15"/>
  <c r="N882" i="15" s="1" a="1"/>
  <c r="L882" i="15"/>
  <c r="J882" i="15"/>
  <c r="I882" i="15"/>
  <c r="E882" i="15"/>
  <c r="D882" i="15"/>
  <c r="S881" i="15"/>
  <c r="R881" i="15"/>
  <c r="N881" i="15" a="1"/>
  <c r="N881" i="15" s="1"/>
  <c r="M881" i="15"/>
  <c r="L881" i="15"/>
  <c r="J881" i="15"/>
  <c r="I881" i="15"/>
  <c r="E881" i="15"/>
  <c r="D881" i="15"/>
  <c r="S880" i="15"/>
  <c r="R880" i="15"/>
  <c r="M880" i="15"/>
  <c r="N880" i="15" s="1" a="1"/>
  <c r="N880" i="15" s="1"/>
  <c r="L880" i="15"/>
  <c r="J880" i="15"/>
  <c r="I880" i="15"/>
  <c r="E880" i="15"/>
  <c r="D880" i="15"/>
  <c r="S879" i="15"/>
  <c r="R879" i="15"/>
  <c r="N879" i="15"/>
  <c r="M879" i="15"/>
  <c r="N879" i="15" s="1" a="1"/>
  <c r="L879" i="15"/>
  <c r="J879" i="15"/>
  <c r="I879" i="15"/>
  <c r="E879" i="15"/>
  <c r="D879" i="15"/>
  <c r="S878" i="15"/>
  <c r="R878" i="15"/>
  <c r="N878" i="15"/>
  <c r="M878" i="15"/>
  <c r="N878" i="15" s="1" a="1"/>
  <c r="L878" i="15"/>
  <c r="J878" i="15"/>
  <c r="I878" i="15"/>
  <c r="E878" i="15"/>
  <c r="D878" i="15"/>
  <c r="S877" i="15"/>
  <c r="R877" i="15"/>
  <c r="N877" i="15"/>
  <c r="N877" i="15" a="1"/>
  <c r="M877" i="15"/>
  <c r="L877" i="15"/>
  <c r="J877" i="15"/>
  <c r="I877" i="15"/>
  <c r="E877" i="15"/>
  <c r="D877" i="15"/>
  <c r="S876" i="15"/>
  <c r="R876" i="15"/>
  <c r="M876" i="15"/>
  <c r="N876" i="15" s="1" a="1"/>
  <c r="N876" i="15" s="1"/>
  <c r="L876" i="15"/>
  <c r="J876" i="15"/>
  <c r="I876" i="15"/>
  <c r="E876" i="15"/>
  <c r="D876" i="15"/>
  <c r="S875" i="15"/>
  <c r="R875" i="15"/>
  <c r="N875" i="15"/>
  <c r="N875" i="15" a="1"/>
  <c r="M875" i="15"/>
  <c r="L875" i="15"/>
  <c r="J875" i="15"/>
  <c r="I875" i="15"/>
  <c r="E875" i="15"/>
  <c r="D875" i="15"/>
  <c r="S874" i="15"/>
  <c r="R874" i="15"/>
  <c r="N874" i="15"/>
  <c r="M874" i="15"/>
  <c r="N874" i="15" s="1" a="1"/>
  <c r="L874" i="15"/>
  <c r="J874" i="15"/>
  <c r="I874" i="15"/>
  <c r="E874" i="15"/>
  <c r="D874" i="15"/>
  <c r="S873" i="15"/>
  <c r="R873" i="15"/>
  <c r="M873" i="15"/>
  <c r="N873" i="15" s="1" a="1"/>
  <c r="N873" i="15" s="1"/>
  <c r="L873" i="15"/>
  <c r="J873" i="15"/>
  <c r="I873" i="15"/>
  <c r="E873" i="15"/>
  <c r="D873" i="15"/>
  <c r="S872" i="15"/>
  <c r="R872" i="15"/>
  <c r="N872" i="15"/>
  <c r="M872" i="15"/>
  <c r="N872" i="15" s="1" a="1"/>
  <c r="L872" i="15"/>
  <c r="J872" i="15"/>
  <c r="I872" i="15"/>
  <c r="E872" i="15"/>
  <c r="D872" i="15"/>
  <c r="S871" i="15"/>
  <c r="R871" i="15"/>
  <c r="N871" i="15"/>
  <c r="M871" i="15"/>
  <c r="N871" i="15" s="1" a="1"/>
  <c r="L871" i="15"/>
  <c r="J871" i="15"/>
  <c r="I871" i="15"/>
  <c r="E871" i="15"/>
  <c r="D871" i="15"/>
  <c r="S870" i="15"/>
  <c r="R870" i="15"/>
  <c r="N870" i="15"/>
  <c r="M870" i="15"/>
  <c r="N870" i="15" s="1" a="1"/>
  <c r="L870" i="15"/>
  <c r="J870" i="15"/>
  <c r="I870" i="15"/>
  <c r="E870" i="15"/>
  <c r="D870" i="15"/>
  <c r="S869" i="15"/>
  <c r="R869" i="15"/>
  <c r="N869" i="15" a="1"/>
  <c r="N869" i="15" s="1"/>
  <c r="M869" i="15"/>
  <c r="L869" i="15"/>
  <c r="J869" i="15"/>
  <c r="I869" i="15"/>
  <c r="E869" i="15"/>
  <c r="D869" i="15"/>
  <c r="S868" i="15"/>
  <c r="R868" i="15"/>
  <c r="M868" i="15"/>
  <c r="N868" i="15" s="1" a="1"/>
  <c r="N868" i="15" s="1"/>
  <c r="L868" i="15"/>
  <c r="J868" i="15"/>
  <c r="I868" i="15"/>
  <c r="E868" i="15"/>
  <c r="D868" i="15"/>
  <c r="S867" i="15"/>
  <c r="R867" i="15"/>
  <c r="N867" i="15"/>
  <c r="N867" i="15" a="1"/>
  <c r="M867" i="15"/>
  <c r="L867" i="15"/>
  <c r="J867" i="15"/>
  <c r="I867" i="15"/>
  <c r="E867" i="15"/>
  <c r="D867" i="15"/>
  <c r="S866" i="15"/>
  <c r="R866" i="15"/>
  <c r="N866" i="15"/>
  <c r="M866" i="15"/>
  <c r="N866" i="15" s="1" a="1"/>
  <c r="L866" i="15"/>
  <c r="J866" i="15"/>
  <c r="I866" i="15"/>
  <c r="E866" i="15"/>
  <c r="D866" i="15"/>
  <c r="S865" i="15"/>
  <c r="R865" i="15"/>
  <c r="M865" i="15"/>
  <c r="N865" i="15" s="1" a="1"/>
  <c r="N865" i="15" s="1"/>
  <c r="L865" i="15"/>
  <c r="J865" i="15"/>
  <c r="I865" i="15"/>
  <c r="E865" i="15"/>
  <c r="D865" i="15"/>
  <c r="S864" i="15"/>
  <c r="R864" i="15"/>
  <c r="N864" i="15"/>
  <c r="M864" i="15"/>
  <c r="N864" i="15" s="1" a="1"/>
  <c r="L864" i="15"/>
  <c r="J864" i="15"/>
  <c r="I864" i="15"/>
  <c r="E864" i="15"/>
  <c r="D864" i="15"/>
  <c r="S863" i="15"/>
  <c r="R863" i="15"/>
  <c r="N863" i="15"/>
  <c r="M863" i="15"/>
  <c r="N863" i="15" s="1" a="1"/>
  <c r="L863" i="15"/>
  <c r="J863" i="15"/>
  <c r="I863" i="15"/>
  <c r="E863" i="15"/>
  <c r="D863" i="15"/>
  <c r="S862" i="15"/>
  <c r="R862" i="15"/>
  <c r="M862" i="15"/>
  <c r="N862" i="15" s="1" a="1"/>
  <c r="N862" i="15" s="1"/>
  <c r="L862" i="15"/>
  <c r="J862" i="15"/>
  <c r="I862" i="15"/>
  <c r="E862" i="15"/>
  <c r="D862" i="15"/>
  <c r="S861" i="15"/>
  <c r="R861" i="15"/>
  <c r="N861" i="15"/>
  <c r="N861" i="15" a="1"/>
  <c r="M861" i="15"/>
  <c r="L861" i="15"/>
  <c r="J861" i="15"/>
  <c r="I861" i="15"/>
  <c r="E861" i="15"/>
  <c r="D861" i="15"/>
  <c r="S860" i="15"/>
  <c r="R860" i="15"/>
  <c r="M860" i="15"/>
  <c r="N860" i="15" s="1" a="1"/>
  <c r="N860" i="15" s="1"/>
  <c r="L860" i="15"/>
  <c r="J860" i="15"/>
  <c r="I860" i="15"/>
  <c r="E860" i="15"/>
  <c r="D860" i="15"/>
  <c r="S859" i="15"/>
  <c r="R859" i="15"/>
  <c r="M859" i="15"/>
  <c r="N859" i="15" s="1" a="1"/>
  <c r="N859" i="15" s="1"/>
  <c r="L859" i="15"/>
  <c r="J859" i="15"/>
  <c r="I859" i="15"/>
  <c r="E859" i="15"/>
  <c r="D859" i="15"/>
  <c r="S858" i="15"/>
  <c r="R858" i="15"/>
  <c r="N858" i="15"/>
  <c r="M858" i="15"/>
  <c r="N858" i="15" s="1" a="1"/>
  <c r="L858" i="15"/>
  <c r="J858" i="15"/>
  <c r="I858" i="15"/>
  <c r="E858" i="15"/>
  <c r="D858" i="15"/>
  <c r="S857" i="15"/>
  <c r="R857" i="15"/>
  <c r="N857" i="15" a="1"/>
  <c r="N857" i="15" s="1"/>
  <c r="M857" i="15"/>
  <c r="L857" i="15"/>
  <c r="J857" i="15"/>
  <c r="I857" i="15"/>
  <c r="E857" i="15"/>
  <c r="D857" i="15"/>
  <c r="S856" i="15"/>
  <c r="R856" i="15"/>
  <c r="N856" i="15"/>
  <c r="M856" i="15"/>
  <c r="N856" i="15" s="1" a="1"/>
  <c r="L856" i="15"/>
  <c r="J856" i="15"/>
  <c r="I856" i="15"/>
  <c r="E856" i="15"/>
  <c r="D856" i="15"/>
  <c r="S855" i="15"/>
  <c r="R855" i="15"/>
  <c r="M855" i="15"/>
  <c r="N855" i="15" s="1" a="1"/>
  <c r="N855" i="15" s="1"/>
  <c r="L855" i="15"/>
  <c r="J855" i="15"/>
  <c r="I855" i="15"/>
  <c r="E855" i="15"/>
  <c r="D855" i="15"/>
  <c r="S854" i="15"/>
  <c r="R854" i="15"/>
  <c r="M854" i="15"/>
  <c r="N854" i="15" s="1" a="1"/>
  <c r="N854" i="15" s="1"/>
  <c r="L854" i="15"/>
  <c r="J854" i="15"/>
  <c r="I854" i="15"/>
  <c r="E854" i="15"/>
  <c r="D854" i="15"/>
  <c r="S853" i="15"/>
  <c r="R853" i="15"/>
  <c r="N853" i="15"/>
  <c r="N853" i="15" a="1"/>
  <c r="M853" i="15"/>
  <c r="L853" i="15"/>
  <c r="J853" i="15"/>
  <c r="I853" i="15"/>
  <c r="E853" i="15"/>
  <c r="D853" i="15"/>
  <c r="S852" i="15"/>
  <c r="R852" i="15"/>
  <c r="M852" i="15"/>
  <c r="N852" i="15" s="1" a="1"/>
  <c r="N852" i="15" s="1"/>
  <c r="L852" i="15"/>
  <c r="J852" i="15"/>
  <c r="I852" i="15"/>
  <c r="E852" i="15"/>
  <c r="D852" i="15"/>
  <c r="S851" i="15"/>
  <c r="R851" i="15"/>
  <c r="M851" i="15"/>
  <c r="N851" i="15" s="1" a="1"/>
  <c r="N851" i="15" s="1"/>
  <c r="L851" i="15"/>
  <c r="J851" i="15"/>
  <c r="I851" i="15"/>
  <c r="E851" i="15"/>
  <c r="D851" i="15"/>
  <c r="S850" i="15"/>
  <c r="R850" i="15"/>
  <c r="N850" i="15"/>
  <c r="M850" i="15"/>
  <c r="N850" i="15" s="1" a="1"/>
  <c r="L850" i="15"/>
  <c r="J850" i="15"/>
  <c r="I850" i="15"/>
  <c r="E850" i="15"/>
  <c r="D850" i="15"/>
  <c r="S849" i="15"/>
  <c r="R849" i="15"/>
  <c r="N849" i="15" a="1"/>
  <c r="N849" i="15" s="1"/>
  <c r="M849" i="15"/>
  <c r="L849" i="15"/>
  <c r="J849" i="15"/>
  <c r="I849" i="15"/>
  <c r="E849" i="15"/>
  <c r="D849" i="15"/>
  <c r="S848" i="15"/>
  <c r="R848" i="15"/>
  <c r="M848" i="15"/>
  <c r="N848" i="15" s="1" a="1"/>
  <c r="N848" i="15" s="1"/>
  <c r="L848" i="15"/>
  <c r="J848" i="15"/>
  <c r="I848" i="15"/>
  <c r="E848" i="15"/>
  <c r="D848" i="15"/>
  <c r="S847" i="15"/>
  <c r="R847" i="15"/>
  <c r="N847" i="15"/>
  <c r="M847" i="15"/>
  <c r="N847" i="15" s="1" a="1"/>
  <c r="L847" i="15"/>
  <c r="J847" i="15"/>
  <c r="I847" i="15"/>
  <c r="E847" i="15"/>
  <c r="D847" i="15"/>
  <c r="S846" i="15"/>
  <c r="R846" i="15"/>
  <c r="N846" i="15"/>
  <c r="M846" i="15"/>
  <c r="N846" i="15" s="1" a="1"/>
  <c r="L846" i="15"/>
  <c r="J846" i="15"/>
  <c r="I846" i="15"/>
  <c r="E846" i="15"/>
  <c r="D846" i="15"/>
  <c r="S845" i="15"/>
  <c r="R845" i="15"/>
  <c r="N845" i="15"/>
  <c r="N845" i="15" a="1"/>
  <c r="M845" i="15"/>
  <c r="L845" i="15"/>
  <c r="J845" i="15"/>
  <c r="I845" i="15"/>
  <c r="E845" i="15"/>
  <c r="D845" i="15"/>
  <c r="S844" i="15"/>
  <c r="R844" i="15"/>
  <c r="M844" i="15"/>
  <c r="N844" i="15" s="1" a="1"/>
  <c r="N844" i="15" s="1"/>
  <c r="L844" i="15"/>
  <c r="J844" i="15"/>
  <c r="I844" i="15"/>
  <c r="E844" i="15"/>
  <c r="D844" i="15"/>
  <c r="S843" i="15"/>
  <c r="R843" i="15"/>
  <c r="N843" i="15"/>
  <c r="N843" i="15" a="1"/>
  <c r="M843" i="15"/>
  <c r="L843" i="15"/>
  <c r="J843" i="15"/>
  <c r="I843" i="15"/>
  <c r="E843" i="15"/>
  <c r="D843" i="15"/>
  <c r="S842" i="15"/>
  <c r="R842" i="15"/>
  <c r="N842" i="15"/>
  <c r="M842" i="15"/>
  <c r="N842" i="15" s="1" a="1"/>
  <c r="L842" i="15"/>
  <c r="J842" i="15"/>
  <c r="I842" i="15"/>
  <c r="E842" i="15"/>
  <c r="D842" i="15"/>
  <c r="S841" i="15"/>
  <c r="R841" i="15"/>
  <c r="M841" i="15"/>
  <c r="N841" i="15" s="1" a="1"/>
  <c r="N841" i="15" s="1"/>
  <c r="L841" i="15"/>
  <c r="J841" i="15"/>
  <c r="I841" i="15"/>
  <c r="E841" i="15"/>
  <c r="D841" i="15"/>
  <c r="S840" i="15"/>
  <c r="R840" i="15"/>
  <c r="N840" i="15"/>
  <c r="M840" i="15"/>
  <c r="N840" i="15" s="1" a="1"/>
  <c r="L840" i="15"/>
  <c r="J840" i="15"/>
  <c r="I840" i="15"/>
  <c r="E840" i="15"/>
  <c r="D840" i="15"/>
  <c r="S839" i="15"/>
  <c r="R839" i="15"/>
  <c r="N839" i="15"/>
  <c r="M839" i="15"/>
  <c r="N839" i="15" s="1" a="1"/>
  <c r="L839" i="15"/>
  <c r="J839" i="15"/>
  <c r="I839" i="15"/>
  <c r="E839" i="15"/>
  <c r="D839" i="15"/>
  <c r="S838" i="15"/>
  <c r="R838" i="15"/>
  <c r="N838" i="15"/>
  <c r="M838" i="15"/>
  <c r="N838" i="15" s="1" a="1"/>
  <c r="L838" i="15"/>
  <c r="J838" i="15"/>
  <c r="I838" i="15"/>
  <c r="E838" i="15"/>
  <c r="D838" i="15"/>
  <c r="S837" i="15"/>
  <c r="R837" i="15"/>
  <c r="N837" i="15" a="1"/>
  <c r="N837" i="15" s="1"/>
  <c r="M837" i="15"/>
  <c r="L837" i="15"/>
  <c r="J837" i="15"/>
  <c r="I837" i="15"/>
  <c r="E837" i="15"/>
  <c r="D837" i="15"/>
  <c r="S836" i="15"/>
  <c r="R836" i="15"/>
  <c r="M836" i="15"/>
  <c r="N836" i="15" s="1" a="1"/>
  <c r="N836" i="15" s="1"/>
  <c r="L836" i="15"/>
  <c r="J836" i="15"/>
  <c r="I836" i="15"/>
  <c r="E836" i="15"/>
  <c r="D836" i="15"/>
  <c r="S835" i="15"/>
  <c r="R835" i="15"/>
  <c r="N835" i="15"/>
  <c r="N835" i="15" a="1"/>
  <c r="M835" i="15"/>
  <c r="L835" i="15"/>
  <c r="J835" i="15"/>
  <c r="I835" i="15"/>
  <c r="E835" i="15"/>
  <c r="D835" i="15"/>
  <c r="S834" i="15"/>
  <c r="R834" i="15"/>
  <c r="N834" i="15"/>
  <c r="M834" i="15"/>
  <c r="N834" i="15" s="1" a="1"/>
  <c r="L834" i="15"/>
  <c r="J834" i="15"/>
  <c r="I834" i="15"/>
  <c r="E834" i="15"/>
  <c r="D834" i="15"/>
  <c r="S833" i="15"/>
  <c r="R833" i="15"/>
  <c r="M833" i="15"/>
  <c r="N833" i="15" s="1" a="1"/>
  <c r="N833" i="15" s="1"/>
  <c r="L833" i="15"/>
  <c r="J833" i="15"/>
  <c r="I833" i="15"/>
  <c r="E833" i="15"/>
  <c r="D833" i="15"/>
  <c r="S832" i="15"/>
  <c r="R832" i="15"/>
  <c r="N832" i="15"/>
  <c r="N832" i="15" a="1"/>
  <c r="M832" i="15"/>
  <c r="L832" i="15"/>
  <c r="J832" i="15"/>
  <c r="I832" i="15"/>
  <c r="E832" i="15"/>
  <c r="D832" i="15"/>
  <c r="S831" i="15"/>
  <c r="R831" i="15"/>
  <c r="M831" i="15"/>
  <c r="N831" i="15" s="1" a="1"/>
  <c r="N831" i="15" s="1"/>
  <c r="L831" i="15"/>
  <c r="J831" i="15"/>
  <c r="I831" i="15"/>
  <c r="E831" i="15"/>
  <c r="D831" i="15"/>
  <c r="S830" i="15"/>
  <c r="R830" i="15"/>
  <c r="N830" i="15"/>
  <c r="N830" i="15" a="1"/>
  <c r="M830" i="15"/>
  <c r="L830" i="15"/>
  <c r="J830" i="15"/>
  <c r="I830" i="15"/>
  <c r="E830" i="15"/>
  <c r="D830" i="15"/>
  <c r="S829" i="15"/>
  <c r="R829" i="15"/>
  <c r="N829" i="15" a="1"/>
  <c r="N829" i="15" s="1"/>
  <c r="M829" i="15"/>
  <c r="L829" i="15"/>
  <c r="J829" i="15"/>
  <c r="I829" i="15"/>
  <c r="E829" i="15"/>
  <c r="D829" i="15"/>
  <c r="S828" i="15"/>
  <c r="R828" i="15"/>
  <c r="N828" i="15" a="1"/>
  <c r="N828" i="15" s="1"/>
  <c r="M828" i="15"/>
  <c r="L828" i="15"/>
  <c r="J828" i="15"/>
  <c r="I828" i="15"/>
  <c r="E828" i="15"/>
  <c r="D828" i="15"/>
  <c r="S827" i="15"/>
  <c r="R827" i="15"/>
  <c r="N827" i="15" a="1"/>
  <c r="N827" i="15" s="1"/>
  <c r="M827" i="15"/>
  <c r="L827" i="15"/>
  <c r="J827" i="15"/>
  <c r="I827" i="15"/>
  <c r="E827" i="15"/>
  <c r="D827" i="15"/>
  <c r="S826" i="15"/>
  <c r="R826" i="15"/>
  <c r="N826" i="15"/>
  <c r="N826" i="15" a="1"/>
  <c r="M826" i="15"/>
  <c r="L826" i="15"/>
  <c r="J826" i="15"/>
  <c r="I826" i="15"/>
  <c r="E826" i="15"/>
  <c r="D826" i="15"/>
  <c r="S825" i="15"/>
  <c r="R825" i="15"/>
  <c r="N825" i="15" a="1"/>
  <c r="N825" i="15" s="1"/>
  <c r="M825" i="15"/>
  <c r="L825" i="15"/>
  <c r="J825" i="15"/>
  <c r="I825" i="15"/>
  <c r="E825" i="15"/>
  <c r="D825" i="15"/>
  <c r="S824" i="15"/>
  <c r="R824" i="15"/>
  <c r="N824" i="15"/>
  <c r="N824" i="15" a="1"/>
  <c r="M824" i="15"/>
  <c r="L824" i="15"/>
  <c r="J824" i="15"/>
  <c r="I824" i="15"/>
  <c r="E824" i="15"/>
  <c r="D824" i="15"/>
  <c r="S823" i="15"/>
  <c r="R823" i="15"/>
  <c r="M823" i="15"/>
  <c r="N823" i="15" s="1" a="1"/>
  <c r="N823" i="15" s="1"/>
  <c r="L823" i="15"/>
  <c r="J823" i="15"/>
  <c r="I823" i="15"/>
  <c r="E823" i="15"/>
  <c r="D823" i="15"/>
  <c r="S822" i="15"/>
  <c r="R822" i="15"/>
  <c r="N822" i="15"/>
  <c r="N822" i="15" a="1"/>
  <c r="M822" i="15"/>
  <c r="L822" i="15"/>
  <c r="J822" i="15"/>
  <c r="I822" i="15"/>
  <c r="E822" i="15"/>
  <c r="D822" i="15"/>
  <c r="S821" i="15"/>
  <c r="R821" i="15"/>
  <c r="N821" i="15" a="1"/>
  <c r="N821" i="15" s="1"/>
  <c r="M821" i="15"/>
  <c r="L821" i="15"/>
  <c r="J821" i="15"/>
  <c r="I821" i="15"/>
  <c r="E821" i="15"/>
  <c r="D821" i="15"/>
  <c r="S820" i="15"/>
  <c r="R820" i="15"/>
  <c r="N820" i="15" a="1"/>
  <c r="N820" i="15" s="1"/>
  <c r="M820" i="15"/>
  <c r="L820" i="15"/>
  <c r="J820" i="15"/>
  <c r="I820" i="15"/>
  <c r="E820" i="15"/>
  <c r="D820" i="15"/>
  <c r="S819" i="15"/>
  <c r="R819" i="15"/>
  <c r="N819" i="15" a="1"/>
  <c r="N819" i="15" s="1"/>
  <c r="M819" i="15"/>
  <c r="L819" i="15"/>
  <c r="J819" i="15"/>
  <c r="I819" i="15"/>
  <c r="E819" i="15"/>
  <c r="D819" i="15"/>
  <c r="S818" i="15"/>
  <c r="R818" i="15"/>
  <c r="N818" i="15"/>
  <c r="N818" i="15" a="1"/>
  <c r="M818" i="15"/>
  <c r="L818" i="15"/>
  <c r="J818" i="15"/>
  <c r="I818" i="15"/>
  <c r="E818" i="15"/>
  <c r="D818" i="15"/>
  <c r="S817" i="15"/>
  <c r="R817" i="15"/>
  <c r="M817" i="15"/>
  <c r="N817" i="15" s="1" a="1"/>
  <c r="N817" i="15" s="1"/>
  <c r="L817" i="15"/>
  <c r="J817" i="15"/>
  <c r="I817" i="15"/>
  <c r="E817" i="15"/>
  <c r="D817" i="15"/>
  <c r="S816" i="15"/>
  <c r="R816" i="15"/>
  <c r="N816" i="15"/>
  <c r="N816" i="15" a="1"/>
  <c r="M816" i="15"/>
  <c r="L816" i="15"/>
  <c r="J816" i="15"/>
  <c r="I816" i="15"/>
  <c r="E816" i="15"/>
  <c r="D816" i="15"/>
  <c r="S815" i="15"/>
  <c r="R815" i="15"/>
  <c r="M815" i="15"/>
  <c r="N815" i="15" s="1" a="1"/>
  <c r="N815" i="15" s="1"/>
  <c r="L815" i="15"/>
  <c r="J815" i="15"/>
  <c r="I815" i="15"/>
  <c r="E815" i="15"/>
  <c r="D815" i="15"/>
  <c r="S814" i="15"/>
  <c r="R814" i="15"/>
  <c r="N814" i="15"/>
  <c r="N814" i="15" a="1"/>
  <c r="M814" i="15"/>
  <c r="L814" i="15"/>
  <c r="J814" i="15"/>
  <c r="I814" i="15"/>
  <c r="E814" i="15"/>
  <c r="D814" i="15"/>
  <c r="S813" i="15"/>
  <c r="R813" i="15"/>
  <c r="N813" i="15" a="1"/>
  <c r="N813" i="15" s="1"/>
  <c r="M813" i="15"/>
  <c r="L813" i="15"/>
  <c r="J813" i="15"/>
  <c r="I813" i="15"/>
  <c r="E813" i="15"/>
  <c r="D813" i="15"/>
  <c r="S812" i="15"/>
  <c r="R812" i="15"/>
  <c r="N812" i="15" a="1"/>
  <c r="N812" i="15" s="1"/>
  <c r="M812" i="15"/>
  <c r="L812" i="15"/>
  <c r="J812" i="15"/>
  <c r="I812" i="15"/>
  <c r="E812" i="15"/>
  <c r="D812" i="15"/>
  <c r="S811" i="15"/>
  <c r="R811" i="15"/>
  <c r="N811" i="15" a="1"/>
  <c r="N811" i="15" s="1"/>
  <c r="M811" i="15"/>
  <c r="L811" i="15"/>
  <c r="J811" i="15"/>
  <c r="I811" i="15"/>
  <c r="E811" i="15"/>
  <c r="D811" i="15"/>
  <c r="S810" i="15"/>
  <c r="R810" i="15"/>
  <c r="N810" i="15"/>
  <c r="N810" i="15" a="1"/>
  <c r="M810" i="15"/>
  <c r="L810" i="15"/>
  <c r="J810" i="15"/>
  <c r="I810" i="15"/>
  <c r="E810" i="15"/>
  <c r="D810" i="15"/>
  <c r="S809" i="15"/>
  <c r="R809" i="15"/>
  <c r="N809" i="15" a="1"/>
  <c r="N809" i="15" s="1"/>
  <c r="M809" i="15"/>
  <c r="L809" i="15"/>
  <c r="J809" i="15"/>
  <c r="I809" i="15"/>
  <c r="E809" i="15"/>
  <c r="D809" i="15"/>
  <c r="S808" i="15"/>
  <c r="R808" i="15"/>
  <c r="N808" i="15"/>
  <c r="N808" i="15" a="1"/>
  <c r="M808" i="15"/>
  <c r="L808" i="15"/>
  <c r="J808" i="15"/>
  <c r="I808" i="15"/>
  <c r="E808" i="15"/>
  <c r="D808" i="15"/>
  <c r="S807" i="15"/>
  <c r="R807" i="15"/>
  <c r="M807" i="15"/>
  <c r="N807" i="15" s="1" a="1"/>
  <c r="N807" i="15" s="1"/>
  <c r="L807" i="15"/>
  <c r="J807" i="15"/>
  <c r="I807" i="15"/>
  <c r="E807" i="15"/>
  <c r="D807" i="15"/>
  <c r="S806" i="15"/>
  <c r="R806" i="15"/>
  <c r="N806" i="15"/>
  <c r="N806" i="15" a="1"/>
  <c r="M806" i="15"/>
  <c r="L806" i="15"/>
  <c r="J806" i="15"/>
  <c r="I806" i="15"/>
  <c r="E806" i="15"/>
  <c r="D806" i="15"/>
  <c r="S805" i="15"/>
  <c r="R805" i="15"/>
  <c r="N805" i="15" a="1"/>
  <c r="N805" i="15" s="1"/>
  <c r="M805" i="15"/>
  <c r="L805" i="15"/>
  <c r="J805" i="15"/>
  <c r="I805" i="15"/>
  <c r="E805" i="15"/>
  <c r="D805" i="15"/>
  <c r="S804" i="15"/>
  <c r="R804" i="15"/>
  <c r="N804" i="15" a="1"/>
  <c r="N804" i="15" s="1"/>
  <c r="M804" i="15"/>
  <c r="L804" i="15"/>
  <c r="J804" i="15"/>
  <c r="I804" i="15"/>
  <c r="E804" i="15"/>
  <c r="D804" i="15"/>
  <c r="S803" i="15"/>
  <c r="R803" i="15"/>
  <c r="N803" i="15" a="1"/>
  <c r="N803" i="15" s="1"/>
  <c r="M803" i="15"/>
  <c r="L803" i="15"/>
  <c r="J803" i="15"/>
  <c r="I803" i="15"/>
  <c r="E803" i="15"/>
  <c r="D803" i="15"/>
  <c r="S802" i="15"/>
  <c r="R802" i="15"/>
  <c r="N802" i="15"/>
  <c r="N802" i="15" a="1"/>
  <c r="M802" i="15"/>
  <c r="L802" i="15"/>
  <c r="J802" i="15"/>
  <c r="I802" i="15"/>
  <c r="E802" i="15"/>
  <c r="D802" i="15"/>
  <c r="S801" i="15"/>
  <c r="R801" i="15"/>
  <c r="M801" i="15"/>
  <c r="N801" i="15" s="1" a="1"/>
  <c r="N801" i="15" s="1"/>
  <c r="L801" i="15"/>
  <c r="J801" i="15"/>
  <c r="I801" i="15"/>
  <c r="E801" i="15"/>
  <c r="D801" i="15"/>
  <c r="S800" i="15"/>
  <c r="R800" i="15"/>
  <c r="N800" i="15"/>
  <c r="N800" i="15" a="1"/>
  <c r="M800" i="15"/>
  <c r="L800" i="15"/>
  <c r="J800" i="15"/>
  <c r="I800" i="15"/>
  <c r="E800" i="15"/>
  <c r="D800" i="15"/>
  <c r="S799" i="15"/>
  <c r="R799" i="15"/>
  <c r="M799" i="15"/>
  <c r="N799" i="15" s="1" a="1"/>
  <c r="N799" i="15" s="1"/>
  <c r="L799" i="15"/>
  <c r="J799" i="15"/>
  <c r="I799" i="15"/>
  <c r="E799" i="15"/>
  <c r="D799" i="15"/>
  <c r="S798" i="15"/>
  <c r="R798" i="15"/>
  <c r="N798" i="15"/>
  <c r="N798" i="15" a="1"/>
  <c r="M798" i="15"/>
  <c r="L798" i="15"/>
  <c r="J798" i="15"/>
  <c r="I798" i="15"/>
  <c r="E798" i="15"/>
  <c r="D798" i="15"/>
  <c r="S797" i="15"/>
  <c r="R797" i="15"/>
  <c r="N797" i="15" a="1"/>
  <c r="N797" i="15" s="1"/>
  <c r="M797" i="15"/>
  <c r="L797" i="15"/>
  <c r="J797" i="15"/>
  <c r="I797" i="15"/>
  <c r="E797" i="15"/>
  <c r="D797" i="15"/>
  <c r="S796" i="15"/>
  <c r="R796" i="15"/>
  <c r="N796" i="15" a="1"/>
  <c r="N796" i="15" s="1"/>
  <c r="M796" i="15"/>
  <c r="L796" i="15"/>
  <c r="J796" i="15"/>
  <c r="I796" i="15"/>
  <c r="E796" i="15"/>
  <c r="D796" i="15"/>
  <c r="S795" i="15"/>
  <c r="R795" i="15"/>
  <c r="N795" i="15" a="1"/>
  <c r="N795" i="15" s="1"/>
  <c r="M795" i="15"/>
  <c r="L795" i="15"/>
  <c r="J795" i="15"/>
  <c r="I795" i="15"/>
  <c r="E795" i="15"/>
  <c r="D795" i="15"/>
  <c r="S794" i="15"/>
  <c r="R794" i="15"/>
  <c r="N794" i="15"/>
  <c r="N794" i="15" a="1"/>
  <c r="M794" i="15"/>
  <c r="L794" i="15"/>
  <c r="J794" i="15"/>
  <c r="I794" i="15"/>
  <c r="E794" i="15"/>
  <c r="D794" i="15"/>
  <c r="S793" i="15"/>
  <c r="R793" i="15"/>
  <c r="N793" i="15" a="1"/>
  <c r="N793" i="15" s="1"/>
  <c r="M793" i="15"/>
  <c r="L793" i="15"/>
  <c r="J793" i="15"/>
  <c r="I793" i="15"/>
  <c r="E793" i="15"/>
  <c r="D793" i="15"/>
  <c r="S792" i="15"/>
  <c r="R792" i="15"/>
  <c r="N792" i="15"/>
  <c r="N792" i="15" a="1"/>
  <c r="M792" i="15"/>
  <c r="L792" i="15"/>
  <c r="J792" i="15"/>
  <c r="I792" i="15"/>
  <c r="E792" i="15"/>
  <c r="D792" i="15"/>
  <c r="S791" i="15"/>
  <c r="R791" i="15"/>
  <c r="M791" i="15"/>
  <c r="N791" i="15" s="1" a="1"/>
  <c r="N791" i="15" s="1"/>
  <c r="L791" i="15"/>
  <c r="J791" i="15"/>
  <c r="I791" i="15"/>
  <c r="E791" i="15"/>
  <c r="D791" i="15"/>
  <c r="S790" i="15"/>
  <c r="R790" i="15"/>
  <c r="N790" i="15"/>
  <c r="N790" i="15" a="1"/>
  <c r="M790" i="15"/>
  <c r="L790" i="15"/>
  <c r="J790" i="15"/>
  <c r="I790" i="15"/>
  <c r="E790" i="15"/>
  <c r="D790" i="15"/>
  <c r="S789" i="15"/>
  <c r="R789" i="15"/>
  <c r="N789" i="15" a="1"/>
  <c r="N789" i="15" s="1"/>
  <c r="M789" i="15"/>
  <c r="L789" i="15"/>
  <c r="J789" i="15"/>
  <c r="I789" i="15"/>
  <c r="E789" i="15"/>
  <c r="D789" i="15"/>
  <c r="S788" i="15"/>
  <c r="R788" i="15"/>
  <c r="N788" i="15" a="1"/>
  <c r="N788" i="15" s="1"/>
  <c r="M788" i="15"/>
  <c r="L788" i="15"/>
  <c r="J788" i="15"/>
  <c r="I788" i="15"/>
  <c r="E788" i="15"/>
  <c r="D788" i="15"/>
  <c r="S787" i="15"/>
  <c r="R787" i="15"/>
  <c r="N787" i="15" a="1"/>
  <c r="N787" i="15" s="1"/>
  <c r="M787" i="15"/>
  <c r="L787" i="15"/>
  <c r="J787" i="15"/>
  <c r="I787" i="15"/>
  <c r="E787" i="15"/>
  <c r="D787" i="15"/>
  <c r="S786" i="15"/>
  <c r="R786" i="15"/>
  <c r="N786" i="15"/>
  <c r="N786" i="15" a="1"/>
  <c r="M786" i="15"/>
  <c r="L786" i="15"/>
  <c r="J786" i="15"/>
  <c r="I786" i="15"/>
  <c r="E786" i="15"/>
  <c r="D786" i="15"/>
  <c r="S785" i="15"/>
  <c r="R785" i="15"/>
  <c r="M785" i="15"/>
  <c r="N785" i="15" s="1" a="1"/>
  <c r="N785" i="15" s="1"/>
  <c r="L785" i="15"/>
  <c r="J785" i="15"/>
  <c r="I785" i="15"/>
  <c r="E785" i="15"/>
  <c r="D785" i="15"/>
  <c r="S784" i="15"/>
  <c r="R784" i="15"/>
  <c r="N784" i="15"/>
  <c r="N784" i="15" a="1"/>
  <c r="M784" i="15"/>
  <c r="L784" i="15"/>
  <c r="J784" i="15"/>
  <c r="I784" i="15"/>
  <c r="E784" i="15"/>
  <c r="D784" i="15"/>
  <c r="S783" i="15"/>
  <c r="R783" i="15"/>
  <c r="M783" i="15"/>
  <c r="N783" i="15" s="1" a="1"/>
  <c r="N783" i="15" s="1"/>
  <c r="L783" i="15"/>
  <c r="J783" i="15"/>
  <c r="I783" i="15"/>
  <c r="E783" i="15"/>
  <c r="D783" i="15"/>
  <c r="S782" i="15"/>
  <c r="R782" i="15"/>
  <c r="N782" i="15"/>
  <c r="N782" i="15" a="1"/>
  <c r="M782" i="15"/>
  <c r="L782" i="15"/>
  <c r="J782" i="15"/>
  <c r="I782" i="15"/>
  <c r="E782" i="15"/>
  <c r="D782" i="15"/>
  <c r="S781" i="15"/>
  <c r="R781" i="15"/>
  <c r="N781" i="15" a="1"/>
  <c r="N781" i="15" s="1"/>
  <c r="M781" i="15"/>
  <c r="L781" i="15"/>
  <c r="J781" i="15"/>
  <c r="I781" i="15"/>
  <c r="E781" i="15"/>
  <c r="D781" i="15"/>
  <c r="S780" i="15"/>
  <c r="R780" i="15"/>
  <c r="N780" i="15" a="1"/>
  <c r="N780" i="15" s="1"/>
  <c r="M780" i="15"/>
  <c r="L780" i="15"/>
  <c r="J780" i="15"/>
  <c r="I780" i="15"/>
  <c r="E780" i="15"/>
  <c r="D780" i="15"/>
  <c r="S779" i="15"/>
  <c r="R779" i="15"/>
  <c r="N779" i="15" a="1"/>
  <c r="N779" i="15" s="1"/>
  <c r="M779" i="15"/>
  <c r="L779" i="15"/>
  <c r="J779" i="15"/>
  <c r="I779" i="15"/>
  <c r="E779" i="15"/>
  <c r="D779" i="15"/>
  <c r="S778" i="15"/>
  <c r="R778" i="15"/>
  <c r="N778" i="15"/>
  <c r="N778" i="15" a="1"/>
  <c r="M778" i="15"/>
  <c r="L778" i="15"/>
  <c r="J778" i="15"/>
  <c r="I778" i="15"/>
  <c r="E778" i="15"/>
  <c r="D778" i="15"/>
  <c r="S777" i="15"/>
  <c r="R777" i="15"/>
  <c r="N777" i="15" a="1"/>
  <c r="N777" i="15" s="1"/>
  <c r="M777" i="15"/>
  <c r="L777" i="15"/>
  <c r="J777" i="15"/>
  <c r="I777" i="15"/>
  <c r="E777" i="15"/>
  <c r="D777" i="15"/>
  <c r="S776" i="15"/>
  <c r="R776" i="15"/>
  <c r="N776" i="15"/>
  <c r="N776" i="15" a="1"/>
  <c r="M776" i="15"/>
  <c r="L776" i="15"/>
  <c r="J776" i="15"/>
  <c r="I776" i="15"/>
  <c r="E776" i="15"/>
  <c r="D776" i="15"/>
  <c r="S775" i="15"/>
  <c r="R775" i="15"/>
  <c r="M775" i="15"/>
  <c r="N775" i="15" s="1" a="1"/>
  <c r="N775" i="15" s="1"/>
  <c r="L775" i="15"/>
  <c r="J775" i="15"/>
  <c r="I775" i="15"/>
  <c r="E775" i="15"/>
  <c r="D775" i="15"/>
  <c r="S774" i="15"/>
  <c r="R774" i="15"/>
  <c r="N774" i="15"/>
  <c r="N774" i="15" a="1"/>
  <c r="M774" i="15"/>
  <c r="L774" i="15"/>
  <c r="J774" i="15"/>
  <c r="I774" i="15"/>
  <c r="E774" i="15"/>
  <c r="D774" i="15"/>
  <c r="S773" i="15"/>
  <c r="R773" i="15"/>
  <c r="N773" i="15" a="1"/>
  <c r="N773" i="15" s="1"/>
  <c r="M773" i="15"/>
  <c r="L773" i="15"/>
  <c r="J773" i="15"/>
  <c r="I773" i="15"/>
  <c r="E773" i="15"/>
  <c r="D773" i="15"/>
  <c r="S772" i="15"/>
  <c r="R772" i="15"/>
  <c r="N772" i="15" a="1"/>
  <c r="N772" i="15" s="1"/>
  <c r="M772" i="15"/>
  <c r="L772" i="15"/>
  <c r="J772" i="15"/>
  <c r="I772" i="15"/>
  <c r="E772" i="15"/>
  <c r="D772" i="15"/>
  <c r="S771" i="15"/>
  <c r="R771" i="15"/>
  <c r="N771" i="15" a="1"/>
  <c r="N771" i="15" s="1"/>
  <c r="M771" i="15"/>
  <c r="L771" i="15"/>
  <c r="J771" i="15"/>
  <c r="I771" i="15"/>
  <c r="E771" i="15"/>
  <c r="D771" i="15"/>
  <c r="S770" i="15"/>
  <c r="R770" i="15"/>
  <c r="N770" i="15"/>
  <c r="N770" i="15" a="1"/>
  <c r="M770" i="15"/>
  <c r="L770" i="15"/>
  <c r="J770" i="15"/>
  <c r="I770" i="15"/>
  <c r="E770" i="15"/>
  <c r="D770" i="15"/>
  <c r="S769" i="15"/>
  <c r="R769" i="15"/>
  <c r="M769" i="15"/>
  <c r="N769" i="15" s="1" a="1"/>
  <c r="N769" i="15" s="1"/>
  <c r="L769" i="15"/>
  <c r="J769" i="15"/>
  <c r="I769" i="15"/>
  <c r="E769" i="15"/>
  <c r="D769" i="15"/>
  <c r="S768" i="15"/>
  <c r="R768" i="15"/>
  <c r="N768" i="15"/>
  <c r="N768" i="15" a="1"/>
  <c r="M768" i="15"/>
  <c r="L768" i="15"/>
  <c r="J768" i="15"/>
  <c r="I768" i="15"/>
  <c r="E768" i="15"/>
  <c r="D768" i="15"/>
  <c r="S767" i="15"/>
  <c r="R767" i="15"/>
  <c r="M767" i="15"/>
  <c r="N767" i="15" s="1" a="1"/>
  <c r="N767" i="15" s="1"/>
  <c r="L767" i="15"/>
  <c r="J767" i="15"/>
  <c r="I767" i="15"/>
  <c r="E767" i="15"/>
  <c r="D767" i="15"/>
  <c r="S766" i="15"/>
  <c r="R766" i="15"/>
  <c r="N766" i="15"/>
  <c r="N766" i="15" a="1"/>
  <c r="M766" i="15"/>
  <c r="L766" i="15"/>
  <c r="J766" i="15"/>
  <c r="I766" i="15"/>
  <c r="E766" i="15"/>
  <c r="D766" i="15"/>
  <c r="S765" i="15"/>
  <c r="R765" i="15"/>
  <c r="N765" i="15" a="1"/>
  <c r="N765" i="15" s="1"/>
  <c r="M765" i="15"/>
  <c r="L765" i="15"/>
  <c r="J765" i="15"/>
  <c r="I765" i="15"/>
  <c r="E765" i="15"/>
  <c r="D765" i="15"/>
  <c r="S764" i="15"/>
  <c r="R764" i="15"/>
  <c r="N764" i="15" a="1"/>
  <c r="N764" i="15" s="1"/>
  <c r="M764" i="15"/>
  <c r="L764" i="15"/>
  <c r="J764" i="15"/>
  <c r="I764" i="15"/>
  <c r="E764" i="15"/>
  <c r="D764" i="15"/>
  <c r="S763" i="15"/>
  <c r="R763" i="15"/>
  <c r="N763" i="15" a="1"/>
  <c r="N763" i="15" s="1"/>
  <c r="M763" i="15"/>
  <c r="L763" i="15"/>
  <c r="J763" i="15"/>
  <c r="I763" i="15"/>
  <c r="E763" i="15"/>
  <c r="D763" i="15"/>
  <c r="S762" i="15"/>
  <c r="R762" i="15"/>
  <c r="N762" i="15"/>
  <c r="N762" i="15" a="1"/>
  <c r="M762" i="15"/>
  <c r="L762" i="15"/>
  <c r="J762" i="15"/>
  <c r="I762" i="15"/>
  <c r="E762" i="15"/>
  <c r="D762" i="15"/>
  <c r="S761" i="15"/>
  <c r="R761" i="15"/>
  <c r="N761" i="15" a="1"/>
  <c r="N761" i="15" s="1"/>
  <c r="M761" i="15"/>
  <c r="L761" i="15"/>
  <c r="J761" i="15"/>
  <c r="I761" i="15"/>
  <c r="E761" i="15"/>
  <c r="D761" i="15"/>
  <c r="S760" i="15"/>
  <c r="R760" i="15"/>
  <c r="N760" i="15"/>
  <c r="N760" i="15" a="1"/>
  <c r="M760" i="15"/>
  <c r="L760" i="15"/>
  <c r="J760" i="15"/>
  <c r="I760" i="15"/>
  <c r="E760" i="15"/>
  <c r="D760" i="15"/>
  <c r="S759" i="15"/>
  <c r="R759" i="15"/>
  <c r="M759" i="15"/>
  <c r="N759" i="15" s="1" a="1"/>
  <c r="N759" i="15" s="1"/>
  <c r="L759" i="15"/>
  <c r="J759" i="15"/>
  <c r="I759" i="15"/>
  <c r="E759" i="15"/>
  <c r="D759" i="15"/>
  <c r="S758" i="15"/>
  <c r="R758" i="15"/>
  <c r="N758" i="15"/>
  <c r="N758" i="15" a="1"/>
  <c r="M758" i="15"/>
  <c r="L758" i="15"/>
  <c r="J758" i="15"/>
  <c r="I758" i="15"/>
  <c r="E758" i="15"/>
  <c r="D758" i="15"/>
  <c r="S757" i="15"/>
  <c r="R757" i="15"/>
  <c r="N757" i="15" a="1"/>
  <c r="N757" i="15" s="1"/>
  <c r="M757" i="15"/>
  <c r="L757" i="15"/>
  <c r="J757" i="15"/>
  <c r="I757" i="15"/>
  <c r="E757" i="15"/>
  <c r="D757" i="15"/>
  <c r="S756" i="15"/>
  <c r="R756" i="15"/>
  <c r="N756" i="15" a="1"/>
  <c r="N756" i="15" s="1"/>
  <c r="M756" i="15"/>
  <c r="L756" i="15"/>
  <c r="J756" i="15"/>
  <c r="I756" i="15"/>
  <c r="E756" i="15"/>
  <c r="D756" i="15"/>
  <c r="S755" i="15"/>
  <c r="R755" i="15"/>
  <c r="N755" i="15" a="1"/>
  <c r="N755" i="15" s="1"/>
  <c r="M755" i="15"/>
  <c r="L755" i="15"/>
  <c r="J755" i="15"/>
  <c r="I755" i="15"/>
  <c r="E755" i="15"/>
  <c r="D755" i="15"/>
  <c r="S754" i="15"/>
  <c r="R754" i="15"/>
  <c r="N754" i="15"/>
  <c r="N754" i="15" a="1"/>
  <c r="M754" i="15"/>
  <c r="L754" i="15"/>
  <c r="J754" i="15"/>
  <c r="I754" i="15"/>
  <c r="E754" i="15"/>
  <c r="D754" i="15"/>
  <c r="S753" i="15"/>
  <c r="R753" i="15"/>
  <c r="M753" i="15"/>
  <c r="N753" i="15" s="1" a="1"/>
  <c r="N753" i="15" s="1"/>
  <c r="L753" i="15"/>
  <c r="J753" i="15"/>
  <c r="I753" i="15"/>
  <c r="E753" i="15"/>
  <c r="D753" i="15"/>
  <c r="S752" i="15"/>
  <c r="R752" i="15"/>
  <c r="N752" i="15"/>
  <c r="N752" i="15" a="1"/>
  <c r="M752" i="15"/>
  <c r="L752" i="15"/>
  <c r="J752" i="15"/>
  <c r="I752" i="15"/>
  <c r="E752" i="15"/>
  <c r="D752" i="15"/>
  <c r="S751" i="15"/>
  <c r="R751" i="15"/>
  <c r="M751" i="15"/>
  <c r="N751" i="15" s="1" a="1"/>
  <c r="N751" i="15" s="1"/>
  <c r="L751" i="15"/>
  <c r="J751" i="15"/>
  <c r="I751" i="15"/>
  <c r="E751" i="15"/>
  <c r="D751" i="15"/>
  <c r="S750" i="15"/>
  <c r="R750" i="15"/>
  <c r="N750" i="15"/>
  <c r="N750" i="15" a="1"/>
  <c r="M750" i="15"/>
  <c r="L750" i="15"/>
  <c r="J750" i="15"/>
  <c r="I750" i="15"/>
  <c r="E750" i="15"/>
  <c r="D750" i="15"/>
  <c r="S749" i="15"/>
  <c r="R749" i="15"/>
  <c r="N749" i="15" a="1"/>
  <c r="N749" i="15" s="1"/>
  <c r="M749" i="15"/>
  <c r="L749" i="15"/>
  <c r="J749" i="15"/>
  <c r="I749" i="15"/>
  <c r="E749" i="15"/>
  <c r="D749" i="15"/>
  <c r="S748" i="15"/>
  <c r="R748" i="15"/>
  <c r="N748" i="15" a="1"/>
  <c r="N748" i="15" s="1"/>
  <c r="M748" i="15"/>
  <c r="L748" i="15"/>
  <c r="J748" i="15"/>
  <c r="I748" i="15"/>
  <c r="E748" i="15"/>
  <c r="D748" i="15"/>
  <c r="S747" i="15"/>
  <c r="R747" i="15"/>
  <c r="N747" i="15" a="1"/>
  <c r="N747" i="15" s="1"/>
  <c r="M747" i="15"/>
  <c r="L747" i="15"/>
  <c r="J747" i="15"/>
  <c r="I747" i="15"/>
  <c r="E747" i="15"/>
  <c r="D747" i="15"/>
  <c r="S746" i="15"/>
  <c r="R746" i="15"/>
  <c r="N746" i="15"/>
  <c r="N746" i="15" a="1"/>
  <c r="M746" i="15"/>
  <c r="L746" i="15"/>
  <c r="J746" i="15"/>
  <c r="I746" i="15"/>
  <c r="E746" i="15"/>
  <c r="D746" i="15"/>
  <c r="S745" i="15"/>
  <c r="R745" i="15"/>
  <c r="N745" i="15" a="1"/>
  <c r="N745" i="15" s="1"/>
  <c r="M745" i="15"/>
  <c r="L745" i="15"/>
  <c r="J745" i="15"/>
  <c r="I745" i="15"/>
  <c r="E745" i="15"/>
  <c r="D745" i="15"/>
  <c r="S744" i="15"/>
  <c r="R744" i="15"/>
  <c r="N744" i="15"/>
  <c r="N744" i="15" a="1"/>
  <c r="M744" i="15"/>
  <c r="L744" i="15"/>
  <c r="J744" i="15"/>
  <c r="I744" i="15"/>
  <c r="E744" i="15"/>
  <c r="D744" i="15"/>
  <c r="S743" i="15"/>
  <c r="R743" i="15"/>
  <c r="M743" i="15"/>
  <c r="N743" i="15" s="1" a="1"/>
  <c r="N743" i="15" s="1"/>
  <c r="L743" i="15"/>
  <c r="J743" i="15"/>
  <c r="I743" i="15"/>
  <c r="E743" i="15"/>
  <c r="D743" i="15"/>
  <c r="S742" i="15"/>
  <c r="R742" i="15"/>
  <c r="N742" i="15"/>
  <c r="N742" i="15" a="1"/>
  <c r="M742" i="15"/>
  <c r="L742" i="15"/>
  <c r="J742" i="15"/>
  <c r="I742" i="15"/>
  <c r="E742" i="15"/>
  <c r="D742" i="15"/>
  <c r="S741" i="15"/>
  <c r="R741" i="15"/>
  <c r="N741" i="15" a="1"/>
  <c r="N741" i="15" s="1"/>
  <c r="M741" i="15"/>
  <c r="L741" i="15"/>
  <c r="J741" i="15"/>
  <c r="I741" i="15"/>
  <c r="E741" i="15"/>
  <c r="D741" i="15"/>
  <c r="S740" i="15"/>
  <c r="R740" i="15"/>
  <c r="N740" i="15" a="1"/>
  <c r="N740" i="15" s="1"/>
  <c r="M740" i="15"/>
  <c r="L740" i="15"/>
  <c r="J740" i="15"/>
  <c r="I740" i="15"/>
  <c r="E740" i="15"/>
  <c r="D740" i="15"/>
  <c r="S739" i="15"/>
  <c r="R739" i="15"/>
  <c r="N739" i="15" a="1"/>
  <c r="N739" i="15" s="1"/>
  <c r="M739" i="15"/>
  <c r="L739" i="15"/>
  <c r="J739" i="15"/>
  <c r="I739" i="15"/>
  <c r="E739" i="15"/>
  <c r="D739" i="15"/>
  <c r="S738" i="15"/>
  <c r="R738" i="15"/>
  <c r="N738" i="15"/>
  <c r="N738" i="15" a="1"/>
  <c r="M738" i="15"/>
  <c r="L738" i="15"/>
  <c r="J738" i="15"/>
  <c r="I738" i="15"/>
  <c r="E738" i="15"/>
  <c r="D738" i="15"/>
  <c r="S737" i="15"/>
  <c r="R737" i="15"/>
  <c r="M737" i="15"/>
  <c r="N737" i="15" s="1" a="1"/>
  <c r="N737" i="15" s="1"/>
  <c r="L737" i="15"/>
  <c r="J737" i="15"/>
  <c r="I737" i="15"/>
  <c r="E737" i="15"/>
  <c r="D737" i="15"/>
  <c r="S736" i="15"/>
  <c r="R736" i="15"/>
  <c r="N736" i="15"/>
  <c r="N736" i="15" a="1"/>
  <c r="M736" i="15"/>
  <c r="L736" i="15"/>
  <c r="J736" i="15"/>
  <c r="I736" i="15"/>
  <c r="E736" i="15"/>
  <c r="D736" i="15"/>
  <c r="S735" i="15"/>
  <c r="R735" i="15"/>
  <c r="M735" i="15"/>
  <c r="N735" i="15" s="1" a="1"/>
  <c r="N735" i="15" s="1"/>
  <c r="L735" i="15"/>
  <c r="J735" i="15"/>
  <c r="I735" i="15"/>
  <c r="E735" i="15"/>
  <c r="D735" i="15"/>
  <c r="S734" i="15"/>
  <c r="R734" i="15"/>
  <c r="N734" i="15"/>
  <c r="N734" i="15" a="1"/>
  <c r="M734" i="15"/>
  <c r="L734" i="15"/>
  <c r="J734" i="15"/>
  <c r="I734" i="15"/>
  <c r="E734" i="15"/>
  <c r="D734" i="15"/>
  <c r="S733" i="15"/>
  <c r="R733" i="15"/>
  <c r="N733" i="15" a="1"/>
  <c r="N733" i="15" s="1"/>
  <c r="M733" i="15"/>
  <c r="L733" i="15"/>
  <c r="J733" i="15"/>
  <c r="I733" i="15"/>
  <c r="E733" i="15"/>
  <c r="D733" i="15"/>
  <c r="S732" i="15"/>
  <c r="R732" i="15"/>
  <c r="N732" i="15" a="1"/>
  <c r="N732" i="15" s="1"/>
  <c r="M732" i="15"/>
  <c r="L732" i="15"/>
  <c r="J732" i="15"/>
  <c r="I732" i="15"/>
  <c r="E732" i="15"/>
  <c r="D732" i="15"/>
  <c r="S731" i="15"/>
  <c r="R731" i="15"/>
  <c r="N731" i="15" a="1"/>
  <c r="N731" i="15" s="1"/>
  <c r="M731" i="15"/>
  <c r="L731" i="15"/>
  <c r="J731" i="15"/>
  <c r="I731" i="15"/>
  <c r="E731" i="15"/>
  <c r="D731" i="15"/>
  <c r="S730" i="15"/>
  <c r="R730" i="15"/>
  <c r="N730" i="15"/>
  <c r="N730" i="15" a="1"/>
  <c r="M730" i="15"/>
  <c r="L730" i="15"/>
  <c r="J730" i="15"/>
  <c r="I730" i="15"/>
  <c r="E730" i="15"/>
  <c r="D730" i="15"/>
  <c r="S729" i="15"/>
  <c r="R729" i="15"/>
  <c r="N729" i="15" a="1"/>
  <c r="N729" i="15" s="1"/>
  <c r="M729" i="15"/>
  <c r="L729" i="15"/>
  <c r="J729" i="15"/>
  <c r="I729" i="15"/>
  <c r="E729" i="15"/>
  <c r="D729" i="15"/>
  <c r="S728" i="15"/>
  <c r="R728" i="15"/>
  <c r="N728" i="15"/>
  <c r="N728" i="15" a="1"/>
  <c r="M728" i="15"/>
  <c r="L728" i="15"/>
  <c r="J728" i="15"/>
  <c r="I728" i="15"/>
  <c r="E728" i="15"/>
  <c r="D728" i="15"/>
  <c r="S727" i="15"/>
  <c r="R727" i="15"/>
  <c r="M727" i="15"/>
  <c r="N727" i="15" s="1" a="1"/>
  <c r="N727" i="15" s="1"/>
  <c r="L727" i="15"/>
  <c r="J727" i="15"/>
  <c r="I727" i="15"/>
  <c r="E727" i="15"/>
  <c r="D727" i="15"/>
  <c r="S726" i="15"/>
  <c r="R726" i="15"/>
  <c r="N726" i="15"/>
  <c r="N726" i="15" a="1"/>
  <c r="M726" i="15"/>
  <c r="L726" i="15"/>
  <c r="J726" i="15"/>
  <c r="I726" i="15"/>
  <c r="E726" i="15"/>
  <c r="D726" i="15"/>
  <c r="S725" i="15"/>
  <c r="R725" i="15"/>
  <c r="N725" i="15" a="1"/>
  <c r="N725" i="15" s="1"/>
  <c r="M725" i="15"/>
  <c r="L725" i="15"/>
  <c r="J725" i="15"/>
  <c r="I725" i="15"/>
  <c r="E725" i="15"/>
  <c r="D725" i="15"/>
  <c r="S724" i="15"/>
  <c r="R724" i="15"/>
  <c r="N724" i="15" a="1"/>
  <c r="N724" i="15" s="1"/>
  <c r="M724" i="15"/>
  <c r="L724" i="15"/>
  <c r="J724" i="15"/>
  <c r="I724" i="15"/>
  <c r="E724" i="15"/>
  <c r="D724" i="15"/>
  <c r="S723" i="15"/>
  <c r="R723" i="15"/>
  <c r="N723" i="15" a="1"/>
  <c r="N723" i="15" s="1"/>
  <c r="M723" i="15"/>
  <c r="L723" i="15"/>
  <c r="J723" i="15"/>
  <c r="I723" i="15"/>
  <c r="E723" i="15"/>
  <c r="D723" i="15"/>
  <c r="S722" i="15"/>
  <c r="R722" i="15"/>
  <c r="N722" i="15"/>
  <c r="N722" i="15" a="1"/>
  <c r="M722" i="15"/>
  <c r="L722" i="15"/>
  <c r="J722" i="15"/>
  <c r="I722" i="15"/>
  <c r="E722" i="15"/>
  <c r="D722" i="15"/>
  <c r="S721" i="15"/>
  <c r="R721" i="15"/>
  <c r="M721" i="15"/>
  <c r="N721" i="15" s="1" a="1"/>
  <c r="N721" i="15" s="1"/>
  <c r="L721" i="15"/>
  <c r="J721" i="15"/>
  <c r="I721" i="15"/>
  <c r="E721" i="15"/>
  <c r="D721" i="15"/>
  <c r="S720" i="15"/>
  <c r="R720" i="15"/>
  <c r="N720" i="15"/>
  <c r="N720" i="15" a="1"/>
  <c r="M720" i="15"/>
  <c r="L720" i="15"/>
  <c r="J720" i="15"/>
  <c r="I720" i="15"/>
  <c r="E720" i="15"/>
  <c r="D720" i="15"/>
  <c r="S719" i="15"/>
  <c r="R719" i="15"/>
  <c r="M719" i="15"/>
  <c r="N719" i="15" s="1" a="1"/>
  <c r="N719" i="15" s="1"/>
  <c r="L719" i="15"/>
  <c r="J719" i="15"/>
  <c r="I719" i="15"/>
  <c r="E719" i="15"/>
  <c r="D719" i="15"/>
  <c r="S718" i="15"/>
  <c r="R718" i="15"/>
  <c r="N718" i="15"/>
  <c r="N718" i="15" a="1"/>
  <c r="M718" i="15"/>
  <c r="L718" i="15"/>
  <c r="J718" i="15"/>
  <c r="I718" i="15"/>
  <c r="E718" i="15"/>
  <c r="D718" i="15"/>
  <c r="S717" i="15"/>
  <c r="R717" i="15"/>
  <c r="N717" i="15" a="1"/>
  <c r="N717" i="15" s="1"/>
  <c r="M717" i="15"/>
  <c r="L717" i="15"/>
  <c r="J717" i="15"/>
  <c r="I717" i="15"/>
  <c r="E717" i="15"/>
  <c r="D717" i="15"/>
  <c r="S716" i="15"/>
  <c r="R716" i="15"/>
  <c r="N716" i="15" a="1"/>
  <c r="N716" i="15" s="1"/>
  <c r="M716" i="15"/>
  <c r="L716" i="15"/>
  <c r="J716" i="15"/>
  <c r="I716" i="15"/>
  <c r="E716" i="15"/>
  <c r="D716" i="15"/>
  <c r="S715" i="15"/>
  <c r="R715" i="15"/>
  <c r="N715" i="15" a="1"/>
  <c r="N715" i="15" s="1"/>
  <c r="M715" i="15"/>
  <c r="L715" i="15"/>
  <c r="J715" i="15"/>
  <c r="I715" i="15"/>
  <c r="E715" i="15"/>
  <c r="D715" i="15"/>
  <c r="S714" i="15"/>
  <c r="R714" i="15"/>
  <c r="N714" i="15"/>
  <c r="N714" i="15" a="1"/>
  <c r="M714" i="15"/>
  <c r="L714" i="15"/>
  <c r="J714" i="15"/>
  <c r="I714" i="15"/>
  <c r="E714" i="15"/>
  <c r="D714" i="15"/>
  <c r="S713" i="15"/>
  <c r="R713" i="15"/>
  <c r="N713" i="15" a="1"/>
  <c r="N713" i="15" s="1"/>
  <c r="M713" i="15"/>
  <c r="L713" i="15"/>
  <c r="J713" i="15"/>
  <c r="I713" i="15"/>
  <c r="E713" i="15"/>
  <c r="D713" i="15"/>
  <c r="S712" i="15"/>
  <c r="R712" i="15"/>
  <c r="N712" i="15"/>
  <c r="N712" i="15" a="1"/>
  <c r="M712" i="15"/>
  <c r="L712" i="15"/>
  <c r="J712" i="15"/>
  <c r="I712" i="15"/>
  <c r="E712" i="15"/>
  <c r="D712" i="15"/>
  <c r="S711" i="15"/>
  <c r="R711" i="15"/>
  <c r="M711" i="15"/>
  <c r="N711" i="15" s="1" a="1"/>
  <c r="N711" i="15" s="1"/>
  <c r="L711" i="15"/>
  <c r="J711" i="15"/>
  <c r="I711" i="15"/>
  <c r="E711" i="15"/>
  <c r="D711" i="15"/>
  <c r="S710" i="15"/>
  <c r="R710" i="15"/>
  <c r="N710" i="15"/>
  <c r="N710" i="15" a="1"/>
  <c r="M710" i="15"/>
  <c r="L710" i="15"/>
  <c r="J710" i="15"/>
  <c r="I710" i="15"/>
  <c r="E710" i="15"/>
  <c r="D710" i="15"/>
  <c r="S709" i="15"/>
  <c r="R709" i="15"/>
  <c r="N709" i="15" a="1"/>
  <c r="N709" i="15" s="1"/>
  <c r="M709" i="15"/>
  <c r="L709" i="15"/>
  <c r="J709" i="15"/>
  <c r="I709" i="15"/>
  <c r="E709" i="15"/>
  <c r="D709" i="15"/>
  <c r="S708" i="15"/>
  <c r="R708" i="15"/>
  <c r="N708" i="15" a="1"/>
  <c r="N708" i="15" s="1"/>
  <c r="M708" i="15"/>
  <c r="L708" i="15"/>
  <c r="J708" i="15"/>
  <c r="I708" i="15"/>
  <c r="E708" i="15"/>
  <c r="D708" i="15"/>
  <c r="S707" i="15"/>
  <c r="R707" i="15"/>
  <c r="N707" i="15" a="1"/>
  <c r="N707" i="15" s="1"/>
  <c r="M707" i="15"/>
  <c r="L707" i="15"/>
  <c r="J707" i="15"/>
  <c r="I707" i="15"/>
  <c r="E707" i="15"/>
  <c r="D707" i="15"/>
  <c r="S706" i="15"/>
  <c r="R706" i="15"/>
  <c r="N706" i="15"/>
  <c r="N706" i="15" a="1"/>
  <c r="M706" i="15"/>
  <c r="L706" i="15"/>
  <c r="J706" i="15"/>
  <c r="I706" i="15"/>
  <c r="E706" i="15"/>
  <c r="D706" i="15"/>
  <c r="S705" i="15"/>
  <c r="R705" i="15"/>
  <c r="M705" i="15"/>
  <c r="N705" i="15" s="1" a="1"/>
  <c r="N705" i="15" s="1"/>
  <c r="L705" i="15"/>
  <c r="J705" i="15"/>
  <c r="I705" i="15"/>
  <c r="E705" i="15"/>
  <c r="D705" i="15"/>
  <c r="S704" i="15"/>
  <c r="R704" i="15"/>
  <c r="N704" i="15"/>
  <c r="N704" i="15" a="1"/>
  <c r="M704" i="15"/>
  <c r="L704" i="15"/>
  <c r="J704" i="15"/>
  <c r="I704" i="15"/>
  <c r="E704" i="15"/>
  <c r="D704" i="15"/>
  <c r="S703" i="15"/>
  <c r="R703" i="15"/>
  <c r="M703" i="15"/>
  <c r="N703" i="15" s="1" a="1"/>
  <c r="N703" i="15" s="1"/>
  <c r="L703" i="15"/>
  <c r="J703" i="15"/>
  <c r="I703" i="15"/>
  <c r="E703" i="15"/>
  <c r="D703" i="15"/>
  <c r="S702" i="15"/>
  <c r="R702" i="15"/>
  <c r="N702" i="15"/>
  <c r="N702" i="15" a="1"/>
  <c r="M702" i="15"/>
  <c r="L702" i="15"/>
  <c r="J702" i="15"/>
  <c r="I702" i="15"/>
  <c r="E702" i="15"/>
  <c r="D702" i="15"/>
  <c r="S701" i="15"/>
  <c r="R701" i="15"/>
  <c r="N701" i="15" a="1"/>
  <c r="N701" i="15" s="1"/>
  <c r="M701" i="15"/>
  <c r="L701" i="15"/>
  <c r="J701" i="15"/>
  <c r="I701" i="15"/>
  <c r="E701" i="15"/>
  <c r="D701" i="15"/>
  <c r="S700" i="15"/>
  <c r="R700" i="15"/>
  <c r="N700" i="15" a="1"/>
  <c r="N700" i="15" s="1"/>
  <c r="M700" i="15"/>
  <c r="L700" i="15"/>
  <c r="J700" i="15"/>
  <c r="I700" i="15"/>
  <c r="E700" i="15"/>
  <c r="D700" i="15"/>
  <c r="S699" i="15"/>
  <c r="R699" i="15"/>
  <c r="N699" i="15" a="1"/>
  <c r="N699" i="15" s="1"/>
  <c r="M699" i="15"/>
  <c r="L699" i="15"/>
  <c r="J699" i="15"/>
  <c r="I699" i="15"/>
  <c r="E699" i="15"/>
  <c r="D699" i="15"/>
  <c r="S698" i="15"/>
  <c r="R698" i="15"/>
  <c r="N698" i="15"/>
  <c r="N698" i="15" a="1"/>
  <c r="M698" i="15"/>
  <c r="L698" i="15"/>
  <c r="J698" i="15"/>
  <c r="I698" i="15"/>
  <c r="E698" i="15"/>
  <c r="D698" i="15"/>
  <c r="S697" i="15"/>
  <c r="R697" i="15"/>
  <c r="N697" i="15" a="1"/>
  <c r="N697" i="15" s="1"/>
  <c r="M697" i="15"/>
  <c r="L697" i="15"/>
  <c r="J697" i="15"/>
  <c r="I697" i="15"/>
  <c r="E697" i="15"/>
  <c r="D697" i="15"/>
  <c r="S696" i="15"/>
  <c r="R696" i="15"/>
  <c r="N696" i="15"/>
  <c r="N696" i="15" a="1"/>
  <c r="M696" i="15"/>
  <c r="L696" i="15"/>
  <c r="J696" i="15"/>
  <c r="I696" i="15"/>
  <c r="E696" i="15"/>
  <c r="D696" i="15"/>
  <c r="S695" i="15"/>
  <c r="R695" i="15"/>
  <c r="M695" i="15"/>
  <c r="N695" i="15" s="1" a="1"/>
  <c r="N695" i="15" s="1"/>
  <c r="L695" i="15"/>
  <c r="J695" i="15"/>
  <c r="I695" i="15"/>
  <c r="E695" i="15"/>
  <c r="D695" i="15"/>
  <c r="S694" i="15"/>
  <c r="R694" i="15"/>
  <c r="N694" i="15"/>
  <c r="N694" i="15" a="1"/>
  <c r="M694" i="15"/>
  <c r="L694" i="15"/>
  <c r="J694" i="15"/>
  <c r="I694" i="15"/>
  <c r="E694" i="15"/>
  <c r="D694" i="15"/>
  <c r="S693" i="15"/>
  <c r="R693" i="15"/>
  <c r="N693" i="15" a="1"/>
  <c r="N693" i="15" s="1"/>
  <c r="M693" i="15"/>
  <c r="L693" i="15"/>
  <c r="J693" i="15"/>
  <c r="I693" i="15"/>
  <c r="E693" i="15"/>
  <c r="D693" i="15"/>
  <c r="S692" i="15"/>
  <c r="R692" i="15"/>
  <c r="N692" i="15" a="1"/>
  <c r="N692" i="15" s="1"/>
  <c r="M692" i="15"/>
  <c r="L692" i="15"/>
  <c r="J692" i="15"/>
  <c r="I692" i="15"/>
  <c r="E692" i="15"/>
  <c r="D692" i="15"/>
  <c r="S691" i="15"/>
  <c r="R691" i="15"/>
  <c r="N691" i="15" a="1"/>
  <c r="N691" i="15" s="1"/>
  <c r="M691" i="15"/>
  <c r="L691" i="15"/>
  <c r="J691" i="15"/>
  <c r="I691" i="15"/>
  <c r="E691" i="15"/>
  <c r="D691" i="15"/>
  <c r="S690" i="15"/>
  <c r="R690" i="15"/>
  <c r="N690" i="15"/>
  <c r="N690" i="15" a="1"/>
  <c r="M690" i="15"/>
  <c r="L690" i="15"/>
  <c r="J690" i="15"/>
  <c r="I690" i="15"/>
  <c r="E690" i="15"/>
  <c r="D690" i="15"/>
  <c r="S689" i="15"/>
  <c r="R689" i="15"/>
  <c r="M689" i="15"/>
  <c r="N689" i="15" s="1" a="1"/>
  <c r="N689" i="15" s="1"/>
  <c r="L689" i="15"/>
  <c r="J689" i="15"/>
  <c r="I689" i="15"/>
  <c r="E689" i="15"/>
  <c r="D689" i="15"/>
  <c r="S688" i="15"/>
  <c r="R688" i="15"/>
  <c r="N688" i="15"/>
  <c r="N688" i="15" a="1"/>
  <c r="M688" i="15"/>
  <c r="L688" i="15"/>
  <c r="J688" i="15"/>
  <c r="I688" i="15"/>
  <c r="E688" i="15"/>
  <c r="D688" i="15"/>
  <c r="S687" i="15"/>
  <c r="R687" i="15"/>
  <c r="M687" i="15"/>
  <c r="N687" i="15" s="1" a="1"/>
  <c r="N687" i="15" s="1"/>
  <c r="L687" i="15"/>
  <c r="J687" i="15"/>
  <c r="I687" i="15"/>
  <c r="E687" i="15"/>
  <c r="D687" i="15"/>
  <c r="S686" i="15"/>
  <c r="R686" i="15"/>
  <c r="N686" i="15"/>
  <c r="N686" i="15" a="1"/>
  <c r="M686" i="15"/>
  <c r="L686" i="15"/>
  <c r="J686" i="15"/>
  <c r="I686" i="15"/>
  <c r="E686" i="15"/>
  <c r="D686" i="15"/>
  <c r="S685" i="15"/>
  <c r="R685" i="15"/>
  <c r="N685" i="15" a="1"/>
  <c r="N685" i="15" s="1"/>
  <c r="M685" i="15"/>
  <c r="L685" i="15"/>
  <c r="J685" i="15"/>
  <c r="I685" i="15"/>
  <c r="E685" i="15"/>
  <c r="D685" i="15"/>
  <c r="S684" i="15"/>
  <c r="R684" i="15"/>
  <c r="N684" i="15" a="1"/>
  <c r="N684" i="15" s="1"/>
  <c r="M684" i="15"/>
  <c r="L684" i="15"/>
  <c r="J684" i="15"/>
  <c r="I684" i="15"/>
  <c r="E684" i="15"/>
  <c r="D684" i="15"/>
  <c r="S683" i="15"/>
  <c r="R683" i="15"/>
  <c r="N683" i="15" a="1"/>
  <c r="N683" i="15" s="1"/>
  <c r="M683" i="15"/>
  <c r="L683" i="15"/>
  <c r="J683" i="15"/>
  <c r="I683" i="15"/>
  <c r="E683" i="15"/>
  <c r="D683" i="15"/>
  <c r="S682" i="15"/>
  <c r="R682" i="15"/>
  <c r="N682" i="15"/>
  <c r="N682" i="15" a="1"/>
  <c r="M682" i="15"/>
  <c r="L682" i="15"/>
  <c r="J682" i="15"/>
  <c r="I682" i="15"/>
  <c r="E682" i="15"/>
  <c r="D682" i="15"/>
  <c r="S681" i="15"/>
  <c r="R681" i="15"/>
  <c r="N681" i="15" a="1"/>
  <c r="N681" i="15" s="1"/>
  <c r="M681" i="15"/>
  <c r="L681" i="15"/>
  <c r="J681" i="15"/>
  <c r="I681" i="15"/>
  <c r="E681" i="15"/>
  <c r="D681" i="15"/>
  <c r="S680" i="15"/>
  <c r="R680" i="15"/>
  <c r="N680" i="15"/>
  <c r="N680" i="15" a="1"/>
  <c r="M680" i="15"/>
  <c r="L680" i="15"/>
  <c r="J680" i="15"/>
  <c r="I680" i="15"/>
  <c r="E680" i="15"/>
  <c r="D680" i="15"/>
  <c r="S679" i="15"/>
  <c r="R679" i="15"/>
  <c r="M679" i="15"/>
  <c r="N679" i="15" s="1" a="1"/>
  <c r="N679" i="15" s="1"/>
  <c r="L679" i="15"/>
  <c r="J679" i="15"/>
  <c r="I679" i="15"/>
  <c r="E679" i="15"/>
  <c r="D679" i="15"/>
  <c r="S678" i="15"/>
  <c r="R678" i="15"/>
  <c r="N678" i="15"/>
  <c r="N678" i="15" a="1"/>
  <c r="M678" i="15"/>
  <c r="L678" i="15"/>
  <c r="J678" i="15"/>
  <c r="I678" i="15"/>
  <c r="E678" i="15"/>
  <c r="D678" i="15"/>
  <c r="S677" i="15"/>
  <c r="R677" i="15"/>
  <c r="N677" i="15" a="1"/>
  <c r="N677" i="15" s="1"/>
  <c r="M677" i="15"/>
  <c r="L677" i="15"/>
  <c r="J677" i="15"/>
  <c r="I677" i="15"/>
  <c r="E677" i="15"/>
  <c r="D677" i="15"/>
  <c r="S676" i="15"/>
  <c r="R676" i="15"/>
  <c r="N676" i="15" a="1"/>
  <c r="N676" i="15" s="1"/>
  <c r="M676" i="15"/>
  <c r="L676" i="15"/>
  <c r="J676" i="15"/>
  <c r="I676" i="15"/>
  <c r="E676" i="15"/>
  <c r="D676" i="15"/>
  <c r="S675" i="15"/>
  <c r="R675" i="15"/>
  <c r="N675" i="15" a="1"/>
  <c r="N675" i="15" s="1"/>
  <c r="M675" i="15"/>
  <c r="L675" i="15"/>
  <c r="J675" i="15"/>
  <c r="I675" i="15"/>
  <c r="E675" i="15"/>
  <c r="D675" i="15"/>
  <c r="S674" i="15"/>
  <c r="R674" i="15"/>
  <c r="N674" i="15"/>
  <c r="N674" i="15" a="1"/>
  <c r="M674" i="15"/>
  <c r="L674" i="15"/>
  <c r="J674" i="15"/>
  <c r="I674" i="15"/>
  <c r="E674" i="15"/>
  <c r="D674" i="15"/>
  <c r="S673" i="15"/>
  <c r="R673" i="15"/>
  <c r="M673" i="15"/>
  <c r="N673" i="15" s="1" a="1"/>
  <c r="N673" i="15" s="1"/>
  <c r="L673" i="15"/>
  <c r="J673" i="15"/>
  <c r="I673" i="15"/>
  <c r="E673" i="15"/>
  <c r="D673" i="15"/>
  <c r="S672" i="15"/>
  <c r="R672" i="15"/>
  <c r="N672" i="15"/>
  <c r="N672" i="15" a="1"/>
  <c r="M672" i="15"/>
  <c r="L672" i="15"/>
  <c r="J672" i="15"/>
  <c r="I672" i="15"/>
  <c r="E672" i="15"/>
  <c r="D672" i="15"/>
  <c r="S671" i="15"/>
  <c r="R671" i="15"/>
  <c r="M671" i="15"/>
  <c r="N671" i="15" s="1" a="1"/>
  <c r="N671" i="15" s="1"/>
  <c r="L671" i="15"/>
  <c r="J671" i="15"/>
  <c r="I671" i="15"/>
  <c r="E671" i="15"/>
  <c r="D671" i="15"/>
  <c r="S670" i="15"/>
  <c r="R670" i="15"/>
  <c r="N670" i="15"/>
  <c r="N670" i="15" a="1"/>
  <c r="M670" i="15"/>
  <c r="L670" i="15"/>
  <c r="J670" i="15"/>
  <c r="I670" i="15"/>
  <c r="E670" i="15"/>
  <c r="D670" i="15"/>
  <c r="S669" i="15"/>
  <c r="R669" i="15"/>
  <c r="N669" i="15" a="1"/>
  <c r="N669" i="15" s="1"/>
  <c r="M669" i="15"/>
  <c r="L669" i="15"/>
  <c r="J669" i="15"/>
  <c r="I669" i="15"/>
  <c r="E669" i="15"/>
  <c r="D669" i="15"/>
  <c r="S668" i="15"/>
  <c r="R668" i="15"/>
  <c r="N668" i="15" a="1"/>
  <c r="N668" i="15" s="1"/>
  <c r="M668" i="15"/>
  <c r="L668" i="15"/>
  <c r="J668" i="15"/>
  <c r="I668" i="15"/>
  <c r="E668" i="15"/>
  <c r="D668" i="15"/>
  <c r="S667" i="15"/>
  <c r="R667" i="15"/>
  <c r="N667" i="15" a="1"/>
  <c r="N667" i="15" s="1"/>
  <c r="M667" i="15"/>
  <c r="L667" i="15"/>
  <c r="J667" i="15"/>
  <c r="I667" i="15"/>
  <c r="E667" i="15"/>
  <c r="D667" i="15"/>
  <c r="S666" i="15"/>
  <c r="R666" i="15"/>
  <c r="N666" i="15"/>
  <c r="N666" i="15" a="1"/>
  <c r="M666" i="15"/>
  <c r="L666" i="15"/>
  <c r="J666" i="15"/>
  <c r="I666" i="15"/>
  <c r="E666" i="15"/>
  <c r="D666" i="15"/>
  <c r="S665" i="15"/>
  <c r="R665" i="15"/>
  <c r="N665" i="15" a="1"/>
  <c r="N665" i="15" s="1"/>
  <c r="M665" i="15"/>
  <c r="L665" i="15"/>
  <c r="J665" i="15"/>
  <c r="I665" i="15"/>
  <c r="E665" i="15"/>
  <c r="D665" i="15"/>
  <c r="S664" i="15"/>
  <c r="R664" i="15"/>
  <c r="N664" i="15"/>
  <c r="N664" i="15" a="1"/>
  <c r="M664" i="15"/>
  <c r="L664" i="15"/>
  <c r="J664" i="15"/>
  <c r="I664" i="15"/>
  <c r="E664" i="15"/>
  <c r="D664" i="15"/>
  <c r="S663" i="15"/>
  <c r="R663" i="15"/>
  <c r="M663" i="15"/>
  <c r="N663" i="15" s="1" a="1"/>
  <c r="N663" i="15" s="1"/>
  <c r="L663" i="15"/>
  <c r="J663" i="15"/>
  <c r="I663" i="15"/>
  <c r="E663" i="15"/>
  <c r="D663" i="15"/>
  <c r="S662" i="15"/>
  <c r="R662" i="15"/>
  <c r="N662" i="15"/>
  <c r="N662" i="15" a="1"/>
  <c r="M662" i="15"/>
  <c r="L662" i="15"/>
  <c r="J662" i="15"/>
  <c r="I662" i="15"/>
  <c r="E662" i="15"/>
  <c r="D662" i="15"/>
  <c r="S661" i="15"/>
  <c r="R661" i="15"/>
  <c r="N661" i="15" a="1"/>
  <c r="N661" i="15" s="1"/>
  <c r="M661" i="15"/>
  <c r="L661" i="15"/>
  <c r="J661" i="15"/>
  <c r="I661" i="15"/>
  <c r="E661" i="15"/>
  <c r="D661" i="15"/>
  <c r="S660" i="15"/>
  <c r="R660" i="15"/>
  <c r="N660" i="15" a="1"/>
  <c r="N660" i="15" s="1"/>
  <c r="M660" i="15"/>
  <c r="L660" i="15"/>
  <c r="J660" i="15"/>
  <c r="I660" i="15"/>
  <c r="E660" i="15"/>
  <c r="D660" i="15"/>
  <c r="S659" i="15"/>
  <c r="R659" i="15"/>
  <c r="N659" i="15" a="1"/>
  <c r="N659" i="15" s="1"/>
  <c r="M659" i="15"/>
  <c r="L659" i="15"/>
  <c r="J659" i="15"/>
  <c r="I659" i="15"/>
  <c r="E659" i="15"/>
  <c r="D659" i="15"/>
  <c r="S658" i="15"/>
  <c r="R658" i="15"/>
  <c r="N658" i="15"/>
  <c r="N658" i="15" a="1"/>
  <c r="M658" i="15"/>
  <c r="L658" i="15"/>
  <c r="J658" i="15"/>
  <c r="I658" i="15"/>
  <c r="E658" i="15"/>
  <c r="D658" i="15"/>
  <c r="S657" i="15"/>
  <c r="R657" i="15"/>
  <c r="M657" i="15"/>
  <c r="N657" i="15" s="1" a="1"/>
  <c r="N657" i="15" s="1"/>
  <c r="L657" i="15"/>
  <c r="J657" i="15"/>
  <c r="I657" i="15"/>
  <c r="E657" i="15"/>
  <c r="D657" i="15"/>
  <c r="S656" i="15"/>
  <c r="R656" i="15"/>
  <c r="N656" i="15"/>
  <c r="N656" i="15" a="1"/>
  <c r="M656" i="15"/>
  <c r="L656" i="15"/>
  <c r="J656" i="15"/>
  <c r="I656" i="15"/>
  <c r="E656" i="15"/>
  <c r="D656" i="15"/>
  <c r="S655" i="15"/>
  <c r="R655" i="15"/>
  <c r="M655" i="15"/>
  <c r="N655" i="15" s="1" a="1"/>
  <c r="N655" i="15" s="1"/>
  <c r="L655" i="15"/>
  <c r="J655" i="15"/>
  <c r="I655" i="15"/>
  <c r="E655" i="15"/>
  <c r="D655" i="15"/>
  <c r="S654" i="15"/>
  <c r="R654" i="15"/>
  <c r="N654" i="15"/>
  <c r="N654" i="15" a="1"/>
  <c r="M654" i="15"/>
  <c r="L654" i="15"/>
  <c r="J654" i="15"/>
  <c r="I654" i="15"/>
  <c r="E654" i="15"/>
  <c r="D654" i="15"/>
  <c r="S653" i="15"/>
  <c r="R653" i="15"/>
  <c r="N653" i="15" a="1"/>
  <c r="N653" i="15" s="1"/>
  <c r="M653" i="15"/>
  <c r="L653" i="15"/>
  <c r="J653" i="15"/>
  <c r="I653" i="15"/>
  <c r="E653" i="15"/>
  <c r="D653" i="15"/>
  <c r="S652" i="15"/>
  <c r="R652" i="15"/>
  <c r="N652" i="15" a="1"/>
  <c r="N652" i="15" s="1"/>
  <c r="M652" i="15"/>
  <c r="L652" i="15"/>
  <c r="J652" i="15"/>
  <c r="I652" i="15"/>
  <c r="E652" i="15"/>
  <c r="D652" i="15"/>
  <c r="S651" i="15"/>
  <c r="R651" i="15"/>
  <c r="N651" i="15" a="1"/>
  <c r="N651" i="15" s="1"/>
  <c r="M651" i="15"/>
  <c r="L651" i="15"/>
  <c r="J651" i="15"/>
  <c r="I651" i="15"/>
  <c r="E651" i="15"/>
  <c r="D651" i="15"/>
  <c r="S650" i="15"/>
  <c r="R650" i="15"/>
  <c r="N650" i="15"/>
  <c r="N650" i="15" a="1"/>
  <c r="M650" i="15"/>
  <c r="L650" i="15"/>
  <c r="J650" i="15"/>
  <c r="I650" i="15"/>
  <c r="E650" i="15"/>
  <c r="D650" i="15"/>
  <c r="S649" i="15"/>
  <c r="R649" i="15"/>
  <c r="N649" i="15" a="1"/>
  <c r="N649" i="15" s="1"/>
  <c r="M649" i="15"/>
  <c r="L649" i="15"/>
  <c r="J649" i="15"/>
  <c r="I649" i="15"/>
  <c r="E649" i="15"/>
  <c r="D649" i="15"/>
  <c r="S648" i="15"/>
  <c r="R648" i="15"/>
  <c r="N648" i="15"/>
  <c r="N648" i="15" a="1"/>
  <c r="M648" i="15"/>
  <c r="L648" i="15"/>
  <c r="J648" i="15"/>
  <c r="I648" i="15"/>
  <c r="E648" i="15"/>
  <c r="D648" i="15"/>
  <c r="S647" i="15"/>
  <c r="R647" i="15"/>
  <c r="M647" i="15"/>
  <c r="N647" i="15" s="1" a="1"/>
  <c r="N647" i="15" s="1"/>
  <c r="L647" i="15"/>
  <c r="J647" i="15"/>
  <c r="I647" i="15"/>
  <c r="E647" i="15"/>
  <c r="D647" i="15"/>
  <c r="S646" i="15"/>
  <c r="R646" i="15"/>
  <c r="N646" i="15"/>
  <c r="N646" i="15" a="1"/>
  <c r="M646" i="15"/>
  <c r="L646" i="15"/>
  <c r="J646" i="15"/>
  <c r="I646" i="15"/>
  <c r="E646" i="15"/>
  <c r="D646" i="15"/>
  <c r="S645" i="15"/>
  <c r="R645" i="15"/>
  <c r="N645" i="15" a="1"/>
  <c r="N645" i="15" s="1"/>
  <c r="M645" i="15"/>
  <c r="L645" i="15"/>
  <c r="J645" i="15"/>
  <c r="I645" i="15"/>
  <c r="E645" i="15"/>
  <c r="D645" i="15"/>
  <c r="S644" i="15"/>
  <c r="R644" i="15"/>
  <c r="N644" i="15" a="1"/>
  <c r="N644" i="15" s="1"/>
  <c r="M644" i="15"/>
  <c r="L644" i="15"/>
  <c r="J644" i="15"/>
  <c r="I644" i="15"/>
  <c r="E644" i="15"/>
  <c r="D644" i="15"/>
  <c r="S643" i="15"/>
  <c r="R643" i="15"/>
  <c r="N643" i="15" a="1"/>
  <c r="N643" i="15" s="1"/>
  <c r="M643" i="15"/>
  <c r="L643" i="15"/>
  <c r="J643" i="15"/>
  <c r="I643" i="15"/>
  <c r="E643" i="15"/>
  <c r="D643" i="15"/>
  <c r="S642" i="15"/>
  <c r="R642" i="15"/>
  <c r="N642" i="15"/>
  <c r="N642" i="15" a="1"/>
  <c r="M642" i="15"/>
  <c r="L642" i="15"/>
  <c r="J642" i="15"/>
  <c r="I642" i="15"/>
  <c r="E642" i="15"/>
  <c r="D642" i="15"/>
  <c r="S641" i="15"/>
  <c r="R641" i="15"/>
  <c r="M641" i="15"/>
  <c r="N641" i="15" s="1" a="1"/>
  <c r="N641" i="15" s="1"/>
  <c r="L641" i="15"/>
  <c r="J641" i="15"/>
  <c r="I641" i="15"/>
  <c r="E641" i="15"/>
  <c r="D641" i="15"/>
  <c r="S640" i="15"/>
  <c r="R640" i="15"/>
  <c r="N640" i="15"/>
  <c r="N640" i="15" a="1"/>
  <c r="M640" i="15"/>
  <c r="L640" i="15"/>
  <c r="J640" i="15"/>
  <c r="I640" i="15"/>
  <c r="E640" i="15"/>
  <c r="D640" i="15"/>
  <c r="S639" i="15"/>
  <c r="R639" i="15"/>
  <c r="M639" i="15"/>
  <c r="N639" i="15" s="1" a="1"/>
  <c r="N639" i="15" s="1"/>
  <c r="L639" i="15"/>
  <c r="J639" i="15"/>
  <c r="I639" i="15"/>
  <c r="E639" i="15"/>
  <c r="D639" i="15"/>
  <c r="S638" i="15"/>
  <c r="R638" i="15"/>
  <c r="N638" i="15"/>
  <c r="N638" i="15" a="1"/>
  <c r="M638" i="15"/>
  <c r="L638" i="15"/>
  <c r="J638" i="15"/>
  <c r="I638" i="15"/>
  <c r="E638" i="15"/>
  <c r="D638" i="15"/>
  <c r="S637" i="15"/>
  <c r="R637" i="15"/>
  <c r="N637" i="15" a="1"/>
  <c r="N637" i="15" s="1"/>
  <c r="M637" i="15"/>
  <c r="L637" i="15"/>
  <c r="J637" i="15"/>
  <c r="I637" i="15"/>
  <c r="E637" i="15"/>
  <c r="D637" i="15"/>
  <c r="S636" i="15"/>
  <c r="R636" i="15"/>
  <c r="N636" i="15" a="1"/>
  <c r="N636" i="15" s="1"/>
  <c r="M636" i="15"/>
  <c r="L636" i="15"/>
  <c r="J636" i="15"/>
  <c r="I636" i="15"/>
  <c r="E636" i="15"/>
  <c r="D636" i="15"/>
  <c r="S635" i="15"/>
  <c r="R635" i="15"/>
  <c r="N635" i="15" a="1"/>
  <c r="N635" i="15" s="1"/>
  <c r="M635" i="15"/>
  <c r="L635" i="15"/>
  <c r="J635" i="15"/>
  <c r="I635" i="15"/>
  <c r="E635" i="15"/>
  <c r="D635" i="15"/>
  <c r="S634" i="15"/>
  <c r="R634" i="15"/>
  <c r="N634" i="15"/>
  <c r="N634" i="15" a="1"/>
  <c r="M634" i="15"/>
  <c r="L634" i="15"/>
  <c r="J634" i="15"/>
  <c r="I634" i="15"/>
  <c r="E634" i="15"/>
  <c r="D634" i="15"/>
  <c r="S633" i="15"/>
  <c r="R633" i="15"/>
  <c r="N633" i="15" a="1"/>
  <c r="N633" i="15" s="1"/>
  <c r="M633" i="15"/>
  <c r="L633" i="15"/>
  <c r="J633" i="15"/>
  <c r="I633" i="15"/>
  <c r="E633" i="15"/>
  <c r="D633" i="15"/>
  <c r="S632" i="15"/>
  <c r="R632" i="15"/>
  <c r="N632" i="15"/>
  <c r="N632" i="15" a="1"/>
  <c r="M632" i="15"/>
  <c r="L632" i="15"/>
  <c r="J632" i="15"/>
  <c r="I632" i="15"/>
  <c r="E632" i="15"/>
  <c r="D632" i="15"/>
  <c r="S631" i="15"/>
  <c r="R631" i="15"/>
  <c r="M631" i="15"/>
  <c r="N631" i="15" s="1" a="1"/>
  <c r="N631" i="15" s="1"/>
  <c r="L631" i="15"/>
  <c r="J631" i="15"/>
  <c r="I631" i="15"/>
  <c r="E631" i="15"/>
  <c r="D631" i="15"/>
  <c r="S630" i="15"/>
  <c r="R630" i="15"/>
  <c r="N630" i="15"/>
  <c r="N630" i="15" a="1"/>
  <c r="M630" i="15"/>
  <c r="L630" i="15"/>
  <c r="J630" i="15"/>
  <c r="I630" i="15"/>
  <c r="E630" i="15"/>
  <c r="D630" i="15"/>
  <c r="S629" i="15"/>
  <c r="R629" i="15"/>
  <c r="N629" i="15" a="1"/>
  <c r="N629" i="15" s="1"/>
  <c r="M629" i="15"/>
  <c r="L629" i="15"/>
  <c r="J629" i="15"/>
  <c r="I629" i="15"/>
  <c r="E629" i="15"/>
  <c r="D629" i="15"/>
  <c r="S628" i="15"/>
  <c r="R628" i="15"/>
  <c r="N628" i="15" a="1"/>
  <c r="N628" i="15" s="1"/>
  <c r="M628" i="15"/>
  <c r="L628" i="15"/>
  <c r="J628" i="15"/>
  <c r="I628" i="15"/>
  <c r="E628" i="15"/>
  <c r="D628" i="15"/>
  <c r="S627" i="15"/>
  <c r="R627" i="15"/>
  <c r="N627" i="15" a="1"/>
  <c r="N627" i="15" s="1"/>
  <c r="M627" i="15"/>
  <c r="L627" i="15"/>
  <c r="J627" i="15"/>
  <c r="I627" i="15"/>
  <c r="E627" i="15"/>
  <c r="D627" i="15"/>
  <c r="S626" i="15"/>
  <c r="R626" i="15"/>
  <c r="N626" i="15"/>
  <c r="N626" i="15" a="1"/>
  <c r="M626" i="15"/>
  <c r="L626" i="15"/>
  <c r="J626" i="15"/>
  <c r="I626" i="15"/>
  <c r="E626" i="15"/>
  <c r="D626" i="15"/>
  <c r="S625" i="15"/>
  <c r="R625" i="15"/>
  <c r="M625" i="15"/>
  <c r="N625" i="15" s="1" a="1"/>
  <c r="N625" i="15" s="1"/>
  <c r="L625" i="15"/>
  <c r="J625" i="15"/>
  <c r="I625" i="15"/>
  <c r="E625" i="15"/>
  <c r="D625" i="15"/>
  <c r="S624" i="15"/>
  <c r="R624" i="15"/>
  <c r="N624" i="15"/>
  <c r="N624" i="15" a="1"/>
  <c r="M624" i="15"/>
  <c r="L624" i="15"/>
  <c r="J624" i="15"/>
  <c r="I624" i="15"/>
  <c r="E624" i="15"/>
  <c r="D624" i="15"/>
  <c r="S623" i="15"/>
  <c r="R623" i="15"/>
  <c r="M623" i="15"/>
  <c r="N623" i="15" s="1" a="1"/>
  <c r="N623" i="15" s="1"/>
  <c r="L623" i="15"/>
  <c r="J623" i="15"/>
  <c r="I623" i="15"/>
  <c r="E623" i="15"/>
  <c r="D623" i="15"/>
  <c r="S622" i="15"/>
  <c r="R622" i="15"/>
  <c r="N622" i="15"/>
  <c r="N622" i="15" a="1"/>
  <c r="M622" i="15"/>
  <c r="L622" i="15"/>
  <c r="J622" i="15"/>
  <c r="I622" i="15"/>
  <c r="E622" i="15"/>
  <c r="D622" i="15"/>
  <c r="S621" i="15"/>
  <c r="R621" i="15"/>
  <c r="N621" i="15" a="1"/>
  <c r="N621" i="15" s="1"/>
  <c r="M621" i="15"/>
  <c r="L621" i="15"/>
  <c r="J621" i="15"/>
  <c r="I621" i="15"/>
  <c r="E621" i="15"/>
  <c r="D621" i="15"/>
  <c r="S620" i="15"/>
  <c r="R620" i="15"/>
  <c r="N620" i="15" a="1"/>
  <c r="N620" i="15" s="1"/>
  <c r="M620" i="15"/>
  <c r="L620" i="15"/>
  <c r="J620" i="15"/>
  <c r="I620" i="15"/>
  <c r="E620" i="15"/>
  <c r="D620" i="15"/>
  <c r="S619" i="15"/>
  <c r="R619" i="15"/>
  <c r="N619" i="15" a="1"/>
  <c r="N619" i="15" s="1"/>
  <c r="M619" i="15"/>
  <c r="L619" i="15"/>
  <c r="J619" i="15"/>
  <c r="I619" i="15"/>
  <c r="E619" i="15"/>
  <c r="D619" i="15"/>
  <c r="S618" i="15"/>
  <c r="R618" i="15"/>
  <c r="N618" i="15"/>
  <c r="N618" i="15" a="1"/>
  <c r="M618" i="15"/>
  <c r="L618" i="15"/>
  <c r="J618" i="15"/>
  <c r="I618" i="15"/>
  <c r="E618" i="15"/>
  <c r="D618" i="15"/>
  <c r="S617" i="15"/>
  <c r="R617" i="15"/>
  <c r="N617" i="15" a="1"/>
  <c r="N617" i="15" s="1"/>
  <c r="M617" i="15"/>
  <c r="L617" i="15"/>
  <c r="J617" i="15"/>
  <c r="I617" i="15"/>
  <c r="E617" i="15"/>
  <c r="D617" i="15"/>
  <c r="S616" i="15"/>
  <c r="R616" i="15"/>
  <c r="N616" i="15"/>
  <c r="N616" i="15" a="1"/>
  <c r="M616" i="15"/>
  <c r="L616" i="15"/>
  <c r="J616" i="15"/>
  <c r="I616" i="15"/>
  <c r="E616" i="15"/>
  <c r="D616" i="15"/>
  <c r="S615" i="15"/>
  <c r="R615" i="15"/>
  <c r="M615" i="15"/>
  <c r="N615" i="15" s="1" a="1"/>
  <c r="N615" i="15" s="1"/>
  <c r="L615" i="15"/>
  <c r="J615" i="15"/>
  <c r="I615" i="15"/>
  <c r="E615" i="15"/>
  <c r="D615" i="15"/>
  <c r="S614" i="15"/>
  <c r="R614" i="15"/>
  <c r="N614" i="15"/>
  <c r="N614" i="15" a="1"/>
  <c r="M614" i="15"/>
  <c r="L614" i="15"/>
  <c r="J614" i="15"/>
  <c r="I614" i="15"/>
  <c r="E614" i="15"/>
  <c r="D614" i="15"/>
  <c r="S613" i="15"/>
  <c r="R613" i="15"/>
  <c r="N613" i="15" a="1"/>
  <c r="N613" i="15" s="1"/>
  <c r="M613" i="15"/>
  <c r="L613" i="15"/>
  <c r="J613" i="15"/>
  <c r="I613" i="15"/>
  <c r="E613" i="15"/>
  <c r="D613" i="15"/>
  <c r="S612" i="15"/>
  <c r="R612" i="15"/>
  <c r="N612" i="15" a="1"/>
  <c r="N612" i="15" s="1"/>
  <c r="M612" i="15"/>
  <c r="L612" i="15"/>
  <c r="J612" i="15"/>
  <c r="I612" i="15"/>
  <c r="E612" i="15"/>
  <c r="D612" i="15"/>
  <c r="S611" i="15"/>
  <c r="R611" i="15"/>
  <c r="N611" i="15" a="1"/>
  <c r="N611" i="15" s="1"/>
  <c r="M611" i="15"/>
  <c r="L611" i="15"/>
  <c r="J611" i="15"/>
  <c r="I611" i="15"/>
  <c r="E611" i="15"/>
  <c r="D611" i="15"/>
  <c r="S610" i="15"/>
  <c r="R610" i="15"/>
  <c r="N610" i="15"/>
  <c r="N610" i="15" a="1"/>
  <c r="M610" i="15"/>
  <c r="L610" i="15"/>
  <c r="J610" i="15"/>
  <c r="I610" i="15"/>
  <c r="E610" i="15"/>
  <c r="D610" i="15"/>
  <c r="S609" i="15"/>
  <c r="R609" i="15"/>
  <c r="M609" i="15"/>
  <c r="N609" i="15" s="1" a="1"/>
  <c r="N609" i="15" s="1"/>
  <c r="L609" i="15"/>
  <c r="J609" i="15"/>
  <c r="I609" i="15"/>
  <c r="E609" i="15"/>
  <c r="D609" i="15"/>
  <c r="S608" i="15"/>
  <c r="R608" i="15"/>
  <c r="N608" i="15"/>
  <c r="N608" i="15" a="1"/>
  <c r="M608" i="15"/>
  <c r="L608" i="15"/>
  <c r="J608" i="15"/>
  <c r="I608" i="15"/>
  <c r="E608" i="15"/>
  <c r="D608" i="15"/>
  <c r="S607" i="15"/>
  <c r="R607" i="15"/>
  <c r="M607" i="15"/>
  <c r="N607" i="15" s="1" a="1"/>
  <c r="N607" i="15" s="1"/>
  <c r="L607" i="15"/>
  <c r="J607" i="15"/>
  <c r="I607" i="15"/>
  <c r="E607" i="15"/>
  <c r="D607" i="15"/>
  <c r="S606" i="15"/>
  <c r="R606" i="15"/>
  <c r="N606" i="15"/>
  <c r="N606" i="15" a="1"/>
  <c r="M606" i="15"/>
  <c r="L606" i="15"/>
  <c r="J606" i="15"/>
  <c r="I606" i="15"/>
  <c r="E606" i="15"/>
  <c r="D606" i="15"/>
  <c r="S605" i="15"/>
  <c r="R605" i="15"/>
  <c r="N605" i="15" a="1"/>
  <c r="N605" i="15" s="1"/>
  <c r="M605" i="15"/>
  <c r="L605" i="15"/>
  <c r="J605" i="15"/>
  <c r="I605" i="15"/>
  <c r="E605" i="15"/>
  <c r="D605" i="15"/>
  <c r="S604" i="15"/>
  <c r="R604" i="15"/>
  <c r="N604" i="15" a="1"/>
  <c r="N604" i="15" s="1"/>
  <c r="M604" i="15"/>
  <c r="L604" i="15"/>
  <c r="J604" i="15"/>
  <c r="I604" i="15"/>
  <c r="E604" i="15"/>
  <c r="D604" i="15"/>
  <c r="S603" i="15"/>
  <c r="R603" i="15"/>
  <c r="N603" i="15"/>
  <c r="N603" i="15" a="1"/>
  <c r="M603" i="15"/>
  <c r="L603" i="15"/>
  <c r="J603" i="15"/>
  <c r="I603" i="15"/>
  <c r="E603" i="15"/>
  <c r="D603" i="15"/>
  <c r="S602" i="15"/>
  <c r="R602" i="15"/>
  <c r="N602" i="15" a="1"/>
  <c r="N602" i="15" s="1"/>
  <c r="M602" i="15"/>
  <c r="L602" i="15"/>
  <c r="J602" i="15"/>
  <c r="I602" i="15"/>
  <c r="E602" i="15"/>
  <c r="D602" i="15"/>
  <c r="S601" i="15"/>
  <c r="R601" i="15"/>
  <c r="N601" i="15"/>
  <c r="N601" i="15" a="1"/>
  <c r="M601" i="15"/>
  <c r="L601" i="15"/>
  <c r="J601" i="15"/>
  <c r="I601" i="15"/>
  <c r="E601" i="15"/>
  <c r="D601" i="15"/>
  <c r="S600" i="15"/>
  <c r="R600" i="15"/>
  <c r="M600" i="15"/>
  <c r="N600" i="15" s="1" a="1"/>
  <c r="N600" i="15" s="1"/>
  <c r="L600" i="15"/>
  <c r="J600" i="15"/>
  <c r="I600" i="15"/>
  <c r="E600" i="15"/>
  <c r="D600" i="15"/>
  <c r="S599" i="15"/>
  <c r="R599" i="15"/>
  <c r="N599" i="15"/>
  <c r="N599" i="15" a="1"/>
  <c r="M599" i="15"/>
  <c r="L599" i="15"/>
  <c r="J599" i="15"/>
  <c r="I599" i="15"/>
  <c r="E599" i="15"/>
  <c r="D599" i="15"/>
  <c r="S598" i="15"/>
  <c r="R598" i="15"/>
  <c r="N598" i="15" a="1"/>
  <c r="N598" i="15" s="1"/>
  <c r="M598" i="15"/>
  <c r="L598" i="15"/>
  <c r="J598" i="15"/>
  <c r="I598" i="15"/>
  <c r="E598" i="15"/>
  <c r="D598" i="15"/>
  <c r="S597" i="15"/>
  <c r="R597" i="15"/>
  <c r="N597" i="15" a="1"/>
  <c r="N597" i="15" s="1"/>
  <c r="M597" i="15"/>
  <c r="L597" i="15"/>
  <c r="J597" i="15"/>
  <c r="I597" i="15"/>
  <c r="E597" i="15"/>
  <c r="D597" i="15"/>
  <c r="S596" i="15"/>
  <c r="R596" i="15"/>
  <c r="N596" i="15" a="1"/>
  <c r="N596" i="15" s="1"/>
  <c r="M596" i="15"/>
  <c r="L596" i="15"/>
  <c r="J596" i="15"/>
  <c r="I596" i="15"/>
  <c r="E596" i="15"/>
  <c r="D596" i="15"/>
  <c r="S595" i="15"/>
  <c r="R595" i="15"/>
  <c r="N595" i="15"/>
  <c r="N595" i="15" a="1"/>
  <c r="M595" i="15"/>
  <c r="L595" i="15"/>
  <c r="J595" i="15"/>
  <c r="I595" i="15"/>
  <c r="E595" i="15"/>
  <c r="D595" i="15"/>
  <c r="S594" i="15"/>
  <c r="R594" i="15"/>
  <c r="N594" i="15" a="1"/>
  <c r="N594" i="15" s="1"/>
  <c r="M594" i="15"/>
  <c r="L594" i="15"/>
  <c r="J594" i="15"/>
  <c r="I594" i="15"/>
  <c r="E594" i="15"/>
  <c r="D594" i="15"/>
  <c r="S593" i="15"/>
  <c r="R593" i="15"/>
  <c r="N593" i="15"/>
  <c r="N593" i="15" a="1"/>
  <c r="M593" i="15"/>
  <c r="L593" i="15"/>
  <c r="J593" i="15"/>
  <c r="I593" i="15"/>
  <c r="E593" i="15"/>
  <c r="D593" i="15"/>
  <c r="S592" i="15"/>
  <c r="R592" i="15"/>
  <c r="M592" i="15"/>
  <c r="N592" i="15" s="1" a="1"/>
  <c r="N592" i="15" s="1"/>
  <c r="L592" i="15"/>
  <c r="J592" i="15"/>
  <c r="I592" i="15"/>
  <c r="E592" i="15"/>
  <c r="D592" i="15"/>
  <c r="S591" i="15"/>
  <c r="R591" i="15"/>
  <c r="N591" i="15"/>
  <c r="N591" i="15" a="1"/>
  <c r="M591" i="15"/>
  <c r="L591" i="15"/>
  <c r="J591" i="15"/>
  <c r="I591" i="15"/>
  <c r="E591" i="15"/>
  <c r="D591" i="15"/>
  <c r="S590" i="15"/>
  <c r="R590" i="15"/>
  <c r="N590" i="15" a="1"/>
  <c r="N590" i="15" s="1"/>
  <c r="M590" i="15"/>
  <c r="L590" i="15"/>
  <c r="J590" i="15"/>
  <c r="I590" i="15"/>
  <c r="E590" i="15"/>
  <c r="D590" i="15"/>
  <c r="S589" i="15"/>
  <c r="R589" i="15"/>
  <c r="N589" i="15" a="1"/>
  <c r="N589" i="15" s="1"/>
  <c r="M589" i="15"/>
  <c r="L589" i="15"/>
  <c r="J589" i="15"/>
  <c r="I589" i="15"/>
  <c r="E589" i="15"/>
  <c r="D589" i="15"/>
  <c r="S588" i="15"/>
  <c r="R588" i="15"/>
  <c r="N588" i="15" a="1"/>
  <c r="N588" i="15" s="1"/>
  <c r="M588" i="15"/>
  <c r="L588" i="15"/>
  <c r="J588" i="15"/>
  <c r="I588" i="15"/>
  <c r="E588" i="15"/>
  <c r="D588" i="15"/>
  <c r="S587" i="15"/>
  <c r="R587" i="15"/>
  <c r="N587" i="15"/>
  <c r="N587" i="15" a="1"/>
  <c r="M587" i="15"/>
  <c r="L587" i="15"/>
  <c r="J587" i="15"/>
  <c r="I587" i="15"/>
  <c r="E587" i="15"/>
  <c r="D587" i="15"/>
  <c r="S586" i="15"/>
  <c r="R586" i="15"/>
  <c r="N586" i="15" a="1"/>
  <c r="N586" i="15" s="1"/>
  <c r="M586" i="15"/>
  <c r="L586" i="15"/>
  <c r="J586" i="15"/>
  <c r="I586" i="15"/>
  <c r="E586" i="15"/>
  <c r="D586" i="15"/>
  <c r="S585" i="15"/>
  <c r="R585" i="15"/>
  <c r="N585" i="15"/>
  <c r="N585" i="15" a="1"/>
  <c r="M585" i="15"/>
  <c r="L585" i="15"/>
  <c r="J585" i="15"/>
  <c r="I585" i="15"/>
  <c r="E585" i="15"/>
  <c r="D585" i="15"/>
  <c r="S584" i="15"/>
  <c r="R584" i="15"/>
  <c r="M584" i="15"/>
  <c r="N584" i="15" s="1" a="1"/>
  <c r="N584" i="15" s="1"/>
  <c r="L584" i="15"/>
  <c r="J584" i="15"/>
  <c r="I584" i="15"/>
  <c r="E584" i="15"/>
  <c r="D584" i="15"/>
  <c r="S583" i="15"/>
  <c r="R583" i="15"/>
  <c r="N583" i="15"/>
  <c r="N583" i="15" a="1"/>
  <c r="M583" i="15"/>
  <c r="L583" i="15"/>
  <c r="J583" i="15"/>
  <c r="I583" i="15"/>
  <c r="E583" i="15"/>
  <c r="D583" i="15"/>
  <c r="S582" i="15"/>
  <c r="R582" i="15"/>
  <c r="N582" i="15" a="1"/>
  <c r="N582" i="15" s="1"/>
  <c r="M582" i="15"/>
  <c r="L582" i="15"/>
  <c r="J582" i="15"/>
  <c r="I582" i="15"/>
  <c r="E582" i="15"/>
  <c r="D582" i="15"/>
  <c r="S581" i="15"/>
  <c r="R581" i="15"/>
  <c r="N581" i="15" a="1"/>
  <c r="N581" i="15" s="1"/>
  <c r="M581" i="15"/>
  <c r="L581" i="15"/>
  <c r="J581" i="15"/>
  <c r="I581" i="15"/>
  <c r="E581" i="15"/>
  <c r="D581" i="15"/>
  <c r="S580" i="15"/>
  <c r="R580" i="15"/>
  <c r="N580" i="15" a="1"/>
  <c r="N580" i="15" s="1"/>
  <c r="M580" i="15"/>
  <c r="L580" i="15"/>
  <c r="J580" i="15"/>
  <c r="I580" i="15"/>
  <c r="E580" i="15"/>
  <c r="D580" i="15"/>
  <c r="S579" i="15"/>
  <c r="R579" i="15"/>
  <c r="N579" i="15"/>
  <c r="N579" i="15" a="1"/>
  <c r="M579" i="15"/>
  <c r="L579" i="15"/>
  <c r="J579" i="15"/>
  <c r="I579" i="15"/>
  <c r="E579" i="15"/>
  <c r="D579" i="15"/>
  <c r="S578" i="15"/>
  <c r="R578" i="15"/>
  <c r="N578" i="15" a="1"/>
  <c r="N578" i="15" s="1"/>
  <c r="M578" i="15"/>
  <c r="L578" i="15"/>
  <c r="J578" i="15"/>
  <c r="I578" i="15"/>
  <c r="E578" i="15"/>
  <c r="D578" i="15"/>
  <c r="S577" i="15"/>
  <c r="R577" i="15"/>
  <c r="N577" i="15"/>
  <c r="N577" i="15" a="1"/>
  <c r="M577" i="15"/>
  <c r="L577" i="15"/>
  <c r="J577" i="15"/>
  <c r="I577" i="15"/>
  <c r="E577" i="15"/>
  <c r="D577" i="15"/>
  <c r="S576" i="15"/>
  <c r="R576" i="15"/>
  <c r="M576" i="15"/>
  <c r="N576" i="15" s="1" a="1"/>
  <c r="N576" i="15" s="1"/>
  <c r="L576" i="15"/>
  <c r="J576" i="15"/>
  <c r="I576" i="15"/>
  <c r="E576" i="15"/>
  <c r="D576" i="15"/>
  <c r="S575" i="15"/>
  <c r="R575" i="15"/>
  <c r="N575" i="15"/>
  <c r="N575" i="15" a="1"/>
  <c r="M575" i="15"/>
  <c r="L575" i="15"/>
  <c r="J575" i="15"/>
  <c r="I575" i="15"/>
  <c r="E575" i="15"/>
  <c r="D575" i="15"/>
  <c r="S574" i="15"/>
  <c r="R574" i="15"/>
  <c r="N574" i="15" a="1"/>
  <c r="N574" i="15" s="1"/>
  <c r="M574" i="15"/>
  <c r="L574" i="15"/>
  <c r="J574" i="15"/>
  <c r="I574" i="15"/>
  <c r="E574" i="15"/>
  <c r="D574" i="15"/>
  <c r="S573" i="15"/>
  <c r="R573" i="15"/>
  <c r="N573" i="15" a="1"/>
  <c r="N573" i="15" s="1"/>
  <c r="M573" i="15"/>
  <c r="L573" i="15"/>
  <c r="J573" i="15"/>
  <c r="I573" i="15"/>
  <c r="E573" i="15"/>
  <c r="D573" i="15"/>
  <c r="S572" i="15"/>
  <c r="R572" i="15"/>
  <c r="N572" i="15" a="1"/>
  <c r="N572" i="15" s="1"/>
  <c r="M572" i="15"/>
  <c r="L572" i="15"/>
  <c r="J572" i="15"/>
  <c r="I572" i="15"/>
  <c r="E572" i="15"/>
  <c r="D572" i="15"/>
  <c r="S571" i="15"/>
  <c r="R571" i="15"/>
  <c r="N571" i="15"/>
  <c r="N571" i="15" a="1"/>
  <c r="M571" i="15"/>
  <c r="L571" i="15"/>
  <c r="J571" i="15"/>
  <c r="I571" i="15"/>
  <c r="E571" i="15"/>
  <c r="D571" i="15"/>
  <c r="S570" i="15"/>
  <c r="R570" i="15"/>
  <c r="N570" i="15" a="1"/>
  <c r="N570" i="15" s="1"/>
  <c r="M570" i="15"/>
  <c r="L570" i="15"/>
  <c r="J570" i="15"/>
  <c r="I570" i="15"/>
  <c r="E570" i="15"/>
  <c r="D570" i="15"/>
  <c r="S569" i="15"/>
  <c r="R569" i="15"/>
  <c r="N569" i="15"/>
  <c r="N569" i="15" a="1"/>
  <c r="M569" i="15"/>
  <c r="L569" i="15"/>
  <c r="J569" i="15"/>
  <c r="I569" i="15"/>
  <c r="E569" i="15"/>
  <c r="D569" i="15"/>
  <c r="S568" i="15"/>
  <c r="R568" i="15"/>
  <c r="M568" i="15"/>
  <c r="N568" i="15" s="1" a="1"/>
  <c r="N568" i="15" s="1"/>
  <c r="L568" i="15"/>
  <c r="J568" i="15"/>
  <c r="I568" i="15"/>
  <c r="E568" i="15"/>
  <c r="D568" i="15"/>
  <c r="S567" i="15"/>
  <c r="R567" i="15"/>
  <c r="N567" i="15"/>
  <c r="N567" i="15" a="1"/>
  <c r="M567" i="15"/>
  <c r="L567" i="15"/>
  <c r="J567" i="15"/>
  <c r="I567" i="15"/>
  <c r="E567" i="15"/>
  <c r="D567" i="15"/>
  <c r="S566" i="15"/>
  <c r="R566" i="15"/>
  <c r="N566" i="15" a="1"/>
  <c r="N566" i="15" s="1"/>
  <c r="M566" i="15"/>
  <c r="L566" i="15"/>
  <c r="J566" i="15"/>
  <c r="I566" i="15"/>
  <c r="E566" i="15"/>
  <c r="D566" i="15"/>
  <c r="S565" i="15"/>
  <c r="R565" i="15"/>
  <c r="N565" i="15" a="1"/>
  <c r="N565" i="15" s="1"/>
  <c r="M565" i="15"/>
  <c r="L565" i="15"/>
  <c r="J565" i="15"/>
  <c r="I565" i="15"/>
  <c r="E565" i="15"/>
  <c r="D565" i="15"/>
  <c r="S564" i="15"/>
  <c r="R564" i="15"/>
  <c r="N564" i="15" a="1"/>
  <c r="N564" i="15" s="1"/>
  <c r="M564" i="15"/>
  <c r="L564" i="15"/>
  <c r="J564" i="15"/>
  <c r="I564" i="15"/>
  <c r="E564" i="15"/>
  <c r="D564" i="15"/>
  <c r="S563" i="15"/>
  <c r="R563" i="15"/>
  <c r="N563" i="15"/>
  <c r="N563" i="15" a="1"/>
  <c r="M563" i="15"/>
  <c r="L563" i="15"/>
  <c r="J563" i="15"/>
  <c r="I563" i="15"/>
  <c r="E563" i="15"/>
  <c r="D563" i="15"/>
  <c r="S562" i="15"/>
  <c r="R562" i="15"/>
  <c r="N562" i="15" a="1"/>
  <c r="N562" i="15" s="1"/>
  <c r="M562" i="15"/>
  <c r="L562" i="15"/>
  <c r="J562" i="15"/>
  <c r="I562" i="15"/>
  <c r="E562" i="15"/>
  <c r="D562" i="15"/>
  <c r="S561" i="15"/>
  <c r="R561" i="15"/>
  <c r="N561" i="15"/>
  <c r="N561" i="15" a="1"/>
  <c r="M561" i="15"/>
  <c r="L561" i="15"/>
  <c r="J561" i="15"/>
  <c r="I561" i="15"/>
  <c r="E561" i="15"/>
  <c r="D561" i="15"/>
  <c r="S560" i="15"/>
  <c r="R560" i="15"/>
  <c r="M560" i="15"/>
  <c r="N560" i="15" s="1" a="1"/>
  <c r="N560" i="15" s="1"/>
  <c r="L560" i="15"/>
  <c r="J560" i="15"/>
  <c r="I560" i="15"/>
  <c r="E560" i="15"/>
  <c r="D560" i="15"/>
  <c r="S559" i="15"/>
  <c r="R559" i="15"/>
  <c r="N559" i="15"/>
  <c r="N559" i="15" a="1"/>
  <c r="M559" i="15"/>
  <c r="L559" i="15"/>
  <c r="J559" i="15"/>
  <c r="I559" i="15"/>
  <c r="E559" i="15"/>
  <c r="D559" i="15"/>
  <c r="S558" i="15"/>
  <c r="R558" i="15"/>
  <c r="N558" i="15" a="1"/>
  <c r="N558" i="15" s="1"/>
  <c r="M558" i="15"/>
  <c r="L558" i="15"/>
  <c r="J558" i="15"/>
  <c r="I558" i="15"/>
  <c r="E558" i="15"/>
  <c r="D558" i="15"/>
  <c r="S557" i="15"/>
  <c r="R557" i="15"/>
  <c r="N557" i="15" a="1"/>
  <c r="N557" i="15" s="1"/>
  <c r="M557" i="15"/>
  <c r="L557" i="15"/>
  <c r="J557" i="15"/>
  <c r="I557" i="15"/>
  <c r="E557" i="15"/>
  <c r="D557" i="15"/>
  <c r="S556" i="15"/>
  <c r="R556" i="15"/>
  <c r="N556" i="15" a="1"/>
  <c r="N556" i="15" s="1"/>
  <c r="M556" i="15"/>
  <c r="L556" i="15"/>
  <c r="J556" i="15"/>
  <c r="I556" i="15"/>
  <c r="E556" i="15"/>
  <c r="D556" i="15"/>
  <c r="S555" i="15"/>
  <c r="R555" i="15"/>
  <c r="N555" i="15"/>
  <c r="N555" i="15" a="1"/>
  <c r="M555" i="15"/>
  <c r="L555" i="15"/>
  <c r="J555" i="15"/>
  <c r="I555" i="15"/>
  <c r="E555" i="15"/>
  <c r="D555" i="15"/>
  <c r="S554" i="15"/>
  <c r="R554" i="15"/>
  <c r="N554" i="15" a="1"/>
  <c r="N554" i="15" s="1"/>
  <c r="M554" i="15"/>
  <c r="L554" i="15"/>
  <c r="J554" i="15"/>
  <c r="I554" i="15"/>
  <c r="E554" i="15"/>
  <c r="D554" i="15"/>
  <c r="S553" i="15"/>
  <c r="R553" i="15"/>
  <c r="N553" i="15"/>
  <c r="N553" i="15" a="1"/>
  <c r="M553" i="15"/>
  <c r="L553" i="15"/>
  <c r="J553" i="15"/>
  <c r="I553" i="15"/>
  <c r="E553" i="15"/>
  <c r="D553" i="15"/>
  <c r="S552" i="15"/>
  <c r="R552" i="15"/>
  <c r="M552" i="15"/>
  <c r="N552" i="15" s="1" a="1"/>
  <c r="N552" i="15" s="1"/>
  <c r="L552" i="15"/>
  <c r="J552" i="15"/>
  <c r="I552" i="15"/>
  <c r="E552" i="15"/>
  <c r="D552" i="15"/>
  <c r="S551" i="15"/>
  <c r="R551" i="15"/>
  <c r="N551" i="15"/>
  <c r="N551" i="15" a="1"/>
  <c r="M551" i="15"/>
  <c r="L551" i="15"/>
  <c r="J551" i="15"/>
  <c r="I551" i="15"/>
  <c r="E551" i="15"/>
  <c r="D551" i="15"/>
  <c r="S550" i="15"/>
  <c r="R550" i="15"/>
  <c r="N550" i="15" a="1"/>
  <c r="N550" i="15" s="1"/>
  <c r="M550" i="15"/>
  <c r="L550" i="15"/>
  <c r="J550" i="15"/>
  <c r="I550" i="15"/>
  <c r="E550" i="15"/>
  <c r="D550" i="15"/>
  <c r="S549" i="15"/>
  <c r="R549" i="15"/>
  <c r="N549" i="15" a="1"/>
  <c r="N549" i="15" s="1"/>
  <c r="M549" i="15"/>
  <c r="L549" i="15"/>
  <c r="J549" i="15"/>
  <c r="I549" i="15"/>
  <c r="E549" i="15"/>
  <c r="D549" i="15"/>
  <c r="S548" i="15"/>
  <c r="R548" i="15"/>
  <c r="N548" i="15" a="1"/>
  <c r="N548" i="15" s="1"/>
  <c r="M548" i="15"/>
  <c r="L548" i="15"/>
  <c r="J548" i="15"/>
  <c r="I548" i="15"/>
  <c r="E548" i="15"/>
  <c r="D548" i="15"/>
  <c r="S547" i="15"/>
  <c r="R547" i="15"/>
  <c r="N547" i="15"/>
  <c r="N547" i="15" a="1"/>
  <c r="M547" i="15"/>
  <c r="L547" i="15"/>
  <c r="J547" i="15"/>
  <c r="I547" i="15"/>
  <c r="E547" i="15"/>
  <c r="D547" i="15"/>
  <c r="S546" i="15"/>
  <c r="R546" i="15"/>
  <c r="N546" i="15" a="1"/>
  <c r="N546" i="15" s="1"/>
  <c r="M546" i="15"/>
  <c r="L546" i="15"/>
  <c r="J546" i="15"/>
  <c r="I546" i="15"/>
  <c r="E546" i="15"/>
  <c r="D546" i="15"/>
  <c r="S545" i="15"/>
  <c r="R545" i="15"/>
  <c r="N545" i="15"/>
  <c r="N545" i="15" a="1"/>
  <c r="M545" i="15"/>
  <c r="L545" i="15"/>
  <c r="J545" i="15"/>
  <c r="I545" i="15"/>
  <c r="E545" i="15"/>
  <c r="D545" i="15"/>
  <c r="S544" i="15"/>
  <c r="R544" i="15"/>
  <c r="M544" i="15"/>
  <c r="N544" i="15" s="1" a="1"/>
  <c r="N544" i="15" s="1"/>
  <c r="L544" i="15"/>
  <c r="J544" i="15"/>
  <c r="I544" i="15"/>
  <c r="E544" i="15"/>
  <c r="D544" i="15"/>
  <c r="S543" i="15"/>
  <c r="R543" i="15"/>
  <c r="N543" i="15"/>
  <c r="N543" i="15" a="1"/>
  <c r="M543" i="15"/>
  <c r="L543" i="15"/>
  <c r="J543" i="15"/>
  <c r="I543" i="15"/>
  <c r="E543" i="15"/>
  <c r="D543" i="15"/>
  <c r="S542" i="15"/>
  <c r="R542" i="15"/>
  <c r="N542" i="15" a="1"/>
  <c r="N542" i="15" s="1"/>
  <c r="M542" i="15"/>
  <c r="L542" i="15"/>
  <c r="J542" i="15"/>
  <c r="I542" i="15"/>
  <c r="E542" i="15"/>
  <c r="D542" i="15"/>
  <c r="S541" i="15"/>
  <c r="R541" i="15"/>
  <c r="N541" i="15" a="1"/>
  <c r="N541" i="15" s="1"/>
  <c r="M541" i="15"/>
  <c r="L541" i="15"/>
  <c r="J541" i="15"/>
  <c r="I541" i="15"/>
  <c r="E541" i="15"/>
  <c r="D541" i="15"/>
  <c r="S540" i="15"/>
  <c r="R540" i="15"/>
  <c r="N540" i="15" a="1"/>
  <c r="N540" i="15" s="1"/>
  <c r="M540" i="15"/>
  <c r="L540" i="15"/>
  <c r="J540" i="15"/>
  <c r="I540" i="15"/>
  <c r="E540" i="15"/>
  <c r="D540" i="15"/>
  <c r="S539" i="15"/>
  <c r="R539" i="15"/>
  <c r="N539" i="15"/>
  <c r="N539" i="15" a="1"/>
  <c r="M539" i="15"/>
  <c r="L539" i="15"/>
  <c r="J539" i="15"/>
  <c r="I539" i="15"/>
  <c r="E539" i="15"/>
  <c r="D539" i="15"/>
  <c r="S538" i="15"/>
  <c r="R538" i="15"/>
  <c r="N538" i="15" a="1"/>
  <c r="N538" i="15" s="1"/>
  <c r="M538" i="15"/>
  <c r="L538" i="15"/>
  <c r="J538" i="15"/>
  <c r="I538" i="15"/>
  <c r="E538" i="15"/>
  <c r="D538" i="15"/>
  <c r="S537" i="15"/>
  <c r="R537" i="15"/>
  <c r="N537" i="15"/>
  <c r="N537" i="15" a="1"/>
  <c r="M537" i="15"/>
  <c r="L537" i="15"/>
  <c r="J537" i="15"/>
  <c r="I537" i="15"/>
  <c r="E537" i="15"/>
  <c r="D537" i="15"/>
  <c r="S536" i="15"/>
  <c r="R536" i="15"/>
  <c r="M536" i="15"/>
  <c r="N536" i="15" s="1" a="1"/>
  <c r="N536" i="15" s="1"/>
  <c r="L536" i="15"/>
  <c r="J536" i="15"/>
  <c r="I536" i="15"/>
  <c r="E536" i="15"/>
  <c r="D536" i="15"/>
  <c r="S535" i="15"/>
  <c r="R535" i="15"/>
  <c r="N535" i="15"/>
  <c r="N535" i="15" a="1"/>
  <c r="M535" i="15"/>
  <c r="L535" i="15"/>
  <c r="J535" i="15"/>
  <c r="I535" i="15"/>
  <c r="E535" i="15"/>
  <c r="D535" i="15"/>
  <c r="S534" i="15"/>
  <c r="R534" i="15"/>
  <c r="N534" i="15" a="1"/>
  <c r="N534" i="15" s="1"/>
  <c r="M534" i="15"/>
  <c r="L534" i="15"/>
  <c r="J534" i="15"/>
  <c r="I534" i="15"/>
  <c r="E534" i="15"/>
  <c r="D534" i="15"/>
  <c r="S533" i="15"/>
  <c r="R533" i="15"/>
  <c r="N533" i="15" a="1"/>
  <c r="N533" i="15" s="1"/>
  <c r="M533" i="15"/>
  <c r="L533" i="15"/>
  <c r="J533" i="15"/>
  <c r="I533" i="15"/>
  <c r="E533" i="15"/>
  <c r="D533" i="15"/>
  <c r="S532" i="15"/>
  <c r="R532" i="15"/>
  <c r="N532" i="15" a="1"/>
  <c r="N532" i="15" s="1"/>
  <c r="M532" i="15"/>
  <c r="L532" i="15"/>
  <c r="J532" i="15"/>
  <c r="I532" i="15"/>
  <c r="E532" i="15"/>
  <c r="D532" i="15"/>
  <c r="S531" i="15"/>
  <c r="R531" i="15"/>
  <c r="N531" i="15"/>
  <c r="N531" i="15" a="1"/>
  <c r="M531" i="15"/>
  <c r="L531" i="15"/>
  <c r="J531" i="15"/>
  <c r="I531" i="15"/>
  <c r="E531" i="15"/>
  <c r="D531" i="15"/>
  <c r="S530" i="15"/>
  <c r="R530" i="15"/>
  <c r="N530" i="15" a="1"/>
  <c r="N530" i="15" s="1"/>
  <c r="M530" i="15"/>
  <c r="L530" i="15"/>
  <c r="J530" i="15"/>
  <c r="I530" i="15"/>
  <c r="E530" i="15"/>
  <c r="D530" i="15"/>
  <c r="S529" i="15"/>
  <c r="R529" i="15"/>
  <c r="N529" i="15"/>
  <c r="N529" i="15" a="1"/>
  <c r="M529" i="15"/>
  <c r="L529" i="15"/>
  <c r="J529" i="15"/>
  <c r="I529" i="15"/>
  <c r="E529" i="15"/>
  <c r="D529" i="15"/>
  <c r="S528" i="15"/>
  <c r="R528" i="15"/>
  <c r="M528" i="15"/>
  <c r="N528" i="15" s="1" a="1"/>
  <c r="N528" i="15" s="1"/>
  <c r="L528" i="15"/>
  <c r="J528" i="15"/>
  <c r="I528" i="15"/>
  <c r="E528" i="15"/>
  <c r="D528" i="15"/>
  <c r="S527" i="15"/>
  <c r="R527" i="15"/>
  <c r="N527" i="15"/>
  <c r="N527" i="15" a="1"/>
  <c r="M527" i="15"/>
  <c r="L527" i="15"/>
  <c r="J527" i="15"/>
  <c r="I527" i="15"/>
  <c r="E527" i="15"/>
  <c r="D527" i="15"/>
  <c r="S526" i="15"/>
  <c r="R526" i="15"/>
  <c r="N526" i="15" a="1"/>
  <c r="N526" i="15" s="1"/>
  <c r="M526" i="15"/>
  <c r="L526" i="15"/>
  <c r="J526" i="15"/>
  <c r="I526" i="15"/>
  <c r="E526" i="15"/>
  <c r="D526" i="15"/>
  <c r="S525" i="15"/>
  <c r="R525" i="15"/>
  <c r="N525" i="15" a="1"/>
  <c r="N525" i="15" s="1"/>
  <c r="M525" i="15"/>
  <c r="L525" i="15"/>
  <c r="J525" i="15"/>
  <c r="I525" i="15"/>
  <c r="E525" i="15"/>
  <c r="D525" i="15"/>
  <c r="S524" i="15"/>
  <c r="R524" i="15"/>
  <c r="N524" i="15" a="1"/>
  <c r="N524" i="15" s="1"/>
  <c r="M524" i="15"/>
  <c r="L524" i="15"/>
  <c r="J524" i="15"/>
  <c r="I524" i="15"/>
  <c r="E524" i="15"/>
  <c r="D524" i="15"/>
  <c r="S523" i="15"/>
  <c r="R523" i="15"/>
  <c r="N523" i="15"/>
  <c r="N523" i="15" a="1"/>
  <c r="M523" i="15"/>
  <c r="L523" i="15"/>
  <c r="J523" i="15"/>
  <c r="I523" i="15"/>
  <c r="E523" i="15"/>
  <c r="D523" i="15"/>
  <c r="S522" i="15"/>
  <c r="R522" i="15"/>
  <c r="N522" i="15" a="1"/>
  <c r="N522" i="15" s="1"/>
  <c r="M522" i="15"/>
  <c r="L522" i="15"/>
  <c r="J522" i="15"/>
  <c r="I522" i="15"/>
  <c r="E522" i="15"/>
  <c r="D522" i="15"/>
  <c r="S521" i="15"/>
  <c r="R521" i="15"/>
  <c r="N521" i="15"/>
  <c r="N521" i="15" a="1"/>
  <c r="M521" i="15"/>
  <c r="L521" i="15"/>
  <c r="J521" i="15"/>
  <c r="I521" i="15"/>
  <c r="E521" i="15"/>
  <c r="D521" i="15"/>
  <c r="S520" i="15"/>
  <c r="R520" i="15"/>
  <c r="M520" i="15"/>
  <c r="N520" i="15" s="1" a="1"/>
  <c r="N520" i="15" s="1"/>
  <c r="L520" i="15"/>
  <c r="J520" i="15"/>
  <c r="I520" i="15"/>
  <c r="E520" i="15"/>
  <c r="D520" i="15"/>
  <c r="S519" i="15"/>
  <c r="R519" i="15"/>
  <c r="N519" i="15"/>
  <c r="N519" i="15" a="1"/>
  <c r="M519" i="15"/>
  <c r="L519" i="15"/>
  <c r="J519" i="15"/>
  <c r="I519" i="15"/>
  <c r="E519" i="15"/>
  <c r="D519" i="15"/>
  <c r="S518" i="15"/>
  <c r="R518" i="15"/>
  <c r="N518" i="15" a="1"/>
  <c r="N518" i="15" s="1"/>
  <c r="M518" i="15"/>
  <c r="L518" i="15"/>
  <c r="J518" i="15"/>
  <c r="I518" i="15"/>
  <c r="E518" i="15"/>
  <c r="D518" i="15"/>
  <c r="S517" i="15"/>
  <c r="R517" i="15"/>
  <c r="N517" i="15" a="1"/>
  <c r="N517" i="15" s="1"/>
  <c r="M517" i="15"/>
  <c r="L517" i="15"/>
  <c r="J517" i="15"/>
  <c r="I517" i="15"/>
  <c r="E517" i="15"/>
  <c r="D517" i="15"/>
  <c r="S516" i="15"/>
  <c r="R516" i="15"/>
  <c r="N516" i="15" a="1"/>
  <c r="N516" i="15" s="1"/>
  <c r="M516" i="15"/>
  <c r="L516" i="15"/>
  <c r="J516" i="15"/>
  <c r="I516" i="15"/>
  <c r="E516" i="15"/>
  <c r="D516" i="15"/>
  <c r="S515" i="15"/>
  <c r="R515" i="15"/>
  <c r="N515" i="15"/>
  <c r="N515" i="15" a="1"/>
  <c r="M515" i="15"/>
  <c r="L515" i="15"/>
  <c r="J515" i="15"/>
  <c r="I515" i="15"/>
  <c r="E515" i="15"/>
  <c r="D515" i="15"/>
  <c r="S514" i="15"/>
  <c r="R514" i="15"/>
  <c r="N514" i="15" a="1"/>
  <c r="N514" i="15" s="1"/>
  <c r="M514" i="15"/>
  <c r="L514" i="15"/>
  <c r="J514" i="15"/>
  <c r="I514" i="15"/>
  <c r="E514" i="15"/>
  <c r="D514" i="15"/>
  <c r="S513" i="15"/>
  <c r="R513" i="15"/>
  <c r="N513" i="15"/>
  <c r="N513" i="15" a="1"/>
  <c r="M513" i="15"/>
  <c r="L513" i="15"/>
  <c r="J513" i="15"/>
  <c r="I513" i="15"/>
  <c r="E513" i="15"/>
  <c r="D513" i="15"/>
  <c r="S512" i="15"/>
  <c r="R512" i="15"/>
  <c r="M512" i="15"/>
  <c r="N512" i="15" s="1" a="1"/>
  <c r="N512" i="15" s="1"/>
  <c r="L512" i="15"/>
  <c r="J512" i="15"/>
  <c r="I512" i="15"/>
  <c r="E512" i="15"/>
  <c r="D512" i="15"/>
  <c r="S511" i="15"/>
  <c r="R511" i="15"/>
  <c r="N511" i="15"/>
  <c r="N511" i="15" a="1"/>
  <c r="M511" i="15"/>
  <c r="L511" i="15"/>
  <c r="J511" i="15"/>
  <c r="I511" i="15"/>
  <c r="E511" i="15"/>
  <c r="D511" i="15"/>
  <c r="S510" i="15"/>
  <c r="R510" i="15"/>
  <c r="N510" i="15" a="1"/>
  <c r="N510" i="15" s="1"/>
  <c r="M510" i="15"/>
  <c r="L510" i="15"/>
  <c r="J510" i="15"/>
  <c r="I510" i="15"/>
  <c r="E510" i="15"/>
  <c r="D510" i="15"/>
  <c r="S509" i="15"/>
  <c r="R509" i="15"/>
  <c r="N509" i="15" a="1"/>
  <c r="N509" i="15" s="1"/>
  <c r="M509" i="15"/>
  <c r="L509" i="15"/>
  <c r="J509" i="15"/>
  <c r="I509" i="15"/>
  <c r="E509" i="15"/>
  <c r="D509" i="15"/>
  <c r="S508" i="15"/>
  <c r="R508" i="15"/>
  <c r="N508" i="15" a="1"/>
  <c r="N508" i="15" s="1"/>
  <c r="M508" i="15"/>
  <c r="L508" i="15"/>
  <c r="J508" i="15"/>
  <c r="I508" i="15"/>
  <c r="E508" i="15"/>
  <c r="D508" i="15"/>
  <c r="S507" i="15"/>
  <c r="R507" i="15"/>
  <c r="N507" i="15"/>
  <c r="N507" i="15" a="1"/>
  <c r="M507" i="15"/>
  <c r="L507" i="15"/>
  <c r="J507" i="15"/>
  <c r="I507" i="15"/>
  <c r="E507" i="15"/>
  <c r="D507" i="15"/>
  <c r="S506" i="15"/>
  <c r="R506" i="15"/>
  <c r="N506" i="15" a="1"/>
  <c r="N506" i="15" s="1"/>
  <c r="M506" i="15"/>
  <c r="L506" i="15"/>
  <c r="J506" i="15"/>
  <c r="I506" i="15"/>
  <c r="E506" i="15"/>
  <c r="D506" i="15"/>
  <c r="S505" i="15"/>
  <c r="R505" i="15"/>
  <c r="N505" i="15"/>
  <c r="N505" i="15" a="1"/>
  <c r="M505" i="15"/>
  <c r="L505" i="15"/>
  <c r="J505" i="15"/>
  <c r="I505" i="15"/>
  <c r="E505" i="15"/>
  <c r="D505" i="15"/>
  <c r="S504" i="15"/>
  <c r="R504" i="15"/>
  <c r="M504" i="15"/>
  <c r="N504" i="15" s="1" a="1"/>
  <c r="N504" i="15" s="1"/>
  <c r="L504" i="15"/>
  <c r="J504" i="15"/>
  <c r="I504" i="15"/>
  <c r="E504" i="15"/>
  <c r="D504" i="15"/>
  <c r="S503" i="15"/>
  <c r="R503" i="15"/>
  <c r="N503" i="15"/>
  <c r="N503" i="15" a="1"/>
  <c r="M503" i="15"/>
  <c r="L503" i="15"/>
  <c r="J503" i="15"/>
  <c r="I503" i="15"/>
  <c r="E503" i="15"/>
  <c r="D503" i="15"/>
  <c r="S502" i="15"/>
  <c r="R502" i="15"/>
  <c r="N502" i="15" a="1"/>
  <c r="N502" i="15" s="1"/>
  <c r="M502" i="15"/>
  <c r="L502" i="15"/>
  <c r="J502" i="15"/>
  <c r="I502" i="15"/>
  <c r="E502" i="15"/>
  <c r="D502" i="15"/>
  <c r="S501" i="15"/>
  <c r="R501" i="15"/>
  <c r="N501" i="15" a="1"/>
  <c r="N501" i="15" s="1"/>
  <c r="M501" i="15"/>
  <c r="L501" i="15"/>
  <c r="J501" i="15"/>
  <c r="I501" i="15"/>
  <c r="E501" i="15"/>
  <c r="D501" i="15"/>
  <c r="S500" i="15"/>
  <c r="R500" i="15"/>
  <c r="N500" i="15" a="1"/>
  <c r="N500" i="15" s="1"/>
  <c r="M500" i="15"/>
  <c r="L500" i="15"/>
  <c r="J500" i="15"/>
  <c r="I500" i="15"/>
  <c r="E500" i="15"/>
  <c r="D500" i="15"/>
  <c r="S499" i="15"/>
  <c r="R499" i="15"/>
  <c r="N499" i="15"/>
  <c r="N499" i="15" a="1"/>
  <c r="M499" i="15"/>
  <c r="L499" i="15"/>
  <c r="J499" i="15"/>
  <c r="I499" i="15"/>
  <c r="E499" i="15"/>
  <c r="D499" i="15"/>
  <c r="S498" i="15"/>
  <c r="R498" i="15"/>
  <c r="N498" i="15" a="1"/>
  <c r="N498" i="15" s="1"/>
  <c r="M498" i="15"/>
  <c r="L498" i="15"/>
  <c r="J498" i="15"/>
  <c r="I498" i="15"/>
  <c r="E498" i="15"/>
  <c r="D498" i="15"/>
  <c r="S497" i="15"/>
  <c r="R497" i="15"/>
  <c r="N497" i="15"/>
  <c r="N497" i="15" a="1"/>
  <c r="M497" i="15"/>
  <c r="L497" i="15"/>
  <c r="J497" i="15"/>
  <c r="I497" i="15"/>
  <c r="E497" i="15"/>
  <c r="D497" i="15"/>
  <c r="S496" i="15"/>
  <c r="R496" i="15"/>
  <c r="M496" i="15"/>
  <c r="N496" i="15" s="1" a="1"/>
  <c r="N496" i="15" s="1"/>
  <c r="L496" i="15"/>
  <c r="J496" i="15"/>
  <c r="I496" i="15"/>
  <c r="E496" i="15"/>
  <c r="D496" i="15"/>
  <c r="S495" i="15"/>
  <c r="R495" i="15"/>
  <c r="N495" i="15"/>
  <c r="N495" i="15" a="1"/>
  <c r="M495" i="15"/>
  <c r="L495" i="15"/>
  <c r="J495" i="15"/>
  <c r="I495" i="15"/>
  <c r="E495" i="15"/>
  <c r="D495" i="15"/>
  <c r="S494" i="15"/>
  <c r="R494" i="15"/>
  <c r="N494" i="15" a="1"/>
  <c r="N494" i="15" s="1"/>
  <c r="M494" i="15"/>
  <c r="L494" i="15"/>
  <c r="J494" i="15"/>
  <c r="I494" i="15"/>
  <c r="E494" i="15"/>
  <c r="D494" i="15"/>
  <c r="S493" i="15"/>
  <c r="R493" i="15"/>
  <c r="N493" i="15" a="1"/>
  <c r="N493" i="15" s="1"/>
  <c r="M493" i="15"/>
  <c r="L493" i="15"/>
  <c r="J493" i="15"/>
  <c r="I493" i="15"/>
  <c r="E493" i="15"/>
  <c r="D493" i="15"/>
  <c r="S492" i="15"/>
  <c r="R492" i="15"/>
  <c r="N492" i="15" a="1"/>
  <c r="N492" i="15" s="1"/>
  <c r="M492" i="15"/>
  <c r="L492" i="15"/>
  <c r="J492" i="15"/>
  <c r="I492" i="15"/>
  <c r="E492" i="15"/>
  <c r="D492" i="15"/>
  <c r="S491" i="15"/>
  <c r="R491" i="15"/>
  <c r="N491" i="15"/>
  <c r="N491" i="15" a="1"/>
  <c r="M491" i="15"/>
  <c r="L491" i="15"/>
  <c r="J491" i="15"/>
  <c r="I491" i="15"/>
  <c r="E491" i="15"/>
  <c r="D491" i="15"/>
  <c r="S490" i="15"/>
  <c r="R490" i="15"/>
  <c r="N490" i="15" a="1"/>
  <c r="N490" i="15" s="1"/>
  <c r="M490" i="15"/>
  <c r="L490" i="15"/>
  <c r="J490" i="15"/>
  <c r="I490" i="15"/>
  <c r="E490" i="15"/>
  <c r="D490" i="15"/>
  <c r="S489" i="15"/>
  <c r="R489" i="15"/>
  <c r="N489" i="15"/>
  <c r="N489" i="15" a="1"/>
  <c r="M489" i="15"/>
  <c r="L489" i="15"/>
  <c r="J489" i="15"/>
  <c r="I489" i="15"/>
  <c r="E489" i="15"/>
  <c r="D489" i="15"/>
  <c r="S488" i="15"/>
  <c r="R488" i="15"/>
  <c r="M488" i="15"/>
  <c r="N488" i="15" s="1" a="1"/>
  <c r="N488" i="15" s="1"/>
  <c r="L488" i="15"/>
  <c r="J488" i="15"/>
  <c r="I488" i="15"/>
  <c r="E488" i="15"/>
  <c r="D488" i="15"/>
  <c r="S487" i="15"/>
  <c r="R487" i="15"/>
  <c r="N487" i="15" a="1"/>
  <c r="N487" i="15" s="1"/>
  <c r="M487" i="15"/>
  <c r="L487" i="15"/>
  <c r="J487" i="15"/>
  <c r="I487" i="15"/>
  <c r="E487" i="15"/>
  <c r="D487" i="15"/>
  <c r="S486" i="15"/>
  <c r="R486" i="15"/>
  <c r="N486" i="15" a="1"/>
  <c r="N486" i="15" s="1"/>
  <c r="M486" i="15"/>
  <c r="L486" i="15"/>
  <c r="J486" i="15"/>
  <c r="I486" i="15"/>
  <c r="E486" i="15"/>
  <c r="D486" i="15"/>
  <c r="S485" i="15"/>
  <c r="R485" i="15"/>
  <c r="N485" i="15" a="1"/>
  <c r="N485" i="15" s="1"/>
  <c r="M485" i="15"/>
  <c r="L485" i="15"/>
  <c r="J485" i="15"/>
  <c r="I485" i="15"/>
  <c r="E485" i="15"/>
  <c r="D485" i="15"/>
  <c r="S484" i="15"/>
  <c r="R484" i="15"/>
  <c r="N484" i="15" a="1"/>
  <c r="N484" i="15" s="1"/>
  <c r="M484" i="15"/>
  <c r="L484" i="15"/>
  <c r="J484" i="15"/>
  <c r="I484" i="15"/>
  <c r="E484" i="15"/>
  <c r="D484" i="15"/>
  <c r="S483" i="15"/>
  <c r="R483" i="15"/>
  <c r="N483" i="15"/>
  <c r="N483" i="15" a="1"/>
  <c r="M483" i="15"/>
  <c r="L483" i="15"/>
  <c r="J483" i="15"/>
  <c r="I483" i="15"/>
  <c r="E483" i="15"/>
  <c r="D483" i="15"/>
  <c r="S482" i="15"/>
  <c r="R482" i="15"/>
  <c r="M482" i="15"/>
  <c r="N482" i="15" s="1" a="1"/>
  <c r="N482" i="15" s="1"/>
  <c r="L482" i="15"/>
  <c r="J482" i="15"/>
  <c r="I482" i="15"/>
  <c r="E482" i="15"/>
  <c r="D482" i="15"/>
  <c r="S481" i="15"/>
  <c r="R481" i="15"/>
  <c r="N481" i="15"/>
  <c r="N481" i="15" a="1"/>
  <c r="M481" i="15"/>
  <c r="L481" i="15"/>
  <c r="J481" i="15"/>
  <c r="I481" i="15"/>
  <c r="E481" i="15"/>
  <c r="D481" i="15"/>
  <c r="S480" i="15"/>
  <c r="R480" i="15"/>
  <c r="M480" i="15"/>
  <c r="N480" i="15" s="1" a="1"/>
  <c r="N480" i="15" s="1"/>
  <c r="L480" i="15"/>
  <c r="J480" i="15"/>
  <c r="I480" i="15"/>
  <c r="E480" i="15"/>
  <c r="D480" i="15"/>
  <c r="S479" i="15"/>
  <c r="R479" i="15"/>
  <c r="N479" i="15"/>
  <c r="N479" i="15" a="1"/>
  <c r="M479" i="15"/>
  <c r="L479" i="15"/>
  <c r="J479" i="15"/>
  <c r="I479" i="15"/>
  <c r="E479" i="15"/>
  <c r="D479" i="15"/>
  <c r="S478" i="15"/>
  <c r="R478" i="15"/>
  <c r="N478" i="15" a="1"/>
  <c r="N478" i="15" s="1"/>
  <c r="M478" i="15"/>
  <c r="L478" i="15"/>
  <c r="J478" i="15"/>
  <c r="I478" i="15"/>
  <c r="E478" i="15"/>
  <c r="D478" i="15"/>
  <c r="S477" i="15"/>
  <c r="R477" i="15"/>
  <c r="N477" i="15" a="1"/>
  <c r="N477" i="15" s="1"/>
  <c r="M477" i="15"/>
  <c r="L477" i="15"/>
  <c r="J477" i="15"/>
  <c r="I477" i="15"/>
  <c r="E477" i="15"/>
  <c r="D477" i="15"/>
  <c r="S476" i="15"/>
  <c r="R476" i="15"/>
  <c r="N476" i="15" a="1"/>
  <c r="N476" i="15" s="1"/>
  <c r="M476" i="15"/>
  <c r="L476" i="15"/>
  <c r="J476" i="15"/>
  <c r="I476" i="15"/>
  <c r="E476" i="15"/>
  <c r="D476" i="15"/>
  <c r="S475" i="15"/>
  <c r="R475" i="15"/>
  <c r="N475" i="15"/>
  <c r="N475" i="15" a="1"/>
  <c r="M475" i="15"/>
  <c r="L475" i="15"/>
  <c r="J475" i="15"/>
  <c r="I475" i="15"/>
  <c r="E475" i="15"/>
  <c r="D475" i="15"/>
  <c r="S474" i="15"/>
  <c r="R474" i="15"/>
  <c r="N474" i="15" a="1"/>
  <c r="N474" i="15" s="1"/>
  <c r="M474" i="15"/>
  <c r="L474" i="15"/>
  <c r="J474" i="15"/>
  <c r="I474" i="15"/>
  <c r="E474" i="15"/>
  <c r="D474" i="15"/>
  <c r="S473" i="15"/>
  <c r="R473" i="15"/>
  <c r="N473" i="15"/>
  <c r="N473" i="15" a="1"/>
  <c r="M473" i="15"/>
  <c r="L473" i="15"/>
  <c r="J473" i="15"/>
  <c r="I473" i="15"/>
  <c r="E473" i="15"/>
  <c r="D473" i="15"/>
  <c r="S472" i="15"/>
  <c r="R472" i="15"/>
  <c r="M472" i="15"/>
  <c r="N472" i="15" s="1" a="1"/>
  <c r="N472" i="15" s="1"/>
  <c r="L472" i="15"/>
  <c r="J472" i="15"/>
  <c r="I472" i="15"/>
  <c r="E472" i="15"/>
  <c r="D472" i="15"/>
  <c r="S471" i="15"/>
  <c r="R471" i="15"/>
  <c r="N471" i="15" a="1"/>
  <c r="N471" i="15" s="1"/>
  <c r="M471" i="15"/>
  <c r="L471" i="15"/>
  <c r="J471" i="15"/>
  <c r="I471" i="15"/>
  <c r="E471" i="15"/>
  <c r="D471" i="15"/>
  <c r="S470" i="15"/>
  <c r="R470" i="15"/>
  <c r="N470" i="15" a="1"/>
  <c r="N470" i="15" s="1"/>
  <c r="M470" i="15"/>
  <c r="L470" i="15"/>
  <c r="J470" i="15"/>
  <c r="I470" i="15"/>
  <c r="E470" i="15"/>
  <c r="D470" i="15"/>
  <c r="S469" i="15"/>
  <c r="R469" i="15"/>
  <c r="N469" i="15" a="1"/>
  <c r="N469" i="15" s="1"/>
  <c r="M469" i="15"/>
  <c r="L469" i="15"/>
  <c r="J469" i="15"/>
  <c r="I469" i="15"/>
  <c r="E469" i="15"/>
  <c r="D469" i="15"/>
  <c r="S468" i="15"/>
  <c r="R468" i="15"/>
  <c r="N468" i="15" a="1"/>
  <c r="N468" i="15" s="1"/>
  <c r="M468" i="15"/>
  <c r="L468" i="15"/>
  <c r="J468" i="15"/>
  <c r="I468" i="15"/>
  <c r="E468" i="15"/>
  <c r="D468" i="15"/>
  <c r="S467" i="15"/>
  <c r="R467" i="15"/>
  <c r="N467" i="15"/>
  <c r="N467" i="15" a="1"/>
  <c r="M467" i="15"/>
  <c r="L467" i="15"/>
  <c r="J467" i="15"/>
  <c r="I467" i="15"/>
  <c r="E467" i="15"/>
  <c r="D467" i="15"/>
  <c r="S466" i="15"/>
  <c r="R466" i="15"/>
  <c r="M466" i="15"/>
  <c r="N466" i="15" s="1" a="1"/>
  <c r="N466" i="15" s="1"/>
  <c r="L466" i="15"/>
  <c r="J466" i="15"/>
  <c r="I466" i="15"/>
  <c r="E466" i="15"/>
  <c r="D466" i="15"/>
  <c r="S465" i="15"/>
  <c r="R465" i="15"/>
  <c r="N465" i="15"/>
  <c r="N465" i="15" a="1"/>
  <c r="M465" i="15"/>
  <c r="L465" i="15"/>
  <c r="J465" i="15"/>
  <c r="I465" i="15"/>
  <c r="E465" i="15"/>
  <c r="D465" i="15"/>
  <c r="S464" i="15"/>
  <c r="R464" i="15"/>
  <c r="M464" i="15"/>
  <c r="N464" i="15" s="1" a="1"/>
  <c r="N464" i="15" s="1"/>
  <c r="L464" i="15"/>
  <c r="J464" i="15"/>
  <c r="I464" i="15"/>
  <c r="E464" i="15"/>
  <c r="D464" i="15"/>
  <c r="S463" i="15"/>
  <c r="R463" i="15"/>
  <c r="N463" i="15"/>
  <c r="N463" i="15" a="1"/>
  <c r="M463" i="15"/>
  <c r="L463" i="15"/>
  <c r="J463" i="15"/>
  <c r="I463" i="15"/>
  <c r="E463" i="15"/>
  <c r="D463" i="15"/>
  <c r="S462" i="15"/>
  <c r="R462" i="15"/>
  <c r="N462" i="15" a="1"/>
  <c r="N462" i="15" s="1"/>
  <c r="M462" i="15"/>
  <c r="L462" i="15"/>
  <c r="J462" i="15"/>
  <c r="I462" i="15"/>
  <c r="E462" i="15"/>
  <c r="D462" i="15"/>
  <c r="S461" i="15"/>
  <c r="R461" i="15"/>
  <c r="N461" i="15" a="1"/>
  <c r="N461" i="15" s="1"/>
  <c r="M461" i="15"/>
  <c r="L461" i="15"/>
  <c r="J461" i="15"/>
  <c r="I461" i="15"/>
  <c r="E461" i="15"/>
  <c r="D461" i="15"/>
  <c r="S460" i="15"/>
  <c r="R460" i="15"/>
  <c r="N460" i="15" a="1"/>
  <c r="N460" i="15" s="1"/>
  <c r="M460" i="15"/>
  <c r="L460" i="15"/>
  <c r="J460" i="15"/>
  <c r="I460" i="15"/>
  <c r="E460" i="15"/>
  <c r="D460" i="15"/>
  <c r="S459" i="15"/>
  <c r="R459" i="15"/>
  <c r="N459" i="15"/>
  <c r="N459" i="15" a="1"/>
  <c r="M459" i="15"/>
  <c r="L459" i="15"/>
  <c r="J459" i="15"/>
  <c r="I459" i="15"/>
  <c r="E459" i="15"/>
  <c r="D459" i="15"/>
  <c r="S458" i="15"/>
  <c r="R458" i="15"/>
  <c r="N458" i="15" a="1"/>
  <c r="N458" i="15" s="1"/>
  <c r="M458" i="15"/>
  <c r="L458" i="15"/>
  <c r="J458" i="15"/>
  <c r="I458" i="15"/>
  <c r="E458" i="15"/>
  <c r="D458" i="15"/>
  <c r="S457" i="15"/>
  <c r="R457" i="15"/>
  <c r="N457" i="15"/>
  <c r="N457" i="15" a="1"/>
  <c r="M457" i="15"/>
  <c r="L457" i="15"/>
  <c r="J457" i="15"/>
  <c r="I457" i="15"/>
  <c r="E457" i="15"/>
  <c r="D457" i="15"/>
  <c r="S456" i="15"/>
  <c r="R456" i="15"/>
  <c r="M456" i="15"/>
  <c r="N456" i="15" s="1" a="1"/>
  <c r="N456" i="15" s="1"/>
  <c r="L456" i="15"/>
  <c r="J456" i="15"/>
  <c r="I456" i="15"/>
  <c r="E456" i="15"/>
  <c r="D456" i="15"/>
  <c r="S455" i="15"/>
  <c r="R455" i="15"/>
  <c r="N455" i="15" a="1"/>
  <c r="N455" i="15" s="1"/>
  <c r="M455" i="15"/>
  <c r="L455" i="15"/>
  <c r="J455" i="15"/>
  <c r="I455" i="15"/>
  <c r="E455" i="15"/>
  <c r="D455" i="15"/>
  <c r="S454" i="15"/>
  <c r="R454" i="15"/>
  <c r="N454" i="15" a="1"/>
  <c r="N454" i="15" s="1"/>
  <c r="M454" i="15"/>
  <c r="L454" i="15"/>
  <c r="J454" i="15"/>
  <c r="I454" i="15"/>
  <c r="E454" i="15"/>
  <c r="D454" i="15"/>
  <c r="S453" i="15"/>
  <c r="R453" i="15"/>
  <c r="N453" i="15" a="1"/>
  <c r="N453" i="15" s="1"/>
  <c r="M453" i="15"/>
  <c r="L453" i="15"/>
  <c r="J453" i="15"/>
  <c r="I453" i="15"/>
  <c r="E453" i="15"/>
  <c r="D453" i="15"/>
  <c r="S452" i="15"/>
  <c r="R452" i="15"/>
  <c r="N452" i="15" a="1"/>
  <c r="N452" i="15" s="1"/>
  <c r="M452" i="15"/>
  <c r="L452" i="15"/>
  <c r="J452" i="15"/>
  <c r="I452" i="15"/>
  <c r="E452" i="15"/>
  <c r="D452" i="15"/>
  <c r="S451" i="15"/>
  <c r="R451" i="15"/>
  <c r="N451" i="15"/>
  <c r="N451" i="15" a="1"/>
  <c r="M451" i="15"/>
  <c r="L451" i="15"/>
  <c r="J451" i="15"/>
  <c r="I451" i="15"/>
  <c r="E451" i="15"/>
  <c r="D451" i="15"/>
  <c r="S450" i="15"/>
  <c r="R450" i="15"/>
  <c r="M450" i="15"/>
  <c r="N450" i="15" s="1" a="1"/>
  <c r="N450" i="15" s="1"/>
  <c r="L450" i="15"/>
  <c r="J450" i="15"/>
  <c r="I450" i="15"/>
  <c r="E450" i="15"/>
  <c r="D450" i="15"/>
  <c r="S449" i="15"/>
  <c r="R449" i="15"/>
  <c r="N449" i="15"/>
  <c r="N449" i="15" a="1"/>
  <c r="M449" i="15"/>
  <c r="L449" i="15"/>
  <c r="J449" i="15"/>
  <c r="I449" i="15"/>
  <c r="E449" i="15"/>
  <c r="D449" i="15"/>
  <c r="S448" i="15"/>
  <c r="R448" i="15"/>
  <c r="M448" i="15"/>
  <c r="N448" i="15" s="1" a="1"/>
  <c r="N448" i="15" s="1"/>
  <c r="L448" i="15"/>
  <c r="J448" i="15"/>
  <c r="I448" i="15"/>
  <c r="E448" i="15"/>
  <c r="D448" i="15"/>
  <c r="S447" i="15"/>
  <c r="R447" i="15"/>
  <c r="N447" i="15"/>
  <c r="N447" i="15" a="1"/>
  <c r="M447" i="15"/>
  <c r="L447" i="15"/>
  <c r="J447" i="15"/>
  <c r="I447" i="15"/>
  <c r="E447" i="15"/>
  <c r="D447" i="15"/>
  <c r="S446" i="15"/>
  <c r="R446" i="15"/>
  <c r="N446" i="15" a="1"/>
  <c r="N446" i="15" s="1"/>
  <c r="M446" i="15"/>
  <c r="L446" i="15"/>
  <c r="J446" i="15"/>
  <c r="I446" i="15"/>
  <c r="E446" i="15"/>
  <c r="D446" i="15"/>
  <c r="S445" i="15"/>
  <c r="R445" i="15"/>
  <c r="N445" i="15" a="1"/>
  <c r="N445" i="15" s="1"/>
  <c r="M445" i="15"/>
  <c r="L445" i="15"/>
  <c r="J445" i="15"/>
  <c r="I445" i="15"/>
  <c r="E445" i="15"/>
  <c r="D445" i="15"/>
  <c r="S444" i="15"/>
  <c r="R444" i="15"/>
  <c r="N444" i="15" a="1"/>
  <c r="N444" i="15" s="1"/>
  <c r="M444" i="15"/>
  <c r="L444" i="15"/>
  <c r="J444" i="15"/>
  <c r="I444" i="15"/>
  <c r="E444" i="15"/>
  <c r="D444" i="15"/>
  <c r="S443" i="15"/>
  <c r="R443" i="15"/>
  <c r="N443" i="15"/>
  <c r="N443" i="15" a="1"/>
  <c r="M443" i="15"/>
  <c r="L443" i="15"/>
  <c r="J443" i="15"/>
  <c r="I443" i="15"/>
  <c r="E443" i="15"/>
  <c r="D443" i="15"/>
  <c r="S442" i="15"/>
  <c r="R442" i="15"/>
  <c r="N442" i="15" a="1"/>
  <c r="N442" i="15" s="1"/>
  <c r="M442" i="15"/>
  <c r="L442" i="15"/>
  <c r="J442" i="15"/>
  <c r="I442" i="15"/>
  <c r="E442" i="15"/>
  <c r="D442" i="15"/>
  <c r="S441" i="15"/>
  <c r="R441" i="15"/>
  <c r="N441" i="15"/>
  <c r="N441" i="15" a="1"/>
  <c r="M441" i="15"/>
  <c r="L441" i="15"/>
  <c r="J441" i="15"/>
  <c r="I441" i="15"/>
  <c r="E441" i="15"/>
  <c r="D441" i="15"/>
  <c r="S440" i="15"/>
  <c r="R440" i="15"/>
  <c r="M440" i="15"/>
  <c r="N440" i="15" s="1" a="1"/>
  <c r="N440" i="15" s="1"/>
  <c r="L440" i="15"/>
  <c r="J440" i="15"/>
  <c r="I440" i="15"/>
  <c r="E440" i="15"/>
  <c r="D440" i="15"/>
  <c r="S439" i="15"/>
  <c r="R439" i="15"/>
  <c r="N439" i="15" a="1"/>
  <c r="N439" i="15" s="1"/>
  <c r="M439" i="15"/>
  <c r="L439" i="15"/>
  <c r="J439" i="15"/>
  <c r="I439" i="15"/>
  <c r="E439" i="15"/>
  <c r="D439" i="15"/>
  <c r="S438" i="15"/>
  <c r="R438" i="15"/>
  <c r="N438" i="15" a="1"/>
  <c r="N438" i="15" s="1"/>
  <c r="M438" i="15"/>
  <c r="L438" i="15"/>
  <c r="J438" i="15"/>
  <c r="I438" i="15"/>
  <c r="E438" i="15"/>
  <c r="D438" i="15"/>
  <c r="S437" i="15"/>
  <c r="R437" i="15"/>
  <c r="N437" i="15" a="1"/>
  <c r="N437" i="15" s="1"/>
  <c r="M437" i="15"/>
  <c r="L437" i="15"/>
  <c r="J437" i="15"/>
  <c r="I437" i="15"/>
  <c r="E437" i="15"/>
  <c r="D437" i="15"/>
  <c r="S436" i="15"/>
  <c r="R436" i="15"/>
  <c r="N436" i="15" a="1"/>
  <c r="N436" i="15" s="1"/>
  <c r="M436" i="15"/>
  <c r="L436" i="15"/>
  <c r="J436" i="15"/>
  <c r="I436" i="15"/>
  <c r="E436" i="15"/>
  <c r="D436" i="15"/>
  <c r="S435" i="15"/>
  <c r="R435" i="15"/>
  <c r="N435" i="15"/>
  <c r="N435" i="15" a="1"/>
  <c r="M435" i="15"/>
  <c r="L435" i="15"/>
  <c r="J435" i="15"/>
  <c r="I435" i="15"/>
  <c r="E435" i="15"/>
  <c r="D435" i="15"/>
  <c r="S434" i="15"/>
  <c r="R434" i="15"/>
  <c r="M434" i="15"/>
  <c r="N434" i="15" s="1" a="1"/>
  <c r="N434" i="15" s="1"/>
  <c r="L434" i="15"/>
  <c r="J434" i="15"/>
  <c r="I434" i="15"/>
  <c r="E434" i="15"/>
  <c r="D434" i="15"/>
  <c r="S433" i="15"/>
  <c r="R433" i="15"/>
  <c r="N433" i="15"/>
  <c r="N433" i="15" a="1"/>
  <c r="M433" i="15"/>
  <c r="L433" i="15"/>
  <c r="J433" i="15"/>
  <c r="I433" i="15"/>
  <c r="E433" i="15"/>
  <c r="D433" i="15"/>
  <c r="S432" i="15"/>
  <c r="R432" i="15"/>
  <c r="M432" i="15"/>
  <c r="N432" i="15" s="1" a="1"/>
  <c r="N432" i="15" s="1"/>
  <c r="L432" i="15"/>
  <c r="J432" i="15"/>
  <c r="I432" i="15"/>
  <c r="E432" i="15"/>
  <c r="D432" i="15"/>
  <c r="S431" i="15"/>
  <c r="R431" i="15"/>
  <c r="N431" i="15"/>
  <c r="N431" i="15" a="1"/>
  <c r="M431" i="15"/>
  <c r="L431" i="15"/>
  <c r="J431" i="15"/>
  <c r="I431" i="15"/>
  <c r="E431" i="15"/>
  <c r="D431" i="15"/>
  <c r="S430" i="15"/>
  <c r="R430" i="15"/>
  <c r="N430" i="15" a="1"/>
  <c r="N430" i="15" s="1"/>
  <c r="M430" i="15"/>
  <c r="L430" i="15"/>
  <c r="J430" i="15"/>
  <c r="I430" i="15"/>
  <c r="E430" i="15"/>
  <c r="D430" i="15"/>
  <c r="S429" i="15"/>
  <c r="R429" i="15"/>
  <c r="N429" i="15" a="1"/>
  <c r="N429" i="15" s="1"/>
  <c r="M429" i="15"/>
  <c r="L429" i="15"/>
  <c r="J429" i="15"/>
  <c r="I429" i="15"/>
  <c r="E429" i="15"/>
  <c r="D429" i="15"/>
  <c r="S428" i="15"/>
  <c r="R428" i="15"/>
  <c r="N428" i="15" a="1"/>
  <c r="N428" i="15" s="1"/>
  <c r="M428" i="15"/>
  <c r="L428" i="15"/>
  <c r="J428" i="15"/>
  <c r="I428" i="15"/>
  <c r="E428" i="15"/>
  <c r="D428" i="15"/>
  <c r="S427" i="15"/>
  <c r="R427" i="15"/>
  <c r="N427" i="15"/>
  <c r="N427" i="15" a="1"/>
  <c r="M427" i="15"/>
  <c r="L427" i="15"/>
  <c r="J427" i="15"/>
  <c r="I427" i="15"/>
  <c r="E427" i="15"/>
  <c r="D427" i="15"/>
  <c r="S426" i="15"/>
  <c r="R426" i="15"/>
  <c r="N426" i="15" a="1"/>
  <c r="N426" i="15" s="1"/>
  <c r="M426" i="15"/>
  <c r="L426" i="15"/>
  <c r="J426" i="15"/>
  <c r="I426" i="15"/>
  <c r="E426" i="15"/>
  <c r="D426" i="15"/>
  <c r="S425" i="15"/>
  <c r="R425" i="15"/>
  <c r="N425" i="15"/>
  <c r="N425" i="15" a="1"/>
  <c r="M425" i="15"/>
  <c r="L425" i="15"/>
  <c r="J425" i="15"/>
  <c r="I425" i="15"/>
  <c r="E425" i="15"/>
  <c r="D425" i="15"/>
  <c r="S424" i="15"/>
  <c r="R424" i="15"/>
  <c r="M424" i="15"/>
  <c r="N424" i="15" s="1" a="1"/>
  <c r="N424" i="15" s="1"/>
  <c r="L424" i="15"/>
  <c r="J424" i="15"/>
  <c r="I424" i="15"/>
  <c r="E424" i="15"/>
  <c r="D424" i="15"/>
  <c r="S423" i="15"/>
  <c r="R423" i="15"/>
  <c r="N423" i="15" a="1"/>
  <c r="N423" i="15" s="1"/>
  <c r="M423" i="15"/>
  <c r="L423" i="15"/>
  <c r="J423" i="15"/>
  <c r="I423" i="15"/>
  <c r="E423" i="15"/>
  <c r="D423" i="15"/>
  <c r="S422" i="15"/>
  <c r="R422" i="15"/>
  <c r="N422" i="15" a="1"/>
  <c r="N422" i="15" s="1"/>
  <c r="M422" i="15"/>
  <c r="L422" i="15"/>
  <c r="J422" i="15"/>
  <c r="I422" i="15"/>
  <c r="E422" i="15"/>
  <c r="D422" i="15"/>
  <c r="S421" i="15"/>
  <c r="R421" i="15"/>
  <c r="N421" i="15" a="1"/>
  <c r="N421" i="15" s="1"/>
  <c r="M421" i="15"/>
  <c r="L421" i="15"/>
  <c r="J421" i="15"/>
  <c r="I421" i="15"/>
  <c r="E421" i="15"/>
  <c r="D421" i="15"/>
  <c r="S420" i="15"/>
  <c r="R420" i="15"/>
  <c r="N420" i="15" a="1"/>
  <c r="N420" i="15" s="1"/>
  <c r="M420" i="15"/>
  <c r="L420" i="15"/>
  <c r="J420" i="15"/>
  <c r="I420" i="15"/>
  <c r="E420" i="15"/>
  <c r="D420" i="15"/>
  <c r="S419" i="15"/>
  <c r="R419" i="15"/>
  <c r="N419" i="15"/>
  <c r="N419" i="15" a="1"/>
  <c r="M419" i="15"/>
  <c r="L419" i="15"/>
  <c r="J419" i="15"/>
  <c r="I419" i="15"/>
  <c r="E419" i="15"/>
  <c r="D419" i="15"/>
  <c r="S418" i="15"/>
  <c r="R418" i="15"/>
  <c r="M418" i="15"/>
  <c r="N418" i="15" s="1" a="1"/>
  <c r="N418" i="15" s="1"/>
  <c r="L418" i="15"/>
  <c r="J418" i="15"/>
  <c r="I418" i="15"/>
  <c r="E418" i="15"/>
  <c r="D418" i="15"/>
  <c r="S417" i="15"/>
  <c r="R417" i="15"/>
  <c r="N417" i="15"/>
  <c r="N417" i="15" a="1"/>
  <c r="M417" i="15"/>
  <c r="L417" i="15"/>
  <c r="J417" i="15"/>
  <c r="I417" i="15"/>
  <c r="E417" i="15"/>
  <c r="D417" i="15"/>
  <c r="S416" i="15"/>
  <c r="R416" i="15"/>
  <c r="M416" i="15"/>
  <c r="N416" i="15" s="1" a="1"/>
  <c r="N416" i="15" s="1"/>
  <c r="L416" i="15"/>
  <c r="J416" i="15"/>
  <c r="I416" i="15"/>
  <c r="E416" i="15"/>
  <c r="D416" i="15"/>
  <c r="S415" i="15"/>
  <c r="R415" i="15"/>
  <c r="N415" i="15"/>
  <c r="N415" i="15" a="1"/>
  <c r="M415" i="15"/>
  <c r="L415" i="15"/>
  <c r="J415" i="15"/>
  <c r="I415" i="15"/>
  <c r="E415" i="15"/>
  <c r="D415" i="15"/>
  <c r="S414" i="15"/>
  <c r="R414" i="15"/>
  <c r="N414" i="15" a="1"/>
  <c r="N414" i="15" s="1"/>
  <c r="M414" i="15"/>
  <c r="L414" i="15"/>
  <c r="J414" i="15"/>
  <c r="I414" i="15"/>
  <c r="E414" i="15"/>
  <c r="D414" i="15"/>
  <c r="S413" i="15"/>
  <c r="R413" i="15"/>
  <c r="N413" i="15" a="1"/>
  <c r="N413" i="15" s="1"/>
  <c r="M413" i="15"/>
  <c r="L413" i="15"/>
  <c r="J413" i="15"/>
  <c r="I413" i="15"/>
  <c r="E413" i="15"/>
  <c r="D413" i="15"/>
  <c r="S412" i="15"/>
  <c r="R412" i="15"/>
  <c r="N412" i="15" a="1"/>
  <c r="N412" i="15" s="1"/>
  <c r="M412" i="15"/>
  <c r="L412" i="15"/>
  <c r="J412" i="15"/>
  <c r="I412" i="15"/>
  <c r="E412" i="15"/>
  <c r="D412" i="15"/>
  <c r="S411" i="15"/>
  <c r="R411" i="15"/>
  <c r="N411" i="15"/>
  <c r="N411" i="15" a="1"/>
  <c r="M411" i="15"/>
  <c r="L411" i="15"/>
  <c r="J411" i="15"/>
  <c r="I411" i="15"/>
  <c r="E411" i="15"/>
  <c r="D411" i="15"/>
  <c r="S410" i="15"/>
  <c r="R410" i="15"/>
  <c r="N410" i="15" a="1"/>
  <c r="N410" i="15" s="1"/>
  <c r="M410" i="15"/>
  <c r="L410" i="15"/>
  <c r="J410" i="15"/>
  <c r="I410" i="15"/>
  <c r="E410" i="15"/>
  <c r="D410" i="15"/>
  <c r="S409" i="15"/>
  <c r="R409" i="15"/>
  <c r="N409" i="15"/>
  <c r="N409" i="15" a="1"/>
  <c r="M409" i="15"/>
  <c r="L409" i="15"/>
  <c r="J409" i="15"/>
  <c r="I409" i="15"/>
  <c r="E409" i="15"/>
  <c r="D409" i="15"/>
  <c r="S408" i="15"/>
  <c r="R408" i="15"/>
  <c r="M408" i="15"/>
  <c r="N408" i="15" s="1" a="1"/>
  <c r="N408" i="15" s="1"/>
  <c r="L408" i="15"/>
  <c r="J408" i="15"/>
  <c r="I408" i="15"/>
  <c r="E408" i="15"/>
  <c r="D408" i="15"/>
  <c r="S407" i="15"/>
  <c r="R407" i="15"/>
  <c r="N407" i="15" a="1"/>
  <c r="N407" i="15" s="1"/>
  <c r="M407" i="15"/>
  <c r="L407" i="15"/>
  <c r="J407" i="15"/>
  <c r="I407" i="15"/>
  <c r="E407" i="15"/>
  <c r="D407" i="15"/>
  <c r="S406" i="15"/>
  <c r="R406" i="15"/>
  <c r="N406" i="15" a="1"/>
  <c r="N406" i="15" s="1"/>
  <c r="M406" i="15"/>
  <c r="L406" i="15"/>
  <c r="J406" i="15"/>
  <c r="I406" i="15"/>
  <c r="E406" i="15"/>
  <c r="D406" i="15"/>
  <c r="S405" i="15"/>
  <c r="R405" i="15"/>
  <c r="N405" i="15" a="1"/>
  <c r="N405" i="15" s="1"/>
  <c r="M405" i="15"/>
  <c r="L405" i="15"/>
  <c r="J405" i="15"/>
  <c r="I405" i="15"/>
  <c r="E405" i="15"/>
  <c r="D405" i="15"/>
  <c r="S404" i="15"/>
  <c r="R404" i="15"/>
  <c r="M404" i="15"/>
  <c r="N404" i="15" s="1" a="1"/>
  <c r="N404" i="15" s="1"/>
  <c r="L404" i="15"/>
  <c r="J404" i="15"/>
  <c r="I404" i="15"/>
  <c r="E404" i="15"/>
  <c r="D404" i="15"/>
  <c r="S403" i="15"/>
  <c r="R403" i="15"/>
  <c r="N403" i="15"/>
  <c r="N403" i="15" a="1"/>
  <c r="M403" i="15"/>
  <c r="L403" i="15"/>
  <c r="J403" i="15"/>
  <c r="I403" i="15"/>
  <c r="E403" i="15"/>
  <c r="D403" i="15"/>
  <c r="S402" i="15"/>
  <c r="R402" i="15"/>
  <c r="M402" i="15"/>
  <c r="N402" i="15" s="1" a="1"/>
  <c r="N402" i="15" s="1"/>
  <c r="L402" i="15"/>
  <c r="J402" i="15"/>
  <c r="I402" i="15"/>
  <c r="E402" i="15"/>
  <c r="D402" i="15"/>
  <c r="S401" i="15"/>
  <c r="R401" i="15"/>
  <c r="N401" i="15" a="1"/>
  <c r="N401" i="15" s="1"/>
  <c r="M401" i="15"/>
  <c r="L401" i="15"/>
  <c r="J401" i="15"/>
  <c r="I401" i="15"/>
  <c r="E401" i="15"/>
  <c r="D401" i="15"/>
  <c r="S400" i="15"/>
  <c r="R400" i="15"/>
  <c r="M400" i="15"/>
  <c r="N400" i="15" s="1" a="1"/>
  <c r="N400" i="15" s="1"/>
  <c r="L400" i="15"/>
  <c r="J400" i="15"/>
  <c r="I400" i="15"/>
  <c r="E400" i="15"/>
  <c r="D400" i="15"/>
  <c r="S399" i="15"/>
  <c r="R399" i="15"/>
  <c r="N399" i="15"/>
  <c r="N399" i="15" a="1"/>
  <c r="M399" i="15"/>
  <c r="L399" i="15"/>
  <c r="J399" i="15"/>
  <c r="I399" i="15"/>
  <c r="E399" i="15"/>
  <c r="D399" i="15"/>
  <c r="S398" i="15"/>
  <c r="R398" i="15"/>
  <c r="N398" i="15" a="1"/>
  <c r="N398" i="15" s="1"/>
  <c r="M398" i="15"/>
  <c r="L398" i="15"/>
  <c r="J398" i="15"/>
  <c r="I398" i="15"/>
  <c r="E398" i="15"/>
  <c r="D398" i="15"/>
  <c r="S397" i="15"/>
  <c r="R397" i="15"/>
  <c r="N397" i="15" a="1"/>
  <c r="N397" i="15" s="1"/>
  <c r="M397" i="15"/>
  <c r="L397" i="15"/>
  <c r="J397" i="15"/>
  <c r="I397" i="15"/>
  <c r="E397" i="15"/>
  <c r="D397" i="15"/>
  <c r="S396" i="15"/>
  <c r="R396" i="15"/>
  <c r="N396" i="15" a="1"/>
  <c r="N396" i="15" s="1"/>
  <c r="M396" i="15"/>
  <c r="L396" i="15"/>
  <c r="J396" i="15"/>
  <c r="I396" i="15"/>
  <c r="E396" i="15"/>
  <c r="D396" i="15"/>
  <c r="S395" i="15"/>
  <c r="R395" i="15"/>
  <c r="N395" i="15"/>
  <c r="N395" i="15" a="1"/>
  <c r="M395" i="15"/>
  <c r="L395" i="15"/>
  <c r="J395" i="15"/>
  <c r="I395" i="15"/>
  <c r="E395" i="15"/>
  <c r="D395" i="15"/>
  <c r="S394" i="15"/>
  <c r="R394" i="15"/>
  <c r="N394" i="15" a="1"/>
  <c r="N394" i="15" s="1"/>
  <c r="M394" i="15"/>
  <c r="L394" i="15"/>
  <c r="J394" i="15"/>
  <c r="I394" i="15"/>
  <c r="E394" i="15"/>
  <c r="D394" i="15"/>
  <c r="S393" i="15"/>
  <c r="R393" i="15"/>
  <c r="N393" i="15"/>
  <c r="N393" i="15" a="1"/>
  <c r="M393" i="15"/>
  <c r="L393" i="15"/>
  <c r="J393" i="15"/>
  <c r="I393" i="15"/>
  <c r="E393" i="15"/>
  <c r="D393" i="15"/>
  <c r="S392" i="15"/>
  <c r="R392" i="15"/>
  <c r="M392" i="15"/>
  <c r="N392" i="15" s="1" a="1"/>
  <c r="N392" i="15" s="1"/>
  <c r="L392" i="15"/>
  <c r="J392" i="15"/>
  <c r="I392" i="15"/>
  <c r="E392" i="15"/>
  <c r="D392" i="15"/>
  <c r="S391" i="15"/>
  <c r="R391" i="15"/>
  <c r="N391" i="15" a="1"/>
  <c r="N391" i="15" s="1"/>
  <c r="M391" i="15"/>
  <c r="L391" i="15"/>
  <c r="J391" i="15"/>
  <c r="I391" i="15"/>
  <c r="E391" i="15"/>
  <c r="D391" i="15"/>
  <c r="S390" i="15"/>
  <c r="R390" i="15"/>
  <c r="N390" i="15" a="1"/>
  <c r="N390" i="15" s="1"/>
  <c r="M390" i="15"/>
  <c r="L390" i="15"/>
  <c r="J390" i="15"/>
  <c r="I390" i="15"/>
  <c r="E390" i="15"/>
  <c r="D390" i="15"/>
  <c r="S389" i="15"/>
  <c r="R389" i="15"/>
  <c r="N389" i="15" a="1"/>
  <c r="N389" i="15" s="1"/>
  <c r="M389" i="15"/>
  <c r="L389" i="15"/>
  <c r="J389" i="15"/>
  <c r="I389" i="15"/>
  <c r="E389" i="15"/>
  <c r="D389" i="15"/>
  <c r="S388" i="15"/>
  <c r="R388" i="15"/>
  <c r="M388" i="15"/>
  <c r="N388" i="15" s="1" a="1"/>
  <c r="N388" i="15" s="1"/>
  <c r="L388" i="15"/>
  <c r="J388" i="15"/>
  <c r="I388" i="15"/>
  <c r="E388" i="15"/>
  <c r="D388" i="15"/>
  <c r="S387" i="15"/>
  <c r="R387" i="15"/>
  <c r="N387" i="15"/>
  <c r="N387" i="15" a="1"/>
  <c r="M387" i="15"/>
  <c r="L387" i="15"/>
  <c r="J387" i="15"/>
  <c r="I387" i="15"/>
  <c r="E387" i="15"/>
  <c r="D387" i="15"/>
  <c r="S386" i="15"/>
  <c r="R386" i="15"/>
  <c r="M386" i="15"/>
  <c r="N386" i="15" s="1" a="1"/>
  <c r="N386" i="15" s="1"/>
  <c r="L386" i="15"/>
  <c r="J386" i="15"/>
  <c r="I386" i="15"/>
  <c r="E386" i="15"/>
  <c r="D386" i="15"/>
  <c r="S385" i="15"/>
  <c r="R385" i="15"/>
  <c r="N385" i="15" a="1"/>
  <c r="N385" i="15" s="1"/>
  <c r="M385" i="15"/>
  <c r="L385" i="15"/>
  <c r="J385" i="15"/>
  <c r="I385" i="15"/>
  <c r="E385" i="15"/>
  <c r="D385" i="15"/>
  <c r="S384" i="15"/>
  <c r="R384" i="15"/>
  <c r="M384" i="15"/>
  <c r="N384" i="15" s="1" a="1"/>
  <c r="N384" i="15" s="1"/>
  <c r="L384" i="15"/>
  <c r="J384" i="15"/>
  <c r="I384" i="15"/>
  <c r="E384" i="15"/>
  <c r="D384" i="15"/>
  <c r="S383" i="15"/>
  <c r="R383" i="15"/>
  <c r="N383" i="15"/>
  <c r="N383" i="15" a="1"/>
  <c r="M383" i="15"/>
  <c r="L383" i="15"/>
  <c r="J383" i="15"/>
  <c r="I383" i="15"/>
  <c r="E383" i="15"/>
  <c r="D383" i="15"/>
  <c r="S382" i="15"/>
  <c r="R382" i="15"/>
  <c r="N382" i="15" a="1"/>
  <c r="N382" i="15" s="1"/>
  <c r="M382" i="15"/>
  <c r="L382" i="15"/>
  <c r="J382" i="15"/>
  <c r="I382" i="15"/>
  <c r="E382" i="15"/>
  <c r="D382" i="15"/>
  <c r="S381" i="15"/>
  <c r="R381" i="15"/>
  <c r="N381" i="15" a="1"/>
  <c r="N381" i="15" s="1"/>
  <c r="M381" i="15"/>
  <c r="L381" i="15"/>
  <c r="J381" i="15"/>
  <c r="I381" i="15"/>
  <c r="E381" i="15"/>
  <c r="D381" i="15"/>
  <c r="S380" i="15"/>
  <c r="R380" i="15"/>
  <c r="N380" i="15" a="1"/>
  <c r="N380" i="15" s="1"/>
  <c r="M380" i="15"/>
  <c r="L380" i="15"/>
  <c r="J380" i="15"/>
  <c r="I380" i="15"/>
  <c r="E380" i="15"/>
  <c r="D380" i="15"/>
  <c r="S379" i="15"/>
  <c r="R379" i="15"/>
  <c r="N379" i="15"/>
  <c r="N379" i="15" a="1"/>
  <c r="M379" i="15"/>
  <c r="L379" i="15"/>
  <c r="J379" i="15"/>
  <c r="I379" i="15"/>
  <c r="E379" i="15"/>
  <c r="D379" i="15"/>
  <c r="S378" i="15"/>
  <c r="R378" i="15"/>
  <c r="N378" i="15" a="1"/>
  <c r="N378" i="15" s="1"/>
  <c r="M378" i="15"/>
  <c r="L378" i="15"/>
  <c r="J378" i="15"/>
  <c r="I378" i="15"/>
  <c r="E378" i="15"/>
  <c r="D378" i="15"/>
  <c r="S377" i="15"/>
  <c r="R377" i="15"/>
  <c r="N377" i="15"/>
  <c r="N377" i="15" a="1"/>
  <c r="M377" i="15"/>
  <c r="L377" i="15"/>
  <c r="J377" i="15"/>
  <c r="I377" i="15"/>
  <c r="E377" i="15"/>
  <c r="D377" i="15"/>
  <c r="S376" i="15"/>
  <c r="R376" i="15"/>
  <c r="M376" i="15"/>
  <c r="N376" i="15" s="1" a="1"/>
  <c r="N376" i="15" s="1"/>
  <c r="L376" i="15"/>
  <c r="J376" i="15"/>
  <c r="I376" i="15"/>
  <c r="E376" i="15"/>
  <c r="D376" i="15"/>
  <c r="S375" i="15"/>
  <c r="R375" i="15"/>
  <c r="N375" i="15" a="1"/>
  <c r="N375" i="15" s="1"/>
  <c r="M375" i="15"/>
  <c r="L375" i="15"/>
  <c r="J375" i="15"/>
  <c r="I375" i="15"/>
  <c r="E375" i="15"/>
  <c r="D375" i="15"/>
  <c r="S374" i="15"/>
  <c r="R374" i="15"/>
  <c r="N374" i="15" a="1"/>
  <c r="N374" i="15" s="1"/>
  <c r="M374" i="15"/>
  <c r="L374" i="15"/>
  <c r="J374" i="15"/>
  <c r="I374" i="15"/>
  <c r="E374" i="15"/>
  <c r="D374" i="15"/>
  <c r="S373" i="15"/>
  <c r="R373" i="15"/>
  <c r="N373" i="15" a="1"/>
  <c r="N373" i="15" s="1"/>
  <c r="M373" i="15"/>
  <c r="L373" i="15"/>
  <c r="J373" i="15"/>
  <c r="I373" i="15"/>
  <c r="E373" i="15"/>
  <c r="D373" i="15"/>
  <c r="S372" i="15"/>
  <c r="R372" i="15"/>
  <c r="M372" i="15"/>
  <c r="N372" i="15" s="1" a="1"/>
  <c r="N372" i="15" s="1"/>
  <c r="L372" i="15"/>
  <c r="J372" i="15"/>
  <c r="I372" i="15"/>
  <c r="E372" i="15"/>
  <c r="D372" i="15"/>
  <c r="S371" i="15"/>
  <c r="R371" i="15"/>
  <c r="N371" i="15"/>
  <c r="N371" i="15" a="1"/>
  <c r="M371" i="15"/>
  <c r="L371" i="15"/>
  <c r="J371" i="15"/>
  <c r="I371" i="15"/>
  <c r="E371" i="15"/>
  <c r="D371" i="15"/>
  <c r="S370" i="15"/>
  <c r="R370" i="15"/>
  <c r="M370" i="15"/>
  <c r="N370" i="15" s="1" a="1"/>
  <c r="N370" i="15" s="1"/>
  <c r="L370" i="15"/>
  <c r="J370" i="15"/>
  <c r="I370" i="15"/>
  <c r="E370" i="15"/>
  <c r="D370" i="15"/>
  <c r="S369" i="15"/>
  <c r="R369" i="15"/>
  <c r="N369" i="15" a="1"/>
  <c r="N369" i="15" s="1"/>
  <c r="M369" i="15"/>
  <c r="L369" i="15"/>
  <c r="J369" i="15"/>
  <c r="I369" i="15"/>
  <c r="E369" i="15"/>
  <c r="D369" i="15"/>
  <c r="S368" i="15"/>
  <c r="R368" i="15"/>
  <c r="M368" i="15"/>
  <c r="N368" i="15" s="1" a="1"/>
  <c r="N368" i="15" s="1"/>
  <c r="L368" i="15"/>
  <c r="J368" i="15"/>
  <c r="I368" i="15"/>
  <c r="E368" i="15"/>
  <c r="D368" i="15"/>
  <c r="S367" i="15"/>
  <c r="R367" i="15"/>
  <c r="N367" i="15"/>
  <c r="N367" i="15" a="1"/>
  <c r="M367" i="15"/>
  <c r="L367" i="15"/>
  <c r="J367" i="15"/>
  <c r="I367" i="15"/>
  <c r="E367" i="15"/>
  <c r="D367" i="15"/>
  <c r="S366" i="15"/>
  <c r="R366" i="15"/>
  <c r="N366" i="15" a="1"/>
  <c r="N366" i="15" s="1"/>
  <c r="M366" i="15"/>
  <c r="L366" i="15"/>
  <c r="J366" i="15"/>
  <c r="I366" i="15"/>
  <c r="E366" i="15"/>
  <c r="D366" i="15"/>
  <c r="S365" i="15"/>
  <c r="R365" i="15"/>
  <c r="N365" i="15" a="1"/>
  <c r="N365" i="15" s="1"/>
  <c r="M365" i="15"/>
  <c r="L365" i="15"/>
  <c r="J365" i="15"/>
  <c r="I365" i="15"/>
  <c r="E365" i="15"/>
  <c r="D365" i="15"/>
  <c r="S364" i="15"/>
  <c r="R364" i="15"/>
  <c r="N364" i="15" a="1"/>
  <c r="N364" i="15" s="1"/>
  <c r="M364" i="15"/>
  <c r="L364" i="15"/>
  <c r="J364" i="15"/>
  <c r="I364" i="15"/>
  <c r="E364" i="15"/>
  <c r="D364" i="15"/>
  <c r="S363" i="15"/>
  <c r="R363" i="15"/>
  <c r="N363" i="15"/>
  <c r="N363" i="15" a="1"/>
  <c r="M363" i="15"/>
  <c r="L363" i="15"/>
  <c r="J363" i="15"/>
  <c r="I363" i="15"/>
  <c r="E363" i="15"/>
  <c r="D363" i="15"/>
  <c r="S362" i="15"/>
  <c r="R362" i="15"/>
  <c r="N362" i="15" a="1"/>
  <c r="N362" i="15" s="1"/>
  <c r="M362" i="15"/>
  <c r="L362" i="15"/>
  <c r="J362" i="15"/>
  <c r="I362" i="15"/>
  <c r="E362" i="15"/>
  <c r="D362" i="15"/>
  <c r="S361" i="15"/>
  <c r="R361" i="15"/>
  <c r="N361" i="15"/>
  <c r="N361" i="15" a="1"/>
  <c r="M361" i="15"/>
  <c r="L361" i="15"/>
  <c r="J361" i="15"/>
  <c r="I361" i="15"/>
  <c r="E361" i="15"/>
  <c r="D361" i="15"/>
  <c r="S360" i="15"/>
  <c r="R360" i="15"/>
  <c r="M360" i="15"/>
  <c r="N360" i="15" s="1" a="1"/>
  <c r="N360" i="15" s="1"/>
  <c r="L360" i="15"/>
  <c r="J360" i="15"/>
  <c r="I360" i="15"/>
  <c r="E360" i="15"/>
  <c r="D360" i="15"/>
  <c r="S359" i="15"/>
  <c r="R359" i="15"/>
  <c r="N359" i="15" a="1"/>
  <c r="N359" i="15" s="1"/>
  <c r="M359" i="15"/>
  <c r="L359" i="15"/>
  <c r="J359" i="15"/>
  <c r="I359" i="15"/>
  <c r="E359" i="15"/>
  <c r="D359" i="15"/>
  <c r="S358" i="15"/>
  <c r="R358" i="15"/>
  <c r="N358" i="15" a="1"/>
  <c r="N358" i="15" s="1"/>
  <c r="M358" i="15"/>
  <c r="L358" i="15"/>
  <c r="J358" i="15"/>
  <c r="I358" i="15"/>
  <c r="E358" i="15"/>
  <c r="D358" i="15"/>
  <c r="S357" i="15"/>
  <c r="R357" i="15"/>
  <c r="N357" i="15" a="1"/>
  <c r="N357" i="15" s="1"/>
  <c r="M357" i="15"/>
  <c r="L357" i="15"/>
  <c r="J357" i="15"/>
  <c r="I357" i="15"/>
  <c r="E357" i="15"/>
  <c r="D357" i="15"/>
  <c r="S356" i="15"/>
  <c r="R356" i="15"/>
  <c r="M356" i="15"/>
  <c r="N356" i="15" s="1" a="1"/>
  <c r="N356" i="15" s="1"/>
  <c r="L356" i="15"/>
  <c r="J356" i="15"/>
  <c r="I356" i="15"/>
  <c r="E356" i="15"/>
  <c r="D356" i="15"/>
  <c r="S355" i="15"/>
  <c r="R355" i="15"/>
  <c r="N355" i="15"/>
  <c r="N355" i="15" a="1"/>
  <c r="M355" i="15"/>
  <c r="L355" i="15"/>
  <c r="J355" i="15"/>
  <c r="I355" i="15"/>
  <c r="E355" i="15"/>
  <c r="D355" i="15"/>
  <c r="S354" i="15"/>
  <c r="R354" i="15"/>
  <c r="N354" i="15" a="1"/>
  <c r="N354" i="15" s="1"/>
  <c r="M354" i="15"/>
  <c r="L354" i="15"/>
  <c r="J354" i="15"/>
  <c r="I354" i="15"/>
  <c r="E354" i="15"/>
  <c r="D354" i="15"/>
  <c r="S353" i="15"/>
  <c r="R353" i="15"/>
  <c r="N353" i="15" a="1"/>
  <c r="N353" i="15" s="1"/>
  <c r="M353" i="15"/>
  <c r="L353" i="15"/>
  <c r="J353" i="15"/>
  <c r="I353" i="15"/>
  <c r="E353" i="15"/>
  <c r="D353" i="15"/>
  <c r="S352" i="15"/>
  <c r="R352" i="15"/>
  <c r="M352" i="15"/>
  <c r="N352" i="15" s="1" a="1"/>
  <c r="N352" i="15" s="1"/>
  <c r="L352" i="15"/>
  <c r="J352" i="15"/>
  <c r="I352" i="15"/>
  <c r="E352" i="15"/>
  <c r="D352" i="15"/>
  <c r="S351" i="15"/>
  <c r="R351" i="15"/>
  <c r="N351" i="15"/>
  <c r="N351" i="15" a="1"/>
  <c r="M351" i="15"/>
  <c r="L351" i="15"/>
  <c r="J351" i="15"/>
  <c r="I351" i="15"/>
  <c r="E351" i="15"/>
  <c r="D351" i="15"/>
  <c r="S350" i="15"/>
  <c r="R350" i="15"/>
  <c r="N350" i="15" a="1"/>
  <c r="N350" i="15" s="1"/>
  <c r="M350" i="15"/>
  <c r="L350" i="15"/>
  <c r="J350" i="15"/>
  <c r="I350" i="15"/>
  <c r="E350" i="15"/>
  <c r="D350" i="15"/>
  <c r="S349" i="15"/>
  <c r="R349" i="15"/>
  <c r="N349" i="15" a="1"/>
  <c r="N349" i="15" s="1"/>
  <c r="M349" i="15"/>
  <c r="L349" i="15"/>
  <c r="J349" i="15"/>
  <c r="I349" i="15"/>
  <c r="E349" i="15"/>
  <c r="D349" i="15"/>
  <c r="S348" i="15"/>
  <c r="R348" i="15"/>
  <c r="N348" i="15" a="1"/>
  <c r="N348" i="15" s="1"/>
  <c r="M348" i="15"/>
  <c r="L348" i="15"/>
  <c r="J348" i="15"/>
  <c r="I348" i="15"/>
  <c r="E348" i="15"/>
  <c r="D348" i="15"/>
  <c r="S347" i="15"/>
  <c r="R347" i="15"/>
  <c r="N347" i="15"/>
  <c r="N347" i="15" a="1"/>
  <c r="M347" i="15"/>
  <c r="L347" i="15"/>
  <c r="J347" i="15"/>
  <c r="I347" i="15"/>
  <c r="E347" i="15"/>
  <c r="D347" i="15"/>
  <c r="S346" i="15"/>
  <c r="R346" i="15"/>
  <c r="N346" i="15" a="1"/>
  <c r="N346" i="15" s="1"/>
  <c r="M346" i="15"/>
  <c r="L346" i="15"/>
  <c r="J346" i="15"/>
  <c r="I346" i="15"/>
  <c r="E346" i="15"/>
  <c r="D346" i="15"/>
  <c r="S345" i="15"/>
  <c r="R345" i="15"/>
  <c r="N345" i="15"/>
  <c r="N345" i="15" a="1"/>
  <c r="M345" i="15"/>
  <c r="L345" i="15"/>
  <c r="J345" i="15"/>
  <c r="I345" i="15"/>
  <c r="E345" i="15"/>
  <c r="D345" i="15"/>
  <c r="S344" i="15"/>
  <c r="R344" i="15"/>
  <c r="M344" i="15"/>
  <c r="N344" i="15" s="1" a="1"/>
  <c r="N344" i="15" s="1"/>
  <c r="L344" i="15"/>
  <c r="J344" i="15"/>
  <c r="I344" i="15"/>
  <c r="E344" i="15"/>
  <c r="D344" i="15"/>
  <c r="S343" i="15"/>
  <c r="R343" i="15"/>
  <c r="N343" i="15" a="1"/>
  <c r="N343" i="15" s="1"/>
  <c r="M343" i="15"/>
  <c r="L343" i="15"/>
  <c r="J343" i="15"/>
  <c r="I343" i="15"/>
  <c r="E343" i="15"/>
  <c r="D343" i="15"/>
  <c r="S342" i="15"/>
  <c r="R342" i="15"/>
  <c r="N342" i="15" a="1"/>
  <c r="N342" i="15" s="1"/>
  <c r="M342" i="15"/>
  <c r="L342" i="15"/>
  <c r="J342" i="15"/>
  <c r="I342" i="15"/>
  <c r="E342" i="15"/>
  <c r="D342" i="15"/>
  <c r="S341" i="15"/>
  <c r="R341" i="15"/>
  <c r="N341" i="15" a="1"/>
  <c r="N341" i="15" s="1"/>
  <c r="M341" i="15"/>
  <c r="L341" i="15"/>
  <c r="J341" i="15"/>
  <c r="I341" i="15"/>
  <c r="E341" i="15"/>
  <c r="D341" i="15"/>
  <c r="S340" i="15"/>
  <c r="R340" i="15"/>
  <c r="M340" i="15"/>
  <c r="N340" i="15" s="1" a="1"/>
  <c r="N340" i="15" s="1"/>
  <c r="L340" i="15"/>
  <c r="J340" i="15"/>
  <c r="I340" i="15"/>
  <c r="E340" i="15"/>
  <c r="D340" i="15"/>
  <c r="S339" i="15"/>
  <c r="R339" i="15"/>
  <c r="N339" i="15"/>
  <c r="N339" i="15" a="1"/>
  <c r="M339" i="15"/>
  <c r="L339" i="15"/>
  <c r="J339" i="15"/>
  <c r="I339" i="15"/>
  <c r="E339" i="15"/>
  <c r="D339" i="15"/>
  <c r="S338" i="15"/>
  <c r="R338" i="15"/>
  <c r="N338" i="15" a="1"/>
  <c r="N338" i="15" s="1"/>
  <c r="M338" i="15"/>
  <c r="L338" i="15"/>
  <c r="J338" i="15"/>
  <c r="I338" i="15"/>
  <c r="E338" i="15"/>
  <c r="D338" i="15"/>
  <c r="S337" i="15"/>
  <c r="R337" i="15"/>
  <c r="N337" i="15" a="1"/>
  <c r="N337" i="15" s="1"/>
  <c r="M337" i="15"/>
  <c r="L337" i="15"/>
  <c r="J337" i="15"/>
  <c r="I337" i="15"/>
  <c r="E337" i="15"/>
  <c r="D337" i="15"/>
  <c r="S336" i="15"/>
  <c r="R336" i="15"/>
  <c r="M336" i="15"/>
  <c r="N336" i="15" s="1" a="1"/>
  <c r="N336" i="15" s="1"/>
  <c r="L336" i="15"/>
  <c r="J336" i="15"/>
  <c r="I336" i="15"/>
  <c r="E336" i="15"/>
  <c r="D336" i="15"/>
  <c r="S335" i="15"/>
  <c r="R335" i="15"/>
  <c r="N335" i="15"/>
  <c r="N335" i="15" a="1"/>
  <c r="M335" i="15"/>
  <c r="L335" i="15"/>
  <c r="J335" i="15"/>
  <c r="I335" i="15"/>
  <c r="E335" i="15"/>
  <c r="D335" i="15"/>
  <c r="S334" i="15"/>
  <c r="R334" i="15"/>
  <c r="N334" i="15" a="1"/>
  <c r="N334" i="15" s="1"/>
  <c r="M334" i="15"/>
  <c r="L334" i="15"/>
  <c r="J334" i="15"/>
  <c r="I334" i="15"/>
  <c r="E334" i="15"/>
  <c r="D334" i="15"/>
  <c r="S333" i="15"/>
  <c r="R333" i="15"/>
  <c r="N333" i="15" a="1"/>
  <c r="N333" i="15" s="1"/>
  <c r="M333" i="15"/>
  <c r="L333" i="15"/>
  <c r="J333" i="15"/>
  <c r="I333" i="15"/>
  <c r="E333" i="15"/>
  <c r="D333" i="15"/>
  <c r="S332" i="15"/>
  <c r="R332" i="15"/>
  <c r="N332" i="15" a="1"/>
  <c r="N332" i="15" s="1"/>
  <c r="M332" i="15"/>
  <c r="L332" i="15"/>
  <c r="J332" i="15"/>
  <c r="I332" i="15"/>
  <c r="E332" i="15"/>
  <c r="D332" i="15"/>
  <c r="S331" i="15"/>
  <c r="R331" i="15"/>
  <c r="N331" i="15"/>
  <c r="N331" i="15" a="1"/>
  <c r="M331" i="15"/>
  <c r="L331" i="15"/>
  <c r="J331" i="15"/>
  <c r="I331" i="15"/>
  <c r="E331" i="15"/>
  <c r="D331" i="15"/>
  <c r="S330" i="15"/>
  <c r="R330" i="15"/>
  <c r="N330" i="15" a="1"/>
  <c r="N330" i="15" s="1"/>
  <c r="M330" i="15"/>
  <c r="L330" i="15"/>
  <c r="J330" i="15"/>
  <c r="I330" i="15"/>
  <c r="E330" i="15"/>
  <c r="D330" i="15"/>
  <c r="S329" i="15"/>
  <c r="R329" i="15"/>
  <c r="N329" i="15"/>
  <c r="N329" i="15" a="1"/>
  <c r="M329" i="15"/>
  <c r="L329" i="15"/>
  <c r="J329" i="15"/>
  <c r="I329" i="15"/>
  <c r="E329" i="15"/>
  <c r="D329" i="15"/>
  <c r="S328" i="15"/>
  <c r="R328" i="15"/>
  <c r="M328" i="15"/>
  <c r="N328" i="15" s="1" a="1"/>
  <c r="N328" i="15" s="1"/>
  <c r="L328" i="15"/>
  <c r="J328" i="15"/>
  <c r="I328" i="15"/>
  <c r="E328" i="15"/>
  <c r="D328" i="15"/>
  <c r="S327" i="15"/>
  <c r="R327" i="15"/>
  <c r="N327" i="15" a="1"/>
  <c r="N327" i="15" s="1"/>
  <c r="M327" i="15"/>
  <c r="L327" i="15"/>
  <c r="J327" i="15"/>
  <c r="I327" i="15"/>
  <c r="E327" i="15"/>
  <c r="D327" i="15"/>
  <c r="S326" i="15"/>
  <c r="R326" i="15"/>
  <c r="N326" i="15" a="1"/>
  <c r="N326" i="15" s="1"/>
  <c r="M326" i="15"/>
  <c r="L326" i="15"/>
  <c r="J326" i="15"/>
  <c r="I326" i="15"/>
  <c r="E326" i="15"/>
  <c r="D326" i="15"/>
  <c r="S325" i="15"/>
  <c r="R325" i="15"/>
  <c r="N325" i="15" a="1"/>
  <c r="N325" i="15" s="1"/>
  <c r="M325" i="15"/>
  <c r="L325" i="15"/>
  <c r="J325" i="15"/>
  <c r="I325" i="15"/>
  <c r="E325" i="15"/>
  <c r="D325" i="15"/>
  <c r="S324" i="15"/>
  <c r="R324" i="15"/>
  <c r="M324" i="15"/>
  <c r="N324" i="15" s="1" a="1"/>
  <c r="N324" i="15" s="1"/>
  <c r="L324" i="15"/>
  <c r="J324" i="15"/>
  <c r="I324" i="15"/>
  <c r="E324" i="15"/>
  <c r="D324" i="15"/>
  <c r="S323" i="15"/>
  <c r="R323" i="15"/>
  <c r="N323" i="15"/>
  <c r="N323" i="15" a="1"/>
  <c r="M323" i="15"/>
  <c r="L323" i="15"/>
  <c r="J323" i="15"/>
  <c r="I323" i="15"/>
  <c r="E323" i="15"/>
  <c r="D323" i="15"/>
  <c r="S322" i="15"/>
  <c r="R322" i="15"/>
  <c r="N322" i="15" a="1"/>
  <c r="N322" i="15" s="1"/>
  <c r="M322" i="15"/>
  <c r="L322" i="15"/>
  <c r="J322" i="15"/>
  <c r="I322" i="15"/>
  <c r="E322" i="15"/>
  <c r="D322" i="15"/>
  <c r="S321" i="15"/>
  <c r="R321" i="15"/>
  <c r="N321" i="15" a="1"/>
  <c r="N321" i="15" s="1"/>
  <c r="M321" i="15"/>
  <c r="L321" i="15"/>
  <c r="J321" i="15"/>
  <c r="I321" i="15"/>
  <c r="E321" i="15"/>
  <c r="D321" i="15"/>
  <c r="S320" i="15"/>
  <c r="R320" i="15"/>
  <c r="M320" i="15"/>
  <c r="N320" i="15" s="1" a="1"/>
  <c r="N320" i="15" s="1"/>
  <c r="L320" i="15"/>
  <c r="J320" i="15"/>
  <c r="I320" i="15"/>
  <c r="E320" i="15"/>
  <c r="D320" i="15"/>
  <c r="S319" i="15"/>
  <c r="R319" i="15"/>
  <c r="N319" i="15"/>
  <c r="N319" i="15" a="1"/>
  <c r="M319" i="15"/>
  <c r="L319" i="15"/>
  <c r="J319" i="15"/>
  <c r="I319" i="15"/>
  <c r="E319" i="15"/>
  <c r="D319" i="15"/>
  <c r="S318" i="15"/>
  <c r="R318" i="15"/>
  <c r="N318" i="15" a="1"/>
  <c r="N318" i="15" s="1"/>
  <c r="M318" i="15"/>
  <c r="L318" i="15"/>
  <c r="J318" i="15"/>
  <c r="I318" i="15"/>
  <c r="E318" i="15"/>
  <c r="D318" i="15"/>
  <c r="S317" i="15"/>
  <c r="R317" i="15"/>
  <c r="N317" i="15" a="1"/>
  <c r="N317" i="15" s="1"/>
  <c r="M317" i="15"/>
  <c r="L317" i="15"/>
  <c r="J317" i="15"/>
  <c r="I317" i="15"/>
  <c r="E317" i="15"/>
  <c r="D317" i="15"/>
  <c r="S316" i="15"/>
  <c r="R316" i="15"/>
  <c r="N316" i="15" a="1"/>
  <c r="N316" i="15" s="1"/>
  <c r="M316" i="15"/>
  <c r="L316" i="15"/>
  <c r="J316" i="15"/>
  <c r="I316" i="15"/>
  <c r="E316" i="15"/>
  <c r="D316" i="15"/>
  <c r="S315" i="15"/>
  <c r="R315" i="15"/>
  <c r="N315" i="15"/>
  <c r="N315" i="15" a="1"/>
  <c r="M315" i="15"/>
  <c r="L315" i="15"/>
  <c r="J315" i="15"/>
  <c r="I315" i="15"/>
  <c r="E315" i="15"/>
  <c r="D315" i="15"/>
  <c r="S314" i="15"/>
  <c r="R314" i="15"/>
  <c r="N314" i="15" a="1"/>
  <c r="N314" i="15" s="1"/>
  <c r="M314" i="15"/>
  <c r="L314" i="15"/>
  <c r="J314" i="15"/>
  <c r="I314" i="15"/>
  <c r="E314" i="15"/>
  <c r="D314" i="15"/>
  <c r="S313" i="15"/>
  <c r="R313" i="15"/>
  <c r="N313" i="15"/>
  <c r="N313" i="15" a="1"/>
  <c r="M313" i="15"/>
  <c r="L313" i="15"/>
  <c r="J313" i="15"/>
  <c r="I313" i="15"/>
  <c r="E313" i="15"/>
  <c r="D313" i="15"/>
  <c r="S312" i="15"/>
  <c r="R312" i="15"/>
  <c r="M312" i="15"/>
  <c r="N312" i="15" s="1" a="1"/>
  <c r="N312" i="15" s="1"/>
  <c r="L312" i="15"/>
  <c r="J312" i="15"/>
  <c r="I312" i="15"/>
  <c r="E312" i="15"/>
  <c r="D312" i="15"/>
  <c r="S311" i="15"/>
  <c r="R311" i="15"/>
  <c r="N311" i="15" a="1"/>
  <c r="N311" i="15" s="1"/>
  <c r="M311" i="15"/>
  <c r="L311" i="15"/>
  <c r="J311" i="15"/>
  <c r="I311" i="15"/>
  <c r="E311" i="15"/>
  <c r="D311" i="15"/>
  <c r="S310" i="15"/>
  <c r="R310" i="15"/>
  <c r="N310" i="15" a="1"/>
  <c r="N310" i="15" s="1"/>
  <c r="M310" i="15"/>
  <c r="L310" i="15"/>
  <c r="J310" i="15"/>
  <c r="I310" i="15"/>
  <c r="E310" i="15"/>
  <c r="D310" i="15"/>
  <c r="S309" i="15"/>
  <c r="R309" i="15"/>
  <c r="N309" i="15" a="1"/>
  <c r="N309" i="15" s="1"/>
  <c r="M309" i="15"/>
  <c r="L309" i="15"/>
  <c r="J309" i="15"/>
  <c r="I309" i="15"/>
  <c r="E309" i="15"/>
  <c r="D309" i="15"/>
  <c r="S308" i="15"/>
  <c r="R308" i="15"/>
  <c r="M308" i="15"/>
  <c r="N308" i="15" s="1" a="1"/>
  <c r="N308" i="15" s="1"/>
  <c r="L308" i="15"/>
  <c r="J308" i="15"/>
  <c r="I308" i="15"/>
  <c r="E308" i="15"/>
  <c r="D308" i="15"/>
  <c r="S307" i="15"/>
  <c r="R307" i="15"/>
  <c r="N307" i="15"/>
  <c r="N307" i="15" a="1"/>
  <c r="M307" i="15"/>
  <c r="L307" i="15"/>
  <c r="J307" i="15"/>
  <c r="I307" i="15"/>
  <c r="E307" i="15"/>
  <c r="D307" i="15"/>
  <c r="S306" i="15"/>
  <c r="R306" i="15"/>
  <c r="N306" i="15" a="1"/>
  <c r="N306" i="15" s="1"/>
  <c r="M306" i="15"/>
  <c r="L306" i="15"/>
  <c r="J306" i="15"/>
  <c r="I306" i="15"/>
  <c r="E306" i="15"/>
  <c r="D306" i="15"/>
  <c r="S305" i="15"/>
  <c r="R305" i="15"/>
  <c r="N305" i="15" a="1"/>
  <c r="N305" i="15" s="1"/>
  <c r="M305" i="15"/>
  <c r="L305" i="15"/>
  <c r="J305" i="15"/>
  <c r="I305" i="15"/>
  <c r="E305" i="15"/>
  <c r="D305" i="15"/>
  <c r="S304" i="15"/>
  <c r="R304" i="15"/>
  <c r="M304" i="15"/>
  <c r="N304" i="15" s="1" a="1"/>
  <c r="N304" i="15" s="1"/>
  <c r="L304" i="15"/>
  <c r="J304" i="15"/>
  <c r="I304" i="15"/>
  <c r="E304" i="15"/>
  <c r="D304" i="15"/>
  <c r="S303" i="15"/>
  <c r="R303" i="15"/>
  <c r="N303" i="15"/>
  <c r="N303" i="15" a="1"/>
  <c r="M303" i="15"/>
  <c r="L303" i="15"/>
  <c r="J303" i="15"/>
  <c r="I303" i="15"/>
  <c r="E303" i="15"/>
  <c r="D303" i="15"/>
  <c r="S302" i="15"/>
  <c r="R302" i="15"/>
  <c r="N302" i="15" a="1"/>
  <c r="N302" i="15" s="1"/>
  <c r="M302" i="15"/>
  <c r="L302" i="15"/>
  <c r="J302" i="15"/>
  <c r="I302" i="15"/>
  <c r="E302" i="15"/>
  <c r="D302" i="15"/>
  <c r="S301" i="15"/>
  <c r="R301" i="15"/>
  <c r="N301" i="15" a="1"/>
  <c r="N301" i="15" s="1"/>
  <c r="M301" i="15"/>
  <c r="L301" i="15"/>
  <c r="J301" i="15"/>
  <c r="I301" i="15"/>
  <c r="E301" i="15"/>
  <c r="D301" i="15"/>
  <c r="S300" i="15"/>
  <c r="R300" i="15"/>
  <c r="N300" i="15" a="1"/>
  <c r="N300" i="15" s="1"/>
  <c r="M300" i="15"/>
  <c r="L300" i="15"/>
  <c r="J300" i="15"/>
  <c r="I300" i="15"/>
  <c r="E300" i="15"/>
  <c r="D300" i="15"/>
  <c r="S299" i="15"/>
  <c r="R299" i="15"/>
  <c r="N299" i="15"/>
  <c r="N299" i="15" a="1"/>
  <c r="M299" i="15"/>
  <c r="L299" i="15"/>
  <c r="J299" i="15"/>
  <c r="I299" i="15"/>
  <c r="E299" i="15"/>
  <c r="D299" i="15"/>
  <c r="S298" i="15"/>
  <c r="R298" i="15"/>
  <c r="N298" i="15" a="1"/>
  <c r="N298" i="15" s="1"/>
  <c r="M298" i="15"/>
  <c r="L298" i="15"/>
  <c r="J298" i="15"/>
  <c r="I298" i="15"/>
  <c r="E298" i="15"/>
  <c r="D298" i="15"/>
  <c r="S297" i="15"/>
  <c r="R297" i="15"/>
  <c r="N297" i="15"/>
  <c r="N297" i="15" a="1"/>
  <c r="M297" i="15"/>
  <c r="L297" i="15"/>
  <c r="J297" i="15"/>
  <c r="I297" i="15"/>
  <c r="E297" i="15"/>
  <c r="D297" i="15"/>
  <c r="S296" i="15"/>
  <c r="R296" i="15"/>
  <c r="M296" i="15"/>
  <c r="N296" i="15" s="1" a="1"/>
  <c r="N296" i="15" s="1"/>
  <c r="L296" i="15"/>
  <c r="J296" i="15"/>
  <c r="I296" i="15"/>
  <c r="E296" i="15"/>
  <c r="D296" i="15"/>
  <c r="S295" i="15"/>
  <c r="R295" i="15"/>
  <c r="N295" i="15" a="1"/>
  <c r="N295" i="15" s="1"/>
  <c r="M295" i="15"/>
  <c r="L295" i="15"/>
  <c r="J295" i="15"/>
  <c r="I295" i="15"/>
  <c r="E295" i="15"/>
  <c r="D295" i="15"/>
  <c r="S294" i="15"/>
  <c r="R294" i="15"/>
  <c r="N294" i="15" a="1"/>
  <c r="N294" i="15" s="1"/>
  <c r="M294" i="15"/>
  <c r="L294" i="15"/>
  <c r="J294" i="15"/>
  <c r="I294" i="15"/>
  <c r="E294" i="15"/>
  <c r="D294" i="15"/>
  <c r="S293" i="15"/>
  <c r="R293" i="15"/>
  <c r="N293" i="15" a="1"/>
  <c r="N293" i="15" s="1"/>
  <c r="M293" i="15"/>
  <c r="L293" i="15"/>
  <c r="J293" i="15"/>
  <c r="I293" i="15"/>
  <c r="E293" i="15"/>
  <c r="D293" i="15"/>
  <c r="S292" i="15"/>
  <c r="R292" i="15"/>
  <c r="M292" i="15"/>
  <c r="N292" i="15" s="1" a="1"/>
  <c r="N292" i="15" s="1"/>
  <c r="L292" i="15"/>
  <c r="J292" i="15"/>
  <c r="I292" i="15"/>
  <c r="E292" i="15"/>
  <c r="D292" i="15"/>
  <c r="S291" i="15"/>
  <c r="R291" i="15"/>
  <c r="N291" i="15"/>
  <c r="N291" i="15" a="1"/>
  <c r="M291" i="15"/>
  <c r="L291" i="15"/>
  <c r="J291" i="15"/>
  <c r="I291" i="15"/>
  <c r="E291" i="15"/>
  <c r="D291" i="15"/>
  <c r="S290" i="15"/>
  <c r="R290" i="15"/>
  <c r="N290" i="15" a="1"/>
  <c r="N290" i="15" s="1"/>
  <c r="M290" i="15"/>
  <c r="L290" i="15"/>
  <c r="J290" i="15"/>
  <c r="I290" i="15"/>
  <c r="E290" i="15"/>
  <c r="D290" i="15"/>
  <c r="S289" i="15"/>
  <c r="R289" i="15"/>
  <c r="N289" i="15" a="1"/>
  <c r="N289" i="15" s="1"/>
  <c r="M289" i="15"/>
  <c r="L289" i="15"/>
  <c r="J289" i="15"/>
  <c r="I289" i="15"/>
  <c r="E289" i="15"/>
  <c r="D289" i="15"/>
  <c r="S288" i="15"/>
  <c r="R288" i="15"/>
  <c r="M288" i="15"/>
  <c r="N288" i="15" s="1" a="1"/>
  <c r="N288" i="15" s="1"/>
  <c r="L288" i="15"/>
  <c r="J288" i="15"/>
  <c r="I288" i="15"/>
  <c r="E288" i="15"/>
  <c r="D288" i="15"/>
  <c r="S287" i="15"/>
  <c r="R287" i="15"/>
  <c r="N287" i="15"/>
  <c r="N287" i="15" a="1"/>
  <c r="M287" i="15"/>
  <c r="L287" i="15"/>
  <c r="J287" i="15"/>
  <c r="I287" i="15"/>
  <c r="E287" i="15"/>
  <c r="D287" i="15"/>
  <c r="S286" i="15"/>
  <c r="R286" i="15"/>
  <c r="N286" i="15" a="1"/>
  <c r="N286" i="15" s="1"/>
  <c r="M286" i="15"/>
  <c r="L286" i="15"/>
  <c r="J286" i="15"/>
  <c r="I286" i="15"/>
  <c r="E286" i="15"/>
  <c r="D286" i="15"/>
  <c r="S285" i="15"/>
  <c r="R285" i="15"/>
  <c r="N285" i="15" a="1"/>
  <c r="N285" i="15" s="1"/>
  <c r="M285" i="15"/>
  <c r="L285" i="15"/>
  <c r="J285" i="15"/>
  <c r="I285" i="15"/>
  <c r="E285" i="15"/>
  <c r="D285" i="15"/>
  <c r="S284" i="15"/>
  <c r="R284" i="15"/>
  <c r="N284" i="15" a="1"/>
  <c r="N284" i="15" s="1"/>
  <c r="M284" i="15"/>
  <c r="L284" i="15"/>
  <c r="J284" i="15"/>
  <c r="I284" i="15"/>
  <c r="E284" i="15"/>
  <c r="D284" i="15"/>
  <c r="S283" i="15"/>
  <c r="R283" i="15"/>
  <c r="N283" i="15"/>
  <c r="N283" i="15" a="1"/>
  <c r="M283" i="15"/>
  <c r="L283" i="15"/>
  <c r="J283" i="15"/>
  <c r="I283" i="15"/>
  <c r="E283" i="15"/>
  <c r="D283" i="15"/>
  <c r="S282" i="15"/>
  <c r="R282" i="15"/>
  <c r="N282" i="15" a="1"/>
  <c r="N282" i="15" s="1"/>
  <c r="M282" i="15"/>
  <c r="L282" i="15"/>
  <c r="J282" i="15"/>
  <c r="I282" i="15"/>
  <c r="E282" i="15"/>
  <c r="D282" i="15"/>
  <c r="S281" i="15"/>
  <c r="R281" i="15"/>
  <c r="N281" i="15"/>
  <c r="N281" i="15" a="1"/>
  <c r="M281" i="15"/>
  <c r="L281" i="15"/>
  <c r="J281" i="15"/>
  <c r="I281" i="15"/>
  <c r="E281" i="15"/>
  <c r="D281" i="15"/>
  <c r="S280" i="15"/>
  <c r="R280" i="15"/>
  <c r="M280" i="15"/>
  <c r="N280" i="15" s="1" a="1"/>
  <c r="N280" i="15" s="1"/>
  <c r="L280" i="15"/>
  <c r="J280" i="15"/>
  <c r="I280" i="15"/>
  <c r="E280" i="15"/>
  <c r="D280" i="15"/>
  <c r="S279" i="15"/>
  <c r="R279" i="15"/>
  <c r="N279" i="15" a="1"/>
  <c r="N279" i="15" s="1"/>
  <c r="M279" i="15"/>
  <c r="L279" i="15"/>
  <c r="J279" i="15"/>
  <c r="I279" i="15"/>
  <c r="E279" i="15"/>
  <c r="D279" i="15"/>
  <c r="S278" i="15"/>
  <c r="R278" i="15"/>
  <c r="N278" i="15" a="1"/>
  <c r="N278" i="15" s="1"/>
  <c r="M278" i="15"/>
  <c r="L278" i="15"/>
  <c r="J278" i="15"/>
  <c r="I278" i="15"/>
  <c r="E278" i="15"/>
  <c r="D278" i="15"/>
  <c r="S277" i="15"/>
  <c r="R277" i="15"/>
  <c r="N277" i="15" a="1"/>
  <c r="N277" i="15" s="1"/>
  <c r="M277" i="15"/>
  <c r="L277" i="15"/>
  <c r="J277" i="15"/>
  <c r="I277" i="15"/>
  <c r="E277" i="15"/>
  <c r="D277" i="15"/>
  <c r="S276" i="15"/>
  <c r="R276" i="15"/>
  <c r="M276" i="15"/>
  <c r="N276" i="15" s="1" a="1"/>
  <c r="N276" i="15" s="1"/>
  <c r="L276" i="15"/>
  <c r="J276" i="15"/>
  <c r="I276" i="15"/>
  <c r="E276" i="15"/>
  <c r="D276" i="15"/>
  <c r="S275" i="15"/>
  <c r="R275" i="15"/>
  <c r="N275" i="15"/>
  <c r="N275" i="15" a="1"/>
  <c r="M275" i="15"/>
  <c r="L275" i="15"/>
  <c r="J275" i="15"/>
  <c r="I275" i="15"/>
  <c r="E275" i="15"/>
  <c r="D275" i="15"/>
  <c r="S274" i="15"/>
  <c r="R274" i="15"/>
  <c r="N274" i="15" a="1"/>
  <c r="N274" i="15" s="1"/>
  <c r="M274" i="15"/>
  <c r="L274" i="15"/>
  <c r="J274" i="15"/>
  <c r="I274" i="15"/>
  <c r="E274" i="15"/>
  <c r="D274" i="15"/>
  <c r="S273" i="15"/>
  <c r="R273" i="15"/>
  <c r="N273" i="15" a="1"/>
  <c r="N273" i="15" s="1"/>
  <c r="M273" i="15"/>
  <c r="L273" i="15"/>
  <c r="J273" i="15"/>
  <c r="I273" i="15"/>
  <c r="E273" i="15"/>
  <c r="D273" i="15"/>
  <c r="S272" i="15"/>
  <c r="R272" i="15"/>
  <c r="M272" i="15"/>
  <c r="N272" i="15" s="1" a="1"/>
  <c r="N272" i="15" s="1"/>
  <c r="L272" i="15"/>
  <c r="J272" i="15"/>
  <c r="I272" i="15"/>
  <c r="E272" i="15"/>
  <c r="D272" i="15"/>
  <c r="S271" i="15"/>
  <c r="R271" i="15"/>
  <c r="N271" i="15" a="1"/>
  <c r="N271" i="15" s="1"/>
  <c r="M271" i="15"/>
  <c r="L271" i="15"/>
  <c r="J271" i="15"/>
  <c r="I271" i="15"/>
  <c r="E271" i="15"/>
  <c r="D271" i="15"/>
  <c r="S270" i="15"/>
  <c r="R270" i="15"/>
  <c r="N270" i="15" a="1"/>
  <c r="N270" i="15" s="1"/>
  <c r="M270" i="15"/>
  <c r="L270" i="15"/>
  <c r="J270" i="15"/>
  <c r="I270" i="15"/>
  <c r="E270" i="15"/>
  <c r="D270" i="15"/>
  <c r="S269" i="15"/>
  <c r="R269" i="15"/>
  <c r="N269" i="15" a="1"/>
  <c r="N269" i="15" s="1"/>
  <c r="M269" i="15"/>
  <c r="L269" i="15"/>
  <c r="J269" i="15"/>
  <c r="I269" i="15"/>
  <c r="E269" i="15"/>
  <c r="D269" i="15"/>
  <c r="S268" i="15"/>
  <c r="R268" i="15"/>
  <c r="M268" i="15"/>
  <c r="N268" i="15" s="1" a="1"/>
  <c r="N268" i="15" s="1"/>
  <c r="L268" i="15"/>
  <c r="J268" i="15"/>
  <c r="I268" i="15"/>
  <c r="E268" i="15"/>
  <c r="D268" i="15"/>
  <c r="S267" i="15"/>
  <c r="R267" i="15"/>
  <c r="N267" i="15"/>
  <c r="N267" i="15" a="1"/>
  <c r="M267" i="15"/>
  <c r="L267" i="15"/>
  <c r="J267" i="15"/>
  <c r="I267" i="15"/>
  <c r="E267" i="15"/>
  <c r="D267" i="15"/>
  <c r="S266" i="15"/>
  <c r="R266" i="15"/>
  <c r="N266" i="15" a="1"/>
  <c r="N266" i="15" s="1"/>
  <c r="M266" i="15"/>
  <c r="L266" i="15"/>
  <c r="J266" i="15"/>
  <c r="I266" i="15"/>
  <c r="E266" i="15"/>
  <c r="D266" i="15"/>
  <c r="S265" i="15"/>
  <c r="R265" i="15"/>
  <c r="N265" i="15" a="1"/>
  <c r="N265" i="15" s="1"/>
  <c r="M265" i="15"/>
  <c r="L265" i="15"/>
  <c r="J265" i="15"/>
  <c r="I265" i="15"/>
  <c r="E265" i="15"/>
  <c r="D265" i="15"/>
  <c r="S264" i="15"/>
  <c r="R264" i="15"/>
  <c r="M264" i="15"/>
  <c r="N264" i="15" s="1" a="1"/>
  <c r="N264" i="15" s="1"/>
  <c r="L264" i="15"/>
  <c r="J264" i="15"/>
  <c r="I264" i="15"/>
  <c r="E264" i="15"/>
  <c r="D264" i="15"/>
  <c r="S263" i="15"/>
  <c r="R263" i="15"/>
  <c r="N263" i="15" a="1"/>
  <c r="N263" i="15" s="1"/>
  <c r="M263" i="15"/>
  <c r="L263" i="15"/>
  <c r="J263" i="15"/>
  <c r="I263" i="15"/>
  <c r="E263" i="15"/>
  <c r="D263" i="15"/>
  <c r="S262" i="15"/>
  <c r="R262" i="15"/>
  <c r="N262" i="15" a="1"/>
  <c r="N262" i="15" s="1"/>
  <c r="M262" i="15"/>
  <c r="L262" i="15"/>
  <c r="J262" i="15"/>
  <c r="I262" i="15"/>
  <c r="E262" i="15"/>
  <c r="D262" i="15"/>
  <c r="S261" i="15"/>
  <c r="R261" i="15"/>
  <c r="N261" i="15" a="1"/>
  <c r="N261" i="15" s="1"/>
  <c r="M261" i="15"/>
  <c r="L261" i="15"/>
  <c r="J261" i="15"/>
  <c r="I261" i="15"/>
  <c r="E261" i="15"/>
  <c r="D261" i="15"/>
  <c r="S260" i="15"/>
  <c r="R260" i="15"/>
  <c r="M260" i="15"/>
  <c r="N260" i="15" s="1" a="1"/>
  <c r="N260" i="15" s="1"/>
  <c r="L260" i="15"/>
  <c r="J260" i="15"/>
  <c r="I260" i="15"/>
  <c r="E260" i="15"/>
  <c r="D260" i="15"/>
  <c r="S259" i="15"/>
  <c r="R259" i="15"/>
  <c r="N259" i="15"/>
  <c r="N259" i="15" a="1"/>
  <c r="M259" i="15"/>
  <c r="L259" i="15"/>
  <c r="J259" i="15"/>
  <c r="I259" i="15"/>
  <c r="E259" i="15"/>
  <c r="D259" i="15"/>
  <c r="S258" i="15"/>
  <c r="R258" i="15"/>
  <c r="N258" i="15" a="1"/>
  <c r="N258" i="15" s="1"/>
  <c r="M258" i="15"/>
  <c r="L258" i="15"/>
  <c r="J258" i="15"/>
  <c r="I258" i="15"/>
  <c r="E258" i="15"/>
  <c r="D258" i="15"/>
  <c r="S257" i="15"/>
  <c r="R257" i="15"/>
  <c r="N257" i="15" a="1"/>
  <c r="N257" i="15" s="1"/>
  <c r="M257" i="15"/>
  <c r="L257" i="15"/>
  <c r="J257" i="15"/>
  <c r="I257" i="15"/>
  <c r="E257" i="15"/>
  <c r="D257" i="15"/>
  <c r="S256" i="15"/>
  <c r="R256" i="15"/>
  <c r="M256" i="15"/>
  <c r="N256" i="15" s="1" a="1"/>
  <c r="N256" i="15" s="1"/>
  <c r="L256" i="15"/>
  <c r="J256" i="15"/>
  <c r="I256" i="15"/>
  <c r="E256" i="15"/>
  <c r="D256" i="15"/>
  <c r="S255" i="15"/>
  <c r="R255" i="15"/>
  <c r="N255" i="15" a="1"/>
  <c r="N255" i="15" s="1"/>
  <c r="M255" i="15"/>
  <c r="L255" i="15"/>
  <c r="J255" i="15"/>
  <c r="I255" i="15"/>
  <c r="E255" i="15"/>
  <c r="D255" i="15"/>
  <c r="S254" i="15"/>
  <c r="R254" i="15"/>
  <c r="N254" i="15" a="1"/>
  <c r="N254" i="15" s="1"/>
  <c r="M254" i="15"/>
  <c r="L254" i="15"/>
  <c r="J254" i="15"/>
  <c r="I254" i="15"/>
  <c r="E254" i="15"/>
  <c r="D254" i="15"/>
  <c r="S253" i="15"/>
  <c r="R253" i="15"/>
  <c r="N253" i="15" a="1"/>
  <c r="N253" i="15" s="1"/>
  <c r="M253" i="15"/>
  <c r="L253" i="15"/>
  <c r="J253" i="15"/>
  <c r="I253" i="15"/>
  <c r="E253" i="15"/>
  <c r="D253" i="15"/>
  <c r="S252" i="15"/>
  <c r="R252" i="15"/>
  <c r="M252" i="15"/>
  <c r="N252" i="15" s="1" a="1"/>
  <c r="N252" i="15" s="1"/>
  <c r="L252" i="15"/>
  <c r="J252" i="15"/>
  <c r="I252" i="15"/>
  <c r="E252" i="15"/>
  <c r="D252" i="15"/>
  <c r="S251" i="15"/>
  <c r="R251" i="15"/>
  <c r="N251" i="15"/>
  <c r="N251" i="15" a="1"/>
  <c r="M251" i="15"/>
  <c r="L251" i="15"/>
  <c r="J251" i="15"/>
  <c r="I251" i="15"/>
  <c r="E251" i="15"/>
  <c r="D251" i="15"/>
  <c r="S250" i="15"/>
  <c r="R250" i="15"/>
  <c r="N250" i="15" a="1"/>
  <c r="N250" i="15" s="1"/>
  <c r="M250" i="15"/>
  <c r="L250" i="15"/>
  <c r="J250" i="15"/>
  <c r="I250" i="15"/>
  <c r="E250" i="15"/>
  <c r="D250" i="15"/>
  <c r="S249" i="15"/>
  <c r="R249" i="15"/>
  <c r="N249" i="15" a="1"/>
  <c r="N249" i="15" s="1"/>
  <c r="M249" i="15"/>
  <c r="L249" i="15"/>
  <c r="J249" i="15"/>
  <c r="I249" i="15"/>
  <c r="E249" i="15"/>
  <c r="D249" i="15"/>
  <c r="S248" i="15"/>
  <c r="R248" i="15"/>
  <c r="M248" i="15"/>
  <c r="N248" i="15" s="1" a="1"/>
  <c r="N248" i="15" s="1"/>
  <c r="L248" i="15"/>
  <c r="J248" i="15"/>
  <c r="I248" i="15"/>
  <c r="E248" i="15"/>
  <c r="D248" i="15"/>
  <c r="S247" i="15"/>
  <c r="R247" i="15"/>
  <c r="N247" i="15" a="1"/>
  <c r="N247" i="15" s="1"/>
  <c r="M247" i="15"/>
  <c r="L247" i="15"/>
  <c r="J247" i="15"/>
  <c r="I247" i="15"/>
  <c r="E247" i="15"/>
  <c r="D247" i="15"/>
  <c r="S246" i="15"/>
  <c r="R246" i="15"/>
  <c r="N246" i="15" a="1"/>
  <c r="N246" i="15" s="1"/>
  <c r="M246" i="15"/>
  <c r="L246" i="15"/>
  <c r="J246" i="15"/>
  <c r="I246" i="15"/>
  <c r="E246" i="15"/>
  <c r="D246" i="15"/>
  <c r="S245" i="15"/>
  <c r="R245" i="15"/>
  <c r="N245" i="15" a="1"/>
  <c r="N245" i="15" s="1"/>
  <c r="M245" i="15"/>
  <c r="L245" i="15"/>
  <c r="J245" i="15"/>
  <c r="I245" i="15"/>
  <c r="E245" i="15"/>
  <c r="D245" i="15"/>
  <c r="S244" i="15"/>
  <c r="R244" i="15"/>
  <c r="M244" i="15"/>
  <c r="N244" i="15" s="1" a="1"/>
  <c r="N244" i="15" s="1"/>
  <c r="L244" i="15"/>
  <c r="J244" i="15"/>
  <c r="I244" i="15"/>
  <c r="E244" i="15"/>
  <c r="D244" i="15"/>
  <c r="S243" i="15"/>
  <c r="R243" i="15"/>
  <c r="N243" i="15"/>
  <c r="N243" i="15" a="1"/>
  <c r="M243" i="15"/>
  <c r="L243" i="15"/>
  <c r="J243" i="15"/>
  <c r="I243" i="15"/>
  <c r="E243" i="15"/>
  <c r="D243" i="15"/>
  <c r="S242" i="15"/>
  <c r="R242" i="15"/>
  <c r="N242" i="15" a="1"/>
  <c r="N242" i="15" s="1"/>
  <c r="M242" i="15"/>
  <c r="L242" i="15"/>
  <c r="J242" i="15"/>
  <c r="I242" i="15"/>
  <c r="E242" i="15"/>
  <c r="D242" i="15"/>
  <c r="S241" i="15"/>
  <c r="R241" i="15"/>
  <c r="N241" i="15" a="1"/>
  <c r="N241" i="15" s="1"/>
  <c r="M241" i="15"/>
  <c r="L241" i="15"/>
  <c r="J241" i="15"/>
  <c r="I241" i="15"/>
  <c r="E241" i="15"/>
  <c r="D241" i="15"/>
  <c r="S240" i="15"/>
  <c r="R240" i="15"/>
  <c r="M240" i="15"/>
  <c r="N240" i="15" s="1" a="1"/>
  <c r="N240" i="15" s="1"/>
  <c r="L240" i="15"/>
  <c r="J240" i="15"/>
  <c r="I240" i="15"/>
  <c r="E240" i="15"/>
  <c r="D240" i="15"/>
  <c r="S239" i="15"/>
  <c r="R239" i="15"/>
  <c r="N239" i="15" a="1"/>
  <c r="N239" i="15" s="1"/>
  <c r="M239" i="15"/>
  <c r="L239" i="15"/>
  <c r="J239" i="15"/>
  <c r="I239" i="15"/>
  <c r="E239" i="15"/>
  <c r="D239" i="15"/>
  <c r="S238" i="15"/>
  <c r="R238" i="15"/>
  <c r="N238" i="15" a="1"/>
  <c r="N238" i="15" s="1"/>
  <c r="M238" i="15"/>
  <c r="L238" i="15"/>
  <c r="J238" i="15"/>
  <c r="I238" i="15"/>
  <c r="E238" i="15"/>
  <c r="D238" i="15"/>
  <c r="S237" i="15"/>
  <c r="R237" i="15"/>
  <c r="N237" i="15" a="1"/>
  <c r="N237" i="15" s="1"/>
  <c r="M237" i="15"/>
  <c r="L237" i="15"/>
  <c r="J237" i="15"/>
  <c r="I237" i="15"/>
  <c r="E237" i="15"/>
  <c r="D237" i="15"/>
  <c r="S236" i="15"/>
  <c r="R236" i="15"/>
  <c r="M236" i="15"/>
  <c r="N236" i="15" s="1" a="1"/>
  <c r="N236" i="15" s="1"/>
  <c r="L236" i="15"/>
  <c r="J236" i="15"/>
  <c r="I236" i="15"/>
  <c r="E236" i="15"/>
  <c r="D236" i="15"/>
  <c r="S235" i="15"/>
  <c r="R235" i="15"/>
  <c r="N235" i="15"/>
  <c r="N235" i="15" a="1"/>
  <c r="M235" i="15"/>
  <c r="L235" i="15"/>
  <c r="J235" i="15"/>
  <c r="I235" i="15"/>
  <c r="E235" i="15"/>
  <c r="D235" i="15"/>
  <c r="S234" i="15"/>
  <c r="R234" i="15"/>
  <c r="N234" i="15" a="1"/>
  <c r="N234" i="15" s="1"/>
  <c r="M234" i="15"/>
  <c r="L234" i="15"/>
  <c r="J234" i="15"/>
  <c r="I234" i="15"/>
  <c r="E234" i="15"/>
  <c r="D234" i="15"/>
  <c r="S233" i="15"/>
  <c r="R233" i="15"/>
  <c r="N233" i="15" a="1"/>
  <c r="N233" i="15" s="1"/>
  <c r="M233" i="15"/>
  <c r="L233" i="15"/>
  <c r="J233" i="15"/>
  <c r="I233" i="15"/>
  <c r="E233" i="15"/>
  <c r="D233" i="15"/>
  <c r="S232" i="15"/>
  <c r="R232" i="15"/>
  <c r="M232" i="15"/>
  <c r="N232" i="15" s="1" a="1"/>
  <c r="N232" i="15" s="1"/>
  <c r="L232" i="15"/>
  <c r="J232" i="15"/>
  <c r="I232" i="15"/>
  <c r="E232" i="15"/>
  <c r="D232" i="15"/>
  <c r="S231" i="15"/>
  <c r="R231" i="15"/>
  <c r="N231" i="15" a="1"/>
  <c r="N231" i="15" s="1"/>
  <c r="M231" i="15"/>
  <c r="L231" i="15"/>
  <c r="J231" i="15"/>
  <c r="I231" i="15"/>
  <c r="E231" i="15"/>
  <c r="D231" i="15"/>
  <c r="S230" i="15"/>
  <c r="R230" i="15"/>
  <c r="N230" i="15" a="1"/>
  <c r="N230" i="15" s="1"/>
  <c r="M230" i="15"/>
  <c r="L230" i="15"/>
  <c r="J230" i="15"/>
  <c r="I230" i="15"/>
  <c r="E230" i="15"/>
  <c r="D230" i="15"/>
  <c r="S229" i="15"/>
  <c r="R229" i="15"/>
  <c r="N229" i="15" a="1"/>
  <c r="N229" i="15" s="1"/>
  <c r="M229" i="15"/>
  <c r="L229" i="15"/>
  <c r="J229" i="15"/>
  <c r="I229" i="15"/>
  <c r="E229" i="15"/>
  <c r="D229" i="15"/>
  <c r="S228" i="15"/>
  <c r="R228" i="15"/>
  <c r="M228" i="15"/>
  <c r="N228" i="15" s="1" a="1"/>
  <c r="N228" i="15" s="1"/>
  <c r="L228" i="15"/>
  <c r="J228" i="15"/>
  <c r="I228" i="15"/>
  <c r="E228" i="15"/>
  <c r="D228" i="15"/>
  <c r="S227" i="15"/>
  <c r="R227" i="15"/>
  <c r="N227" i="15"/>
  <c r="N227" i="15" a="1"/>
  <c r="M227" i="15"/>
  <c r="L227" i="15"/>
  <c r="J227" i="15"/>
  <c r="I227" i="15"/>
  <c r="E227" i="15"/>
  <c r="D227" i="15"/>
  <c r="S226" i="15"/>
  <c r="R226" i="15"/>
  <c r="N226" i="15" a="1"/>
  <c r="N226" i="15" s="1"/>
  <c r="M226" i="15"/>
  <c r="L226" i="15"/>
  <c r="J226" i="15"/>
  <c r="I226" i="15"/>
  <c r="E226" i="15"/>
  <c r="D226" i="15"/>
  <c r="S225" i="15"/>
  <c r="R225" i="15"/>
  <c r="N225" i="15" a="1"/>
  <c r="N225" i="15" s="1"/>
  <c r="M225" i="15"/>
  <c r="L225" i="15"/>
  <c r="J225" i="15"/>
  <c r="I225" i="15"/>
  <c r="E225" i="15"/>
  <c r="D225" i="15"/>
  <c r="S224" i="15"/>
  <c r="R224" i="15"/>
  <c r="M224" i="15"/>
  <c r="N224" i="15" s="1" a="1"/>
  <c r="N224" i="15" s="1"/>
  <c r="L224" i="15"/>
  <c r="J224" i="15"/>
  <c r="I224" i="15"/>
  <c r="E224" i="15"/>
  <c r="D224" i="15"/>
  <c r="S223" i="15"/>
  <c r="R223" i="15"/>
  <c r="N223" i="15" a="1"/>
  <c r="N223" i="15" s="1"/>
  <c r="M223" i="15"/>
  <c r="L223" i="15"/>
  <c r="J223" i="15"/>
  <c r="I223" i="15"/>
  <c r="E223" i="15"/>
  <c r="D223" i="15"/>
  <c r="S222" i="15"/>
  <c r="R222" i="15"/>
  <c r="N222" i="15" a="1"/>
  <c r="N222" i="15" s="1"/>
  <c r="M222" i="15"/>
  <c r="L222" i="15"/>
  <c r="J222" i="15"/>
  <c r="I222" i="15"/>
  <c r="E222" i="15"/>
  <c r="D222" i="15"/>
  <c r="S221" i="15"/>
  <c r="R221" i="15"/>
  <c r="N221" i="15" a="1"/>
  <c r="N221" i="15" s="1"/>
  <c r="M221" i="15"/>
  <c r="L221" i="15"/>
  <c r="J221" i="15"/>
  <c r="I221" i="15"/>
  <c r="E221" i="15"/>
  <c r="D221" i="15"/>
  <c r="S220" i="15"/>
  <c r="R220" i="15"/>
  <c r="M220" i="15"/>
  <c r="N220" i="15" s="1" a="1"/>
  <c r="N220" i="15" s="1"/>
  <c r="L220" i="15"/>
  <c r="J220" i="15"/>
  <c r="I220" i="15"/>
  <c r="E220" i="15"/>
  <c r="D220" i="15"/>
  <c r="S219" i="15"/>
  <c r="R219" i="15"/>
  <c r="N219" i="15"/>
  <c r="N219" i="15" a="1"/>
  <c r="M219" i="15"/>
  <c r="L219" i="15"/>
  <c r="J219" i="15"/>
  <c r="I219" i="15"/>
  <c r="E219" i="15"/>
  <c r="D219" i="15"/>
  <c r="S218" i="15"/>
  <c r="R218" i="15"/>
  <c r="N218" i="15" a="1"/>
  <c r="N218" i="15" s="1"/>
  <c r="M218" i="15"/>
  <c r="L218" i="15"/>
  <c r="J218" i="15"/>
  <c r="I218" i="15"/>
  <c r="E218" i="15"/>
  <c r="D218" i="15"/>
  <c r="S217" i="15"/>
  <c r="R217" i="15"/>
  <c r="N217" i="15" a="1"/>
  <c r="N217" i="15" s="1"/>
  <c r="M217" i="15"/>
  <c r="L217" i="15"/>
  <c r="J217" i="15"/>
  <c r="I217" i="15"/>
  <c r="E217" i="15"/>
  <c r="D217" i="15"/>
  <c r="S216" i="15"/>
  <c r="R216" i="15"/>
  <c r="M216" i="15"/>
  <c r="N216" i="15" s="1" a="1"/>
  <c r="N216" i="15" s="1"/>
  <c r="L216" i="15"/>
  <c r="J216" i="15"/>
  <c r="I216" i="15"/>
  <c r="E216" i="15"/>
  <c r="D216" i="15"/>
  <c r="S215" i="15"/>
  <c r="R215" i="15"/>
  <c r="N215" i="15" a="1"/>
  <c r="N215" i="15" s="1"/>
  <c r="M215" i="15"/>
  <c r="L215" i="15"/>
  <c r="J215" i="15"/>
  <c r="I215" i="15"/>
  <c r="E215" i="15"/>
  <c r="D215" i="15"/>
  <c r="S214" i="15"/>
  <c r="R214" i="15"/>
  <c r="N214" i="15" a="1"/>
  <c r="N214" i="15" s="1"/>
  <c r="M214" i="15"/>
  <c r="L214" i="15"/>
  <c r="J214" i="15"/>
  <c r="I214" i="15"/>
  <c r="E214" i="15"/>
  <c r="D214" i="15"/>
  <c r="S213" i="15"/>
  <c r="R213" i="15"/>
  <c r="N213" i="15" a="1"/>
  <c r="N213" i="15" s="1"/>
  <c r="M213" i="15"/>
  <c r="L213" i="15"/>
  <c r="J213" i="15"/>
  <c r="I213" i="15"/>
  <c r="E213" i="15"/>
  <c r="D213" i="15"/>
  <c r="S212" i="15"/>
  <c r="R212" i="15"/>
  <c r="M212" i="15"/>
  <c r="N212" i="15" s="1" a="1"/>
  <c r="N212" i="15" s="1"/>
  <c r="L212" i="15"/>
  <c r="J212" i="15"/>
  <c r="I212" i="15"/>
  <c r="E212" i="15"/>
  <c r="D212" i="15"/>
  <c r="S211" i="15"/>
  <c r="R211" i="15"/>
  <c r="N211" i="15"/>
  <c r="N211" i="15" a="1"/>
  <c r="M211" i="15"/>
  <c r="L211" i="15"/>
  <c r="J211" i="15"/>
  <c r="I211" i="15"/>
  <c r="E211" i="15"/>
  <c r="D211" i="15"/>
  <c r="S210" i="15"/>
  <c r="R210" i="15"/>
  <c r="N210" i="15" a="1"/>
  <c r="N210" i="15" s="1"/>
  <c r="M210" i="15"/>
  <c r="L210" i="15"/>
  <c r="J210" i="15"/>
  <c r="I210" i="15"/>
  <c r="E210" i="15"/>
  <c r="D210" i="15"/>
  <c r="S209" i="15"/>
  <c r="R209" i="15"/>
  <c r="N209" i="15" a="1"/>
  <c r="N209" i="15" s="1"/>
  <c r="M209" i="15"/>
  <c r="L209" i="15"/>
  <c r="J209" i="15"/>
  <c r="I209" i="15"/>
  <c r="E209" i="15"/>
  <c r="D209" i="15"/>
  <c r="S208" i="15"/>
  <c r="R208" i="15"/>
  <c r="M208" i="15"/>
  <c r="N208" i="15" s="1" a="1"/>
  <c r="N208" i="15" s="1"/>
  <c r="L208" i="15"/>
  <c r="J208" i="15"/>
  <c r="I208" i="15"/>
  <c r="E208" i="15"/>
  <c r="D208" i="15"/>
  <c r="S207" i="15"/>
  <c r="R207" i="15"/>
  <c r="N207" i="15" a="1"/>
  <c r="N207" i="15" s="1"/>
  <c r="M207" i="15"/>
  <c r="L207" i="15"/>
  <c r="J207" i="15"/>
  <c r="I207" i="15"/>
  <c r="E207" i="15"/>
  <c r="D207" i="15"/>
  <c r="S206" i="15"/>
  <c r="R206" i="15"/>
  <c r="N206" i="15" a="1"/>
  <c r="N206" i="15" s="1"/>
  <c r="M206" i="15"/>
  <c r="L206" i="15"/>
  <c r="J206" i="15"/>
  <c r="I206" i="15"/>
  <c r="E206" i="15"/>
  <c r="D206" i="15"/>
  <c r="S205" i="15"/>
  <c r="R205" i="15"/>
  <c r="N205" i="15" a="1"/>
  <c r="N205" i="15" s="1"/>
  <c r="M205" i="15"/>
  <c r="L205" i="15"/>
  <c r="J205" i="15"/>
  <c r="I205" i="15"/>
  <c r="E205" i="15"/>
  <c r="D205" i="15"/>
  <c r="S204" i="15"/>
  <c r="R204" i="15"/>
  <c r="M204" i="15"/>
  <c r="N204" i="15" s="1" a="1"/>
  <c r="N204" i="15" s="1"/>
  <c r="L204" i="15"/>
  <c r="J204" i="15"/>
  <c r="I204" i="15"/>
  <c r="E204" i="15"/>
  <c r="D204" i="15"/>
  <c r="S203" i="15"/>
  <c r="R203" i="15"/>
  <c r="N203" i="15"/>
  <c r="N203" i="15" a="1"/>
  <c r="M203" i="15"/>
  <c r="L203" i="15"/>
  <c r="J203" i="15"/>
  <c r="I203" i="15"/>
  <c r="E203" i="15"/>
  <c r="D203" i="15"/>
  <c r="S202" i="15"/>
  <c r="R202" i="15"/>
  <c r="N202" i="15" a="1"/>
  <c r="N202" i="15" s="1"/>
  <c r="M202" i="15"/>
  <c r="L202" i="15"/>
  <c r="J202" i="15"/>
  <c r="I202" i="15"/>
  <c r="E202" i="15"/>
  <c r="D202" i="15"/>
  <c r="S201" i="15"/>
  <c r="R201" i="15"/>
  <c r="N201" i="15" a="1"/>
  <c r="N201" i="15" s="1"/>
  <c r="M201" i="15"/>
  <c r="L201" i="15"/>
  <c r="J201" i="15"/>
  <c r="I201" i="15"/>
  <c r="E201" i="15"/>
  <c r="D201" i="15"/>
  <c r="S200" i="15"/>
  <c r="R200" i="15"/>
  <c r="M200" i="15"/>
  <c r="N200" i="15" s="1" a="1"/>
  <c r="N200" i="15" s="1"/>
  <c r="L200" i="15"/>
  <c r="J200" i="15"/>
  <c r="I200" i="15"/>
  <c r="E200" i="15"/>
  <c r="D200" i="15"/>
  <c r="S199" i="15"/>
  <c r="R199" i="15"/>
  <c r="N199" i="15" a="1"/>
  <c r="N199" i="15" s="1"/>
  <c r="M199" i="15"/>
  <c r="L199" i="15"/>
  <c r="J199" i="15"/>
  <c r="I199" i="15"/>
  <c r="E199" i="15"/>
  <c r="D199" i="15"/>
  <c r="S198" i="15"/>
  <c r="R198" i="15"/>
  <c r="N198" i="15" a="1"/>
  <c r="N198" i="15" s="1"/>
  <c r="M198" i="15"/>
  <c r="L198" i="15"/>
  <c r="J198" i="15"/>
  <c r="I198" i="15"/>
  <c r="E198" i="15"/>
  <c r="D198" i="15"/>
  <c r="S197" i="15"/>
  <c r="R197" i="15"/>
  <c r="N197" i="15" a="1"/>
  <c r="N197" i="15" s="1"/>
  <c r="M197" i="15"/>
  <c r="L197" i="15"/>
  <c r="J197" i="15"/>
  <c r="I197" i="15"/>
  <c r="E197" i="15"/>
  <c r="D197" i="15"/>
  <c r="S196" i="15"/>
  <c r="R196" i="15"/>
  <c r="M196" i="15"/>
  <c r="N196" i="15" s="1" a="1"/>
  <c r="N196" i="15" s="1"/>
  <c r="L196" i="15"/>
  <c r="J196" i="15"/>
  <c r="I196" i="15"/>
  <c r="E196" i="15"/>
  <c r="D196" i="15"/>
  <c r="S195" i="15"/>
  <c r="R195" i="15"/>
  <c r="N195" i="15"/>
  <c r="N195" i="15" a="1"/>
  <c r="M195" i="15"/>
  <c r="L195" i="15"/>
  <c r="J195" i="15"/>
  <c r="I195" i="15"/>
  <c r="E195" i="15"/>
  <c r="D195" i="15"/>
  <c r="S194" i="15"/>
  <c r="R194" i="15"/>
  <c r="N194" i="15" a="1"/>
  <c r="N194" i="15" s="1"/>
  <c r="M194" i="15"/>
  <c r="L194" i="15"/>
  <c r="J194" i="15"/>
  <c r="I194" i="15"/>
  <c r="E194" i="15"/>
  <c r="D194" i="15"/>
  <c r="S193" i="15"/>
  <c r="R193" i="15"/>
  <c r="N193" i="15" a="1"/>
  <c r="N193" i="15" s="1"/>
  <c r="M193" i="15"/>
  <c r="L193" i="15"/>
  <c r="J193" i="15"/>
  <c r="I193" i="15"/>
  <c r="E193" i="15"/>
  <c r="D193" i="15"/>
  <c r="S192" i="15"/>
  <c r="R192" i="15"/>
  <c r="M192" i="15"/>
  <c r="N192" i="15" s="1" a="1"/>
  <c r="N192" i="15" s="1"/>
  <c r="L192" i="15"/>
  <c r="J192" i="15"/>
  <c r="I192" i="15"/>
  <c r="E192" i="15"/>
  <c r="D192" i="15"/>
  <c r="S191" i="15"/>
  <c r="R191" i="15"/>
  <c r="N191" i="15"/>
  <c r="N191" i="15" a="1"/>
  <c r="M191" i="15"/>
  <c r="L191" i="15"/>
  <c r="J191" i="15"/>
  <c r="I191" i="15"/>
  <c r="E191" i="15"/>
  <c r="D191" i="15"/>
  <c r="S190" i="15"/>
  <c r="R190" i="15"/>
  <c r="N190" i="15" a="1"/>
  <c r="N190" i="15" s="1"/>
  <c r="M190" i="15"/>
  <c r="L190" i="15"/>
  <c r="J190" i="15"/>
  <c r="I190" i="15"/>
  <c r="E190" i="15"/>
  <c r="D190" i="15"/>
  <c r="S189" i="15"/>
  <c r="R189" i="15"/>
  <c r="N189" i="15" a="1"/>
  <c r="N189" i="15" s="1"/>
  <c r="M189" i="15"/>
  <c r="L189" i="15"/>
  <c r="J189" i="15"/>
  <c r="I189" i="15"/>
  <c r="E189" i="15"/>
  <c r="D189" i="15"/>
  <c r="S188" i="15"/>
  <c r="R188" i="15"/>
  <c r="N188" i="15" a="1"/>
  <c r="N188" i="15" s="1"/>
  <c r="M188" i="15"/>
  <c r="L188" i="15"/>
  <c r="J188" i="15"/>
  <c r="I188" i="15"/>
  <c r="E188" i="15"/>
  <c r="D188" i="15"/>
  <c r="S187" i="15"/>
  <c r="R187" i="15"/>
  <c r="N187" i="15"/>
  <c r="N187" i="15" a="1"/>
  <c r="M187" i="15"/>
  <c r="L187" i="15"/>
  <c r="J187" i="15"/>
  <c r="I187" i="15"/>
  <c r="E187" i="15"/>
  <c r="D187" i="15"/>
  <c r="S186" i="15"/>
  <c r="R186" i="15"/>
  <c r="M186" i="15"/>
  <c r="N186" i="15" s="1" a="1"/>
  <c r="N186" i="15" s="1"/>
  <c r="L186" i="15"/>
  <c r="J186" i="15"/>
  <c r="I186" i="15"/>
  <c r="E186" i="15"/>
  <c r="D186" i="15"/>
  <c r="S185" i="15"/>
  <c r="R185" i="15"/>
  <c r="N185" i="15"/>
  <c r="N185" i="15" a="1"/>
  <c r="M185" i="15"/>
  <c r="L185" i="15"/>
  <c r="J185" i="15"/>
  <c r="I185" i="15"/>
  <c r="E185" i="15"/>
  <c r="D185" i="15"/>
  <c r="S184" i="15"/>
  <c r="R184" i="15"/>
  <c r="M184" i="15"/>
  <c r="N184" i="15" s="1" a="1"/>
  <c r="N184" i="15" s="1"/>
  <c r="L184" i="15"/>
  <c r="J184" i="15"/>
  <c r="I184" i="15"/>
  <c r="E184" i="15"/>
  <c r="D184" i="15"/>
  <c r="S183" i="15"/>
  <c r="R183" i="15"/>
  <c r="N183" i="15" a="1"/>
  <c r="N183" i="15" s="1"/>
  <c r="M183" i="15"/>
  <c r="L183" i="15"/>
  <c r="J183" i="15"/>
  <c r="I183" i="15"/>
  <c r="E183" i="15"/>
  <c r="D183" i="15"/>
  <c r="S182" i="15"/>
  <c r="R182" i="15"/>
  <c r="N182" i="15" a="1"/>
  <c r="N182" i="15" s="1"/>
  <c r="M182" i="15"/>
  <c r="L182" i="15"/>
  <c r="J182" i="15"/>
  <c r="I182" i="15"/>
  <c r="E182" i="15"/>
  <c r="D182" i="15"/>
  <c r="S181" i="15"/>
  <c r="R181" i="15"/>
  <c r="N181" i="15" a="1"/>
  <c r="N181" i="15" s="1"/>
  <c r="M181" i="15"/>
  <c r="L181" i="15"/>
  <c r="J181" i="15"/>
  <c r="I181" i="15"/>
  <c r="E181" i="15"/>
  <c r="D181" i="15"/>
  <c r="S180" i="15"/>
  <c r="R180" i="15"/>
  <c r="M180" i="15"/>
  <c r="N180" i="15" s="1" a="1"/>
  <c r="N180" i="15" s="1"/>
  <c r="L180" i="15"/>
  <c r="J180" i="15"/>
  <c r="I180" i="15"/>
  <c r="E180" i="15"/>
  <c r="D180" i="15"/>
  <c r="S179" i="15"/>
  <c r="R179" i="15"/>
  <c r="N179" i="15"/>
  <c r="N179" i="15" a="1"/>
  <c r="M179" i="15"/>
  <c r="L179" i="15"/>
  <c r="J179" i="15"/>
  <c r="I179" i="15"/>
  <c r="E179" i="15"/>
  <c r="D179" i="15"/>
  <c r="S178" i="15"/>
  <c r="R178" i="15"/>
  <c r="N178" i="15" a="1"/>
  <c r="N178" i="15" s="1"/>
  <c r="M178" i="15"/>
  <c r="L178" i="15"/>
  <c r="J178" i="15"/>
  <c r="I178" i="15"/>
  <c r="E178" i="15"/>
  <c r="D178" i="15"/>
  <c r="S177" i="15"/>
  <c r="R177" i="15"/>
  <c r="N177" i="15" a="1"/>
  <c r="N177" i="15" s="1"/>
  <c r="M177" i="15"/>
  <c r="L177" i="15"/>
  <c r="J177" i="15"/>
  <c r="I177" i="15"/>
  <c r="E177" i="15"/>
  <c r="D177" i="15"/>
  <c r="S176" i="15"/>
  <c r="R176" i="15"/>
  <c r="M176" i="15"/>
  <c r="N176" i="15" s="1" a="1"/>
  <c r="N176" i="15" s="1"/>
  <c r="L176" i="15"/>
  <c r="J176" i="15"/>
  <c r="I176" i="15"/>
  <c r="E176" i="15"/>
  <c r="D176" i="15"/>
  <c r="S175" i="15"/>
  <c r="R175" i="15"/>
  <c r="N175" i="15"/>
  <c r="N175" i="15" a="1"/>
  <c r="M175" i="15"/>
  <c r="L175" i="15"/>
  <c r="J175" i="15"/>
  <c r="I175" i="15"/>
  <c r="E175" i="15"/>
  <c r="D175" i="15"/>
  <c r="S174" i="15"/>
  <c r="R174" i="15"/>
  <c r="N174" i="15" a="1"/>
  <c r="N174" i="15" s="1"/>
  <c r="M174" i="15"/>
  <c r="L174" i="15"/>
  <c r="J174" i="15"/>
  <c r="I174" i="15"/>
  <c r="E174" i="15"/>
  <c r="D174" i="15"/>
  <c r="S173" i="15"/>
  <c r="R173" i="15"/>
  <c r="N173" i="15" a="1"/>
  <c r="N173" i="15" s="1"/>
  <c r="M173" i="15"/>
  <c r="L173" i="15"/>
  <c r="J173" i="15"/>
  <c r="I173" i="15"/>
  <c r="E173" i="15"/>
  <c r="D173" i="15"/>
  <c r="S172" i="15"/>
  <c r="R172" i="15"/>
  <c r="N172" i="15" a="1"/>
  <c r="N172" i="15" s="1"/>
  <c r="M172" i="15"/>
  <c r="L172" i="15"/>
  <c r="J172" i="15"/>
  <c r="I172" i="15"/>
  <c r="E172" i="15"/>
  <c r="D172" i="15"/>
  <c r="S171" i="15"/>
  <c r="R171" i="15"/>
  <c r="N171" i="15"/>
  <c r="N171" i="15" a="1"/>
  <c r="M171" i="15"/>
  <c r="L171" i="15"/>
  <c r="J171" i="15"/>
  <c r="I171" i="15"/>
  <c r="E171" i="15"/>
  <c r="D171" i="15"/>
  <c r="S170" i="15"/>
  <c r="R170" i="15"/>
  <c r="J170" i="15"/>
  <c r="I170" i="15"/>
  <c r="E170" i="15"/>
  <c r="D170" i="15"/>
  <c r="D122" i="15"/>
  <c r="D49" i="15"/>
  <c r="D33" i="15"/>
  <c r="D17" i="15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2" i="5"/>
  <c r="B47" i="6"/>
  <c r="C47" i="6"/>
  <c r="G47" i="6"/>
  <c r="E47" i="6" s="1"/>
  <c r="J47" i="6"/>
  <c r="K47" i="6"/>
  <c r="L47" i="6"/>
  <c r="M47" i="6" a="1"/>
  <c r="M47" i="6" s="1"/>
  <c r="N47" i="6" a="1"/>
  <c r="N47" i="6"/>
  <c r="O47" i="6"/>
  <c r="P47" i="6"/>
  <c r="Q47" i="6"/>
  <c r="R47" i="6"/>
  <c r="A48" i="6"/>
  <c r="B48" i="6"/>
  <c r="C48" i="6"/>
  <c r="G48" i="6"/>
  <c r="E48" i="6" s="1"/>
  <c r="K48" i="6"/>
  <c r="L48" i="6"/>
  <c r="M48" i="6" a="1"/>
  <c r="M48" i="6" s="1"/>
  <c r="N48" i="6" a="1"/>
  <c r="N48" i="6"/>
  <c r="O48" i="6"/>
  <c r="P48" i="6"/>
  <c r="Q48" i="6"/>
  <c r="S48" i="6" s="1"/>
  <c r="R48" i="6"/>
  <c r="B49" i="6"/>
  <c r="C49" i="6"/>
  <c r="G49" i="6"/>
  <c r="H49" i="6" s="1"/>
  <c r="K49" i="6"/>
  <c r="L49" i="6"/>
  <c r="M49" i="6" a="1"/>
  <c r="M49" i="6" s="1"/>
  <c r="N49" i="6" a="1"/>
  <c r="N49" i="6"/>
  <c r="S49" i="6" s="1"/>
  <c r="O49" i="6"/>
  <c r="P49" i="6"/>
  <c r="Q49" i="6"/>
  <c r="R49" i="6"/>
  <c r="AB49" i="6"/>
  <c r="B50" i="6"/>
  <c r="C50" i="6"/>
  <c r="G50" i="6"/>
  <c r="H50" i="6" s="1"/>
  <c r="K50" i="6"/>
  <c r="L50" i="6"/>
  <c r="M50" i="6" a="1"/>
  <c r="M50" i="6" s="1"/>
  <c r="N50" i="6" a="1"/>
  <c r="N50" i="6"/>
  <c r="S50" i="6" s="1"/>
  <c r="O50" i="6"/>
  <c r="P50" i="6"/>
  <c r="Q50" i="6"/>
  <c r="R50" i="6"/>
  <c r="AB50" i="6"/>
  <c r="B51" i="6"/>
  <c r="C51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S51" i="6" s="1"/>
  <c r="R51" i="6"/>
  <c r="AB51" i="6"/>
  <c r="B52" i="6"/>
  <c r="C52" i="6"/>
  <c r="G52" i="6"/>
  <c r="H52" i="6" s="1"/>
  <c r="K52" i="6"/>
  <c r="L52" i="6"/>
  <c r="M52" i="6" a="1"/>
  <c r="M52" i="6" s="1"/>
  <c r="N52" i="6" a="1"/>
  <c r="N52" i="6"/>
  <c r="S52" i="6" s="1"/>
  <c r="O52" i="6"/>
  <c r="P52" i="6"/>
  <c r="Q52" i="6"/>
  <c r="R52" i="6"/>
  <c r="AB52" i="6"/>
  <c r="B53" i="6"/>
  <c r="C53" i="6"/>
  <c r="G53" i="6"/>
  <c r="H53" i="6" s="1"/>
  <c r="K53" i="6"/>
  <c r="L53" i="6"/>
  <c r="M53" i="6" a="1"/>
  <c r="M53" i="6" s="1"/>
  <c r="N53" i="6" a="1"/>
  <c r="N53" i="6"/>
  <c r="S53" i="6" s="1"/>
  <c r="O53" i="6"/>
  <c r="P53" i="6"/>
  <c r="Q53" i="6"/>
  <c r="R53" i="6"/>
  <c r="AB53" i="6"/>
  <c r="B54" i="6"/>
  <c r="C54" i="6"/>
  <c r="G54" i="6"/>
  <c r="H54" i="6" s="1"/>
  <c r="I54" i="6"/>
  <c r="J54" i="6"/>
  <c r="K54" i="6"/>
  <c r="L54" i="6"/>
  <c r="M54" i="6" a="1"/>
  <c r="M54" i="6" s="1"/>
  <c r="N54" i="6" a="1"/>
  <c r="N54" i="6"/>
  <c r="O54" i="6"/>
  <c r="P54" i="6"/>
  <c r="Q54" i="6"/>
  <c r="S54" i="6" s="1"/>
  <c r="R54" i="6"/>
  <c r="AB54" i="6"/>
  <c r="B55" i="6"/>
  <c r="C55" i="6"/>
  <c r="G55" i="6"/>
  <c r="H55" i="6" s="1"/>
  <c r="K55" i="6"/>
  <c r="L55" i="6"/>
  <c r="M55" i="6" a="1"/>
  <c r="M55" i="6" s="1"/>
  <c r="N55" i="6" a="1"/>
  <c r="N55" i="6"/>
  <c r="S55" i="6" s="1"/>
  <c r="O55" i="6"/>
  <c r="P55" i="6"/>
  <c r="Q55" i="6"/>
  <c r="R55" i="6"/>
  <c r="AB55" i="6"/>
  <c r="B56" i="6"/>
  <c r="C56" i="6"/>
  <c r="G56" i="6"/>
  <c r="K56" i="6"/>
  <c r="L56" i="6"/>
  <c r="M56" i="6" a="1"/>
  <c r="M56" i="6" s="1"/>
  <c r="N56" i="6" a="1"/>
  <c r="N56" i="6"/>
  <c r="O56" i="6"/>
  <c r="P56" i="6"/>
  <c r="Q56" i="6"/>
  <c r="R56" i="6"/>
  <c r="AB56" i="6"/>
  <c r="B57" i="6"/>
  <c r="C57" i="6"/>
  <c r="G57" i="6"/>
  <c r="H57" i="6" s="1"/>
  <c r="I57" i="6"/>
  <c r="J57" i="6"/>
  <c r="K57" i="6"/>
  <c r="L57" i="6"/>
  <c r="M57" i="6" a="1"/>
  <c r="M57" i="6" s="1"/>
  <c r="N57" i="6" a="1"/>
  <c r="N57" i="6"/>
  <c r="O57" i="6"/>
  <c r="P57" i="6"/>
  <c r="Q57" i="6"/>
  <c r="S57" i="6" s="1"/>
  <c r="R57" i="6"/>
  <c r="AB57" i="6"/>
  <c r="B58" i="6"/>
  <c r="C58" i="6"/>
  <c r="G58" i="6"/>
  <c r="I58" i="6" s="1"/>
  <c r="K58" i="6"/>
  <c r="L58" i="6"/>
  <c r="M58" i="6" a="1"/>
  <c r="M58" i="6" s="1"/>
  <c r="N58" i="6" a="1"/>
  <c r="N58" i="6" s="1"/>
  <c r="S58" i="6" s="1"/>
  <c r="O58" i="6"/>
  <c r="P58" i="6"/>
  <c r="Q58" i="6"/>
  <c r="R58" i="6"/>
  <c r="AB58" i="6"/>
  <c r="B59" i="6"/>
  <c r="C59" i="6"/>
  <c r="G59" i="6"/>
  <c r="H59" i="6" s="1"/>
  <c r="I59" i="6"/>
  <c r="J59" i="6"/>
  <c r="K59" i="6"/>
  <c r="L59" i="6"/>
  <c r="M59" i="6" a="1"/>
  <c r="M59" i="6" s="1"/>
  <c r="N59" i="6" a="1"/>
  <c r="N59" i="6"/>
  <c r="O59" i="6"/>
  <c r="P59" i="6"/>
  <c r="Q59" i="6"/>
  <c r="R59" i="6"/>
  <c r="AB59" i="6"/>
  <c r="B60" i="6"/>
  <c r="C60" i="6"/>
  <c r="E60" i="6"/>
  <c r="G60" i="6"/>
  <c r="H60" i="6" s="1"/>
  <c r="I60" i="6"/>
  <c r="J60" i="6"/>
  <c r="K60" i="6"/>
  <c r="L60" i="6"/>
  <c r="M60" i="6" a="1"/>
  <c r="M60" i="6" s="1"/>
  <c r="N60" i="6" a="1"/>
  <c r="N60" i="6"/>
  <c r="O60" i="6"/>
  <c r="P60" i="6"/>
  <c r="Q60" i="6"/>
  <c r="S60" i="6" s="1"/>
  <c r="R60" i="6"/>
  <c r="B61" i="6"/>
  <c r="C61" i="6"/>
  <c r="G61" i="6"/>
  <c r="I61" i="6" s="1"/>
  <c r="K61" i="6"/>
  <c r="L61" i="6"/>
  <c r="M61" i="6" a="1"/>
  <c r="M61" i="6" s="1"/>
  <c r="N61" i="6" a="1"/>
  <c r="N61" i="6" s="1"/>
  <c r="S61" i="6" s="1"/>
  <c r="O61" i="6"/>
  <c r="P61" i="6"/>
  <c r="Q61" i="6"/>
  <c r="R61" i="6"/>
  <c r="AB61" i="6"/>
  <c r="B62" i="6"/>
  <c r="C62" i="6"/>
  <c r="G62" i="6"/>
  <c r="H62" i="6" s="1"/>
  <c r="J62" i="6"/>
  <c r="K62" i="6"/>
  <c r="L62" i="6"/>
  <c r="M62" i="6" a="1"/>
  <c r="M62" i="6" s="1"/>
  <c r="N62" i="6" a="1"/>
  <c r="N62" i="6"/>
  <c r="S62" i="6" s="1"/>
  <c r="O62" i="6"/>
  <c r="P62" i="6"/>
  <c r="Q62" i="6"/>
  <c r="R62" i="6"/>
  <c r="AB62" i="6"/>
  <c r="B63" i="6"/>
  <c r="C63" i="6"/>
  <c r="E63" i="6"/>
  <c r="G63" i="6"/>
  <c r="H63" i="6" s="1"/>
  <c r="I63" i="6"/>
  <c r="J63" i="6"/>
  <c r="K63" i="6"/>
  <c r="L63" i="6"/>
  <c r="M63" i="6" a="1"/>
  <c r="M63" i="6" s="1"/>
  <c r="N63" i="6" a="1"/>
  <c r="N63" i="6"/>
  <c r="O63" i="6"/>
  <c r="P63" i="6"/>
  <c r="Q63" i="6"/>
  <c r="S63" i="6" s="1"/>
  <c r="R63" i="6"/>
  <c r="B64" i="6"/>
  <c r="C64" i="6"/>
  <c r="G64" i="6"/>
  <c r="I64" i="6" s="1"/>
  <c r="K64" i="6"/>
  <c r="L64" i="6"/>
  <c r="M64" i="6" a="1"/>
  <c r="M64" i="6" s="1"/>
  <c r="N64" i="6" a="1"/>
  <c r="N64" i="6"/>
  <c r="O64" i="6"/>
  <c r="P64" i="6"/>
  <c r="Q64" i="6"/>
  <c r="S64" i="6" s="1"/>
  <c r="R64" i="6"/>
  <c r="AB64" i="6"/>
  <c r="A65" i="6"/>
  <c r="B65" i="6"/>
  <c r="C65" i="6"/>
  <c r="G65" i="6"/>
  <c r="I65" i="6" s="1"/>
  <c r="K65" i="6"/>
  <c r="L65" i="6"/>
  <c r="M65" i="6" a="1"/>
  <c r="M65" i="6" s="1"/>
  <c r="N65" i="6" a="1"/>
  <c r="N65" i="6"/>
  <c r="S65" i="6" s="1"/>
  <c r="O65" i="6"/>
  <c r="P65" i="6"/>
  <c r="Q65" i="6"/>
  <c r="R65" i="6"/>
  <c r="AB65" i="6"/>
  <c r="B66" i="6"/>
  <c r="C66" i="6"/>
  <c r="G66" i="6"/>
  <c r="I66" i="6" s="1"/>
  <c r="K66" i="6"/>
  <c r="L66" i="6"/>
  <c r="M66" i="6" a="1"/>
  <c r="M66" i="6" s="1"/>
  <c r="N66" i="6" a="1"/>
  <c r="N66" i="6"/>
  <c r="O66" i="6"/>
  <c r="P66" i="6"/>
  <c r="Q66" i="6"/>
  <c r="R66" i="6"/>
  <c r="AB66" i="6"/>
  <c r="B67" i="6"/>
  <c r="C67" i="6"/>
  <c r="G67" i="6"/>
  <c r="I67" i="6" s="1"/>
  <c r="K67" i="6"/>
  <c r="L67" i="6"/>
  <c r="M67" i="6" a="1"/>
  <c r="M67" i="6" s="1"/>
  <c r="N67" i="6" a="1"/>
  <c r="N67" i="6" s="1"/>
  <c r="S67" i="6" s="1"/>
  <c r="O67" i="6"/>
  <c r="P67" i="6"/>
  <c r="Q67" i="6"/>
  <c r="R67" i="6"/>
  <c r="AB67" i="6"/>
  <c r="B68" i="6"/>
  <c r="C68" i="6"/>
  <c r="G68" i="6"/>
  <c r="I68" i="6" s="1"/>
  <c r="J68" i="6"/>
  <c r="K68" i="6"/>
  <c r="L68" i="6"/>
  <c r="M68" i="6" a="1"/>
  <c r="M68" i="6" s="1"/>
  <c r="N68" i="6" a="1"/>
  <c r="N68" i="6" s="1"/>
  <c r="S68" i="6" s="1"/>
  <c r="O68" i="6"/>
  <c r="P68" i="6"/>
  <c r="Q68" i="6"/>
  <c r="R68" i="6"/>
  <c r="AB68" i="6"/>
  <c r="B69" i="6"/>
  <c r="C69" i="6"/>
  <c r="G69" i="6"/>
  <c r="J69" i="6" s="1"/>
  <c r="K69" i="6"/>
  <c r="L69" i="6"/>
  <c r="M69" i="6" a="1"/>
  <c r="M69" i="6" s="1"/>
  <c r="N69" i="6" a="1"/>
  <c r="N69" i="6"/>
  <c r="O69" i="6"/>
  <c r="P69" i="6"/>
  <c r="Q69" i="6"/>
  <c r="R69" i="6"/>
  <c r="B70" i="6"/>
  <c r="C70" i="6"/>
  <c r="G70" i="6"/>
  <c r="E70" i="6" s="1"/>
  <c r="K70" i="6"/>
  <c r="L70" i="6"/>
  <c r="M70" i="6" a="1"/>
  <c r="M70" i="6" s="1"/>
  <c r="N70" i="6" a="1"/>
  <c r="N70" i="6" s="1"/>
  <c r="O70" i="6"/>
  <c r="P70" i="6"/>
  <c r="Q70" i="6"/>
  <c r="S70" i="6" s="1"/>
  <c r="R70" i="6"/>
  <c r="AB70" i="6"/>
  <c r="B71" i="6"/>
  <c r="C71" i="6"/>
  <c r="G71" i="6"/>
  <c r="K71" i="6"/>
  <c r="L71" i="6"/>
  <c r="M71" i="6" a="1"/>
  <c r="M71" i="6" s="1"/>
  <c r="N71" i="6" a="1"/>
  <c r="N71" i="6" s="1"/>
  <c r="O71" i="6"/>
  <c r="P71" i="6"/>
  <c r="Q71" i="6"/>
  <c r="R71" i="6"/>
  <c r="S71" i="6"/>
  <c r="AB71" i="6"/>
  <c r="B72" i="6"/>
  <c r="C72" i="6"/>
  <c r="E72" i="6"/>
  <c r="G72" i="6"/>
  <c r="H72" i="6" s="1"/>
  <c r="I72" i="6"/>
  <c r="J72" i="6"/>
  <c r="K72" i="6"/>
  <c r="L72" i="6"/>
  <c r="M72" i="6" a="1"/>
  <c r="M72" i="6" s="1"/>
  <c r="N72" i="6" a="1"/>
  <c r="N72" i="6"/>
  <c r="O72" i="6"/>
  <c r="P72" i="6"/>
  <c r="Q72" i="6"/>
  <c r="R72" i="6"/>
  <c r="AB72" i="6"/>
  <c r="B73" i="6"/>
  <c r="C73" i="6"/>
  <c r="G73" i="6"/>
  <c r="K73" i="6"/>
  <c r="L73" i="6"/>
  <c r="M73" i="6" a="1"/>
  <c r="M73" i="6" s="1"/>
  <c r="N73" i="6" a="1"/>
  <c r="N73" i="6" s="1"/>
  <c r="S73" i="6" s="1"/>
  <c r="O73" i="6"/>
  <c r="P73" i="6"/>
  <c r="Q73" i="6"/>
  <c r="R73" i="6"/>
  <c r="AB73" i="6"/>
  <c r="B74" i="6"/>
  <c r="C74" i="6"/>
  <c r="G74" i="6"/>
  <c r="I74" i="6" s="1"/>
  <c r="J74" i="6"/>
  <c r="K74" i="6"/>
  <c r="L74" i="6"/>
  <c r="M74" i="6" a="1"/>
  <c r="M74" i="6" s="1"/>
  <c r="N74" i="6" a="1"/>
  <c r="N74" i="6" s="1"/>
  <c r="O74" i="6"/>
  <c r="P74" i="6"/>
  <c r="Q74" i="6"/>
  <c r="R74" i="6"/>
  <c r="AB74" i="6"/>
  <c r="B75" i="6"/>
  <c r="C75" i="6"/>
  <c r="E75" i="6"/>
  <c r="G75" i="6"/>
  <c r="J75" i="6"/>
  <c r="K75" i="6"/>
  <c r="L75" i="6"/>
  <c r="M75" i="6" a="1"/>
  <c r="M75" i="6" s="1"/>
  <c r="N75" i="6" a="1"/>
  <c r="N75" i="6"/>
  <c r="O75" i="6"/>
  <c r="P75" i="6"/>
  <c r="Q75" i="6"/>
  <c r="R75" i="6"/>
  <c r="B76" i="6"/>
  <c r="C76" i="6"/>
  <c r="G76" i="6"/>
  <c r="E76" i="6" s="1"/>
  <c r="K76" i="6"/>
  <c r="L76" i="6"/>
  <c r="M76" i="6" a="1"/>
  <c r="M76" i="6" s="1"/>
  <c r="N76" i="6" a="1"/>
  <c r="N76" i="6" s="1"/>
  <c r="O76" i="6"/>
  <c r="P76" i="6"/>
  <c r="Q76" i="6"/>
  <c r="R76" i="6"/>
  <c r="S76" i="6"/>
  <c r="AB76" i="6"/>
  <c r="A77" i="6"/>
  <c r="B77" i="6"/>
  <c r="C77" i="6"/>
  <c r="G77" i="6"/>
  <c r="J77" i="6" s="1"/>
  <c r="K77" i="6"/>
  <c r="L77" i="6"/>
  <c r="M77" i="6" a="1"/>
  <c r="M77" i="6" s="1"/>
  <c r="N77" i="6" a="1"/>
  <c r="N77" i="6"/>
  <c r="O77" i="6"/>
  <c r="P77" i="6"/>
  <c r="Q77" i="6"/>
  <c r="R77" i="6"/>
  <c r="B78" i="6"/>
  <c r="C78" i="6"/>
  <c r="G78" i="6"/>
  <c r="H78" i="6" s="1"/>
  <c r="K78" i="6"/>
  <c r="L78" i="6"/>
  <c r="M78" i="6" a="1"/>
  <c r="M78" i="6" s="1"/>
  <c r="N78" i="6" a="1"/>
  <c r="N78" i="6" s="1"/>
  <c r="O78" i="6"/>
  <c r="P78" i="6"/>
  <c r="Q78" i="6"/>
  <c r="R78" i="6"/>
  <c r="S78" i="6"/>
  <c r="AB78" i="6"/>
  <c r="B79" i="6"/>
  <c r="C79" i="6"/>
  <c r="G79" i="6"/>
  <c r="I79" i="6" s="1"/>
  <c r="K79" i="6"/>
  <c r="L79" i="6"/>
  <c r="M79" i="6" a="1"/>
  <c r="M79" i="6"/>
  <c r="N79" i="6" a="1"/>
  <c r="N79" i="6" s="1"/>
  <c r="O79" i="6"/>
  <c r="S79" i="6" s="1"/>
  <c r="P79" i="6"/>
  <c r="Q79" i="6"/>
  <c r="R79" i="6"/>
  <c r="AB79" i="6" s="1"/>
  <c r="A80" i="6"/>
  <c r="B80" i="6"/>
  <c r="C80" i="6"/>
  <c r="G80" i="6"/>
  <c r="K80" i="6"/>
  <c r="L80" i="6"/>
  <c r="M80" i="6" a="1"/>
  <c r="M80" i="6"/>
  <c r="N80" i="6" a="1"/>
  <c r="N80" i="6"/>
  <c r="O80" i="6"/>
  <c r="P80" i="6"/>
  <c r="Q80" i="6"/>
  <c r="R80" i="6"/>
  <c r="B81" i="6"/>
  <c r="C81" i="6"/>
  <c r="G81" i="6"/>
  <c r="K81" i="6"/>
  <c r="L81" i="6"/>
  <c r="M81" i="6" a="1"/>
  <c r="M81" i="6" s="1"/>
  <c r="N81" i="6" a="1"/>
  <c r="N81" i="6" s="1"/>
  <c r="O81" i="6"/>
  <c r="P81" i="6"/>
  <c r="Q81" i="6"/>
  <c r="AB81" i="6" s="1"/>
  <c r="R81" i="6"/>
  <c r="S81" i="6"/>
  <c r="B82" i="6"/>
  <c r="C82" i="6"/>
  <c r="E82" i="6"/>
  <c r="G82" i="6"/>
  <c r="J82" i="6" s="1"/>
  <c r="H82" i="6"/>
  <c r="I82" i="6"/>
  <c r="K82" i="6"/>
  <c r="L82" i="6"/>
  <c r="M82" i="6" a="1"/>
  <c r="M82" i="6"/>
  <c r="N82" i="6" a="1"/>
  <c r="N82" i="6" s="1"/>
  <c r="O82" i="6"/>
  <c r="P82" i="6"/>
  <c r="Q82" i="6"/>
  <c r="R82" i="6"/>
  <c r="S82" i="6" s="1"/>
  <c r="B83" i="6"/>
  <c r="C83" i="6"/>
  <c r="G83" i="6"/>
  <c r="H83" i="6"/>
  <c r="J83" i="6"/>
  <c r="K83" i="6"/>
  <c r="L83" i="6"/>
  <c r="M83" i="6" a="1"/>
  <c r="M83" i="6" s="1"/>
  <c r="N83" i="6" a="1"/>
  <c r="N83" i="6"/>
  <c r="O83" i="6"/>
  <c r="P83" i="6"/>
  <c r="Q83" i="6"/>
  <c r="R83" i="6"/>
  <c r="B84" i="6"/>
  <c r="C84" i="6"/>
  <c r="G84" i="6"/>
  <c r="J84" i="6"/>
  <c r="K84" i="6"/>
  <c r="L84" i="6"/>
  <c r="M84" i="6" a="1"/>
  <c r="M84" i="6" s="1"/>
  <c r="N84" i="6" a="1"/>
  <c r="N84" i="6" s="1"/>
  <c r="S84" i="6" s="1"/>
  <c r="O84" i="6"/>
  <c r="P84" i="6"/>
  <c r="Q84" i="6"/>
  <c r="R84" i="6"/>
  <c r="AB84" i="6"/>
  <c r="B85" i="6"/>
  <c r="C85" i="6"/>
  <c r="E85" i="6"/>
  <c r="G85" i="6"/>
  <c r="J85" i="6" s="1"/>
  <c r="H85" i="6"/>
  <c r="I85" i="6"/>
  <c r="K85" i="6"/>
  <c r="L85" i="6"/>
  <c r="M85" i="6" a="1"/>
  <c r="M85" i="6"/>
  <c r="N85" i="6" a="1"/>
  <c r="N85" i="6" s="1"/>
  <c r="O85" i="6"/>
  <c r="P85" i="6"/>
  <c r="Q85" i="6"/>
  <c r="R85" i="6"/>
  <c r="AB85" i="6" s="1"/>
  <c r="A86" i="6"/>
  <c r="B86" i="6"/>
  <c r="C86" i="6"/>
  <c r="G86" i="6"/>
  <c r="H86" i="6"/>
  <c r="K86" i="6"/>
  <c r="L86" i="6"/>
  <c r="M86" i="6" a="1"/>
  <c r="M86" i="6" s="1"/>
  <c r="N86" i="6" a="1"/>
  <c r="N86" i="6"/>
  <c r="O86" i="6"/>
  <c r="P86" i="6"/>
  <c r="Q86" i="6"/>
  <c r="R86" i="6"/>
  <c r="B87" i="6"/>
  <c r="C87" i="6"/>
  <c r="E87" i="6"/>
  <c r="G87" i="6"/>
  <c r="K87" i="6"/>
  <c r="L87" i="6"/>
  <c r="M87" i="6" a="1"/>
  <c r="M87" i="6" s="1"/>
  <c r="N87" i="6" a="1"/>
  <c r="N87" i="6" s="1"/>
  <c r="O87" i="6"/>
  <c r="P87" i="6"/>
  <c r="Q87" i="6"/>
  <c r="AB87" i="6" s="1"/>
  <c r="R87" i="6"/>
  <c r="S87" i="6"/>
  <c r="B88" i="6"/>
  <c r="C88" i="6"/>
  <c r="E88" i="6"/>
  <c r="G88" i="6"/>
  <c r="H88" i="6" s="1"/>
  <c r="I88" i="6"/>
  <c r="J88" i="6"/>
  <c r="K88" i="6"/>
  <c r="L88" i="6"/>
  <c r="M88" i="6" a="1"/>
  <c r="M88" i="6"/>
  <c r="N88" i="6" a="1"/>
  <c r="N88" i="6" s="1"/>
  <c r="S88" i="6" s="1"/>
  <c r="O88" i="6"/>
  <c r="P88" i="6"/>
  <c r="Q88" i="6"/>
  <c r="R88" i="6"/>
  <c r="AB88" i="6"/>
  <c r="B89" i="6"/>
  <c r="C89" i="6"/>
  <c r="G89" i="6"/>
  <c r="E89" i="6" s="1"/>
  <c r="K89" i="6"/>
  <c r="L89" i="6"/>
  <c r="M89" i="6" a="1"/>
  <c r="M89" i="6"/>
  <c r="N89" i="6" a="1"/>
  <c r="N89" i="6"/>
  <c r="O89" i="6"/>
  <c r="P89" i="6"/>
  <c r="Q89" i="6"/>
  <c r="R89" i="6"/>
  <c r="B90" i="6"/>
  <c r="C90" i="6"/>
  <c r="E90" i="6"/>
  <c r="G90" i="6"/>
  <c r="I90" i="6" s="1"/>
  <c r="H90" i="6"/>
  <c r="K90" i="6"/>
  <c r="L90" i="6"/>
  <c r="M90" i="6" a="1"/>
  <c r="M90" i="6"/>
  <c r="N90" i="6" a="1"/>
  <c r="N90" i="6" s="1"/>
  <c r="S90" i="6" s="1"/>
  <c r="O90" i="6"/>
  <c r="P90" i="6"/>
  <c r="Q90" i="6"/>
  <c r="R90" i="6"/>
  <c r="AB90" i="6"/>
  <c r="B91" i="6"/>
  <c r="C91" i="6"/>
  <c r="E91" i="6"/>
  <c r="G91" i="6"/>
  <c r="I91" i="6" s="1"/>
  <c r="H91" i="6"/>
  <c r="K91" i="6"/>
  <c r="L91" i="6"/>
  <c r="M91" i="6" a="1"/>
  <c r="M91" i="6"/>
  <c r="N91" i="6" a="1"/>
  <c r="N91" i="6" s="1"/>
  <c r="O91" i="6"/>
  <c r="P91" i="6"/>
  <c r="Q91" i="6"/>
  <c r="R91" i="6"/>
  <c r="AB91" i="6" s="1"/>
  <c r="S91" i="6"/>
  <c r="B92" i="6"/>
  <c r="C92" i="6"/>
  <c r="E92" i="6"/>
  <c r="G92" i="6"/>
  <c r="I92" i="6" s="1"/>
  <c r="H92" i="6"/>
  <c r="K92" i="6"/>
  <c r="L92" i="6"/>
  <c r="M92" i="6" a="1"/>
  <c r="M92" i="6" s="1"/>
  <c r="N92" i="6" a="1"/>
  <c r="N92" i="6"/>
  <c r="O92" i="6"/>
  <c r="P92" i="6"/>
  <c r="Q92" i="6"/>
  <c r="R92" i="6"/>
  <c r="AB92" i="6"/>
  <c r="B93" i="6"/>
  <c r="C93" i="6"/>
  <c r="G93" i="6"/>
  <c r="H93" i="6"/>
  <c r="I93" i="6"/>
  <c r="K93" i="6"/>
  <c r="L93" i="6"/>
  <c r="M93" i="6" a="1"/>
  <c r="M93" i="6" s="1"/>
  <c r="N93" i="6" a="1"/>
  <c r="N93" i="6" s="1"/>
  <c r="O93" i="6"/>
  <c r="P93" i="6"/>
  <c r="Q93" i="6"/>
  <c r="R93" i="6"/>
  <c r="B94" i="6"/>
  <c r="C94" i="6"/>
  <c r="G94" i="6"/>
  <c r="K94" i="6"/>
  <c r="L94" i="6"/>
  <c r="M94" i="6" a="1"/>
  <c r="M94" i="6"/>
  <c r="N94" i="6" a="1"/>
  <c r="N94" i="6"/>
  <c r="S94" i="6" s="1"/>
  <c r="O94" i="6"/>
  <c r="P94" i="6"/>
  <c r="Q94" i="6"/>
  <c r="R94" i="6"/>
  <c r="AB94" i="6"/>
  <c r="A95" i="6"/>
  <c r="B95" i="6"/>
  <c r="C95" i="6"/>
  <c r="G95" i="6"/>
  <c r="E95" i="6" s="1"/>
  <c r="K95" i="6"/>
  <c r="L95" i="6"/>
  <c r="M95" i="6" a="1"/>
  <c r="M95" i="6" s="1"/>
  <c r="N95" i="6" a="1"/>
  <c r="N95" i="6"/>
  <c r="O95" i="6"/>
  <c r="P95" i="6"/>
  <c r="Q95" i="6"/>
  <c r="R95" i="6"/>
  <c r="B96" i="6"/>
  <c r="C96" i="6"/>
  <c r="G96" i="6"/>
  <c r="J96" i="6"/>
  <c r="K96" i="6"/>
  <c r="L96" i="6"/>
  <c r="M96" i="6" a="1"/>
  <c r="M96" i="6" s="1"/>
  <c r="N96" i="6" a="1"/>
  <c r="N96" i="6" s="1"/>
  <c r="O96" i="6"/>
  <c r="P96" i="6"/>
  <c r="Q96" i="6"/>
  <c r="R96" i="6"/>
  <c r="AB96" i="6"/>
  <c r="B97" i="6"/>
  <c r="C97" i="6"/>
  <c r="G97" i="6"/>
  <c r="I97" i="6" s="1"/>
  <c r="J97" i="6"/>
  <c r="K97" i="6"/>
  <c r="L97" i="6"/>
  <c r="M97" i="6" a="1"/>
  <c r="M97" i="6"/>
  <c r="N97" i="6" a="1"/>
  <c r="N97" i="6"/>
  <c r="O97" i="6"/>
  <c r="P97" i="6"/>
  <c r="Q97" i="6"/>
  <c r="R97" i="6"/>
  <c r="B98" i="6"/>
  <c r="C98" i="6"/>
  <c r="E98" i="6"/>
  <c r="G98" i="6"/>
  <c r="H98" i="6"/>
  <c r="K98" i="6"/>
  <c r="L98" i="6"/>
  <c r="M98" i="6" a="1"/>
  <c r="M98" i="6" s="1"/>
  <c r="N98" i="6" a="1"/>
  <c r="N98" i="6"/>
  <c r="O98" i="6"/>
  <c r="P98" i="6"/>
  <c r="Q98" i="6"/>
  <c r="R98" i="6"/>
  <c r="B99" i="6"/>
  <c r="C99" i="6"/>
  <c r="G99" i="6"/>
  <c r="K99" i="6"/>
  <c r="L99" i="6"/>
  <c r="M99" i="6" a="1"/>
  <c r="M99" i="6" s="1"/>
  <c r="N99" i="6" a="1"/>
  <c r="N99" i="6" s="1"/>
  <c r="S99" i="6" s="1"/>
  <c r="O99" i="6"/>
  <c r="P99" i="6"/>
  <c r="Q99" i="6"/>
  <c r="AB99" i="6" s="1"/>
  <c r="R99" i="6"/>
  <c r="B100" i="6"/>
  <c r="C100" i="6"/>
  <c r="G100" i="6"/>
  <c r="K100" i="6"/>
  <c r="L100" i="6"/>
  <c r="M100" i="6" a="1"/>
  <c r="M100" i="6"/>
  <c r="N100" i="6" a="1"/>
  <c r="N100" i="6"/>
  <c r="S100" i="6" s="1"/>
  <c r="O100" i="6"/>
  <c r="P100" i="6"/>
  <c r="Q100" i="6"/>
  <c r="R100" i="6"/>
  <c r="AB100" i="6" s="1"/>
  <c r="B101" i="6"/>
  <c r="C101" i="6"/>
  <c r="G101" i="6"/>
  <c r="K101" i="6"/>
  <c r="L101" i="6"/>
  <c r="M101" i="6" a="1"/>
  <c r="M101" i="6"/>
  <c r="N101" i="6" a="1"/>
  <c r="N101" i="6"/>
  <c r="O101" i="6"/>
  <c r="P101" i="6"/>
  <c r="Q101" i="6"/>
  <c r="R101" i="6"/>
  <c r="B102" i="6"/>
  <c r="C102" i="6"/>
  <c r="G102" i="6"/>
  <c r="K102" i="6"/>
  <c r="L102" i="6"/>
  <c r="M102" i="6" a="1"/>
  <c r="M102" i="6"/>
  <c r="N102" i="6" a="1"/>
  <c r="N102" i="6" s="1"/>
  <c r="O102" i="6"/>
  <c r="P102" i="6"/>
  <c r="S102" i="6" s="1"/>
  <c r="Q102" i="6"/>
  <c r="R102" i="6"/>
  <c r="AB102" i="6" s="1"/>
  <c r="B103" i="6"/>
  <c r="C103" i="6"/>
  <c r="G103" i="6"/>
  <c r="I103" i="6" s="1"/>
  <c r="K103" i="6"/>
  <c r="L103" i="6"/>
  <c r="M103" i="6" a="1"/>
  <c r="M103" i="6"/>
  <c r="N103" i="6" a="1"/>
  <c r="N103" i="6" s="1"/>
  <c r="S103" i="6" s="1"/>
  <c r="O103" i="6"/>
  <c r="P103" i="6"/>
  <c r="Q103" i="6"/>
  <c r="R103" i="6"/>
  <c r="AB103" i="6" s="1"/>
  <c r="B104" i="6"/>
  <c r="C104" i="6"/>
  <c r="E104" i="6"/>
  <c r="G104" i="6"/>
  <c r="H104" i="6"/>
  <c r="I104" i="6"/>
  <c r="J104" i="6"/>
  <c r="K104" i="6"/>
  <c r="L104" i="6"/>
  <c r="M104" i="6" a="1"/>
  <c r="M104" i="6"/>
  <c r="N104" i="6" a="1"/>
  <c r="N104" i="6"/>
  <c r="O104" i="6"/>
  <c r="P104" i="6"/>
  <c r="Q104" i="6"/>
  <c r="R104" i="6"/>
  <c r="B105" i="6"/>
  <c r="C105" i="6"/>
  <c r="E105" i="6"/>
  <c r="G105" i="6"/>
  <c r="H105" i="6"/>
  <c r="I105" i="6"/>
  <c r="J105" i="6"/>
  <c r="K105" i="6"/>
  <c r="L105" i="6"/>
  <c r="M105" i="6" a="1"/>
  <c r="M105" i="6"/>
  <c r="N105" i="6" a="1"/>
  <c r="N105" i="6" s="1"/>
  <c r="S105" i="6" s="1"/>
  <c r="O105" i="6"/>
  <c r="P105" i="6"/>
  <c r="Q105" i="6"/>
  <c r="R105" i="6"/>
  <c r="AB105" i="6" s="1"/>
  <c r="B106" i="6"/>
  <c r="C106" i="6"/>
  <c r="G106" i="6"/>
  <c r="H106" i="6" s="1"/>
  <c r="J106" i="6"/>
  <c r="K106" i="6"/>
  <c r="L106" i="6"/>
  <c r="M106" i="6" a="1"/>
  <c r="M106" i="6"/>
  <c r="N106" i="6" a="1"/>
  <c r="N106" i="6"/>
  <c r="S106" i="6" s="1"/>
  <c r="O106" i="6"/>
  <c r="P106" i="6"/>
  <c r="Q106" i="6"/>
  <c r="R106" i="6"/>
  <c r="AB106" i="6" s="1"/>
  <c r="B107" i="6"/>
  <c r="C107" i="6"/>
  <c r="E107" i="6"/>
  <c r="G107" i="6"/>
  <c r="H107" i="6" s="1"/>
  <c r="I107" i="6"/>
  <c r="J107" i="6"/>
  <c r="K107" i="6"/>
  <c r="L107" i="6"/>
  <c r="M107" i="6" a="1"/>
  <c r="M107" i="6"/>
  <c r="N107" i="6" a="1"/>
  <c r="N107" i="6"/>
  <c r="O107" i="6"/>
  <c r="P107" i="6"/>
  <c r="Q107" i="6"/>
  <c r="R107" i="6"/>
  <c r="B108" i="6"/>
  <c r="C108" i="6"/>
  <c r="G108" i="6"/>
  <c r="K108" i="6"/>
  <c r="L108" i="6"/>
  <c r="M108" i="6" a="1"/>
  <c r="M108" i="6"/>
  <c r="N108" i="6" a="1"/>
  <c r="N108" i="6" s="1"/>
  <c r="O108" i="6"/>
  <c r="S108" i="6" s="1"/>
  <c r="P108" i="6"/>
  <c r="Q108" i="6"/>
  <c r="R108" i="6"/>
  <c r="AB108" i="6" s="1"/>
  <c r="B109" i="6"/>
  <c r="C109" i="6"/>
  <c r="G109" i="6"/>
  <c r="J109" i="6"/>
  <c r="K109" i="6"/>
  <c r="L109" i="6"/>
  <c r="M109" i="6" a="1"/>
  <c r="M109" i="6"/>
  <c r="N109" i="6" a="1"/>
  <c r="N109" i="6" s="1"/>
  <c r="O109" i="6"/>
  <c r="P109" i="6"/>
  <c r="Q109" i="6"/>
  <c r="R109" i="6"/>
  <c r="B110" i="6"/>
  <c r="C110" i="6"/>
  <c r="G110" i="6"/>
  <c r="I110" i="6"/>
  <c r="K110" i="6"/>
  <c r="L110" i="6"/>
  <c r="M110" i="6" a="1"/>
  <c r="M110" i="6"/>
  <c r="N110" i="6" a="1"/>
  <c r="N110" i="6"/>
  <c r="O110" i="6"/>
  <c r="P110" i="6"/>
  <c r="Q110" i="6"/>
  <c r="R110" i="6"/>
  <c r="A111" i="6"/>
  <c r="B111" i="6"/>
  <c r="C111" i="6"/>
  <c r="E111" i="6"/>
  <c r="G111" i="6"/>
  <c r="J111" i="6" s="1"/>
  <c r="H111" i="6"/>
  <c r="I111" i="6"/>
  <c r="K111" i="6"/>
  <c r="L111" i="6"/>
  <c r="M111" i="6" a="1"/>
  <c r="M111" i="6"/>
  <c r="N111" i="6" a="1"/>
  <c r="N111" i="6" s="1"/>
  <c r="O111" i="6"/>
  <c r="P111" i="6"/>
  <c r="Q111" i="6"/>
  <c r="R111" i="6"/>
  <c r="B112" i="6"/>
  <c r="C112" i="6"/>
  <c r="E112" i="6"/>
  <c r="G112" i="6"/>
  <c r="I112" i="6" s="1"/>
  <c r="H112" i="6"/>
  <c r="J112" i="6"/>
  <c r="K112" i="6"/>
  <c r="L112" i="6"/>
  <c r="M112" i="6" a="1"/>
  <c r="M112" i="6"/>
  <c r="N112" i="6" a="1"/>
  <c r="N112" i="6" s="1"/>
  <c r="S112" i="6" s="1"/>
  <c r="O112" i="6"/>
  <c r="P112" i="6"/>
  <c r="Q112" i="6"/>
  <c r="R112" i="6"/>
  <c r="AB112" i="6" s="1"/>
  <c r="A113" i="6"/>
  <c r="B113" i="6"/>
  <c r="C113" i="6"/>
  <c r="G113" i="6"/>
  <c r="E113" i="6" s="1"/>
  <c r="H113" i="6"/>
  <c r="I113" i="6"/>
  <c r="J113" i="6"/>
  <c r="K113" i="6"/>
  <c r="L113" i="6"/>
  <c r="M113" i="6" a="1"/>
  <c r="M113" i="6"/>
  <c r="N113" i="6" a="1"/>
  <c r="N113" i="6"/>
  <c r="O113" i="6"/>
  <c r="P113" i="6"/>
  <c r="Q113" i="6"/>
  <c r="R113" i="6"/>
  <c r="B114" i="6"/>
  <c r="C114" i="6"/>
  <c r="G114" i="6"/>
  <c r="I114" i="6"/>
  <c r="K114" i="6"/>
  <c r="L114" i="6"/>
  <c r="M114" i="6" a="1"/>
  <c r="M114" i="6"/>
  <c r="N114" i="6" a="1"/>
  <c r="N114" i="6" s="1"/>
  <c r="O114" i="6"/>
  <c r="P114" i="6"/>
  <c r="Q114" i="6"/>
  <c r="R114" i="6"/>
  <c r="AB114" i="6" s="1"/>
  <c r="B115" i="6"/>
  <c r="C115" i="6"/>
  <c r="E115" i="6"/>
  <c r="G115" i="6"/>
  <c r="H115" i="6"/>
  <c r="I115" i="6"/>
  <c r="J115" i="6"/>
  <c r="K115" i="6"/>
  <c r="L115" i="6"/>
  <c r="M115" i="6" a="1"/>
  <c r="M115" i="6"/>
  <c r="N115" i="6" a="1"/>
  <c r="N115" i="6"/>
  <c r="O115" i="6"/>
  <c r="P115" i="6"/>
  <c r="Q115" i="6"/>
  <c r="R115" i="6"/>
  <c r="AB115" i="6" s="1"/>
  <c r="B116" i="6"/>
  <c r="C116" i="6"/>
  <c r="E116" i="6"/>
  <c r="G116" i="6"/>
  <c r="H116" i="6"/>
  <c r="I116" i="6"/>
  <c r="J116" i="6"/>
  <c r="K116" i="6"/>
  <c r="L116" i="6"/>
  <c r="M116" i="6" a="1"/>
  <c r="M116" i="6"/>
  <c r="N116" i="6" a="1"/>
  <c r="N116" i="6"/>
  <c r="O116" i="6"/>
  <c r="P116" i="6"/>
  <c r="Q116" i="6"/>
  <c r="R116" i="6"/>
  <c r="B117" i="6"/>
  <c r="C117" i="6"/>
  <c r="E117" i="6"/>
  <c r="G117" i="6"/>
  <c r="H117" i="6"/>
  <c r="I117" i="6"/>
  <c r="J117" i="6"/>
  <c r="K117" i="6"/>
  <c r="L117" i="6"/>
  <c r="M117" i="6" a="1"/>
  <c r="M117" i="6"/>
  <c r="N117" i="6" a="1"/>
  <c r="N117" i="6"/>
  <c r="O117" i="6"/>
  <c r="P117" i="6"/>
  <c r="Q117" i="6"/>
  <c r="R117" i="6"/>
  <c r="AB117" i="6" s="1"/>
  <c r="B118" i="6"/>
  <c r="C118" i="6"/>
  <c r="E118" i="6"/>
  <c r="G118" i="6"/>
  <c r="H118" i="6"/>
  <c r="I118" i="6"/>
  <c r="J118" i="6"/>
  <c r="K118" i="6"/>
  <c r="L118" i="6"/>
  <c r="M118" i="6" a="1"/>
  <c r="M118" i="6"/>
  <c r="N118" i="6" a="1"/>
  <c r="N118" i="6"/>
  <c r="S118" i="6" s="1"/>
  <c r="O118" i="6"/>
  <c r="P118" i="6"/>
  <c r="Q118" i="6"/>
  <c r="R118" i="6"/>
  <c r="AB118" i="6" s="1"/>
  <c r="B119" i="6"/>
  <c r="C119" i="6"/>
  <c r="E119" i="6"/>
  <c r="G119" i="6"/>
  <c r="H119" i="6"/>
  <c r="I119" i="6"/>
  <c r="J119" i="6"/>
  <c r="K119" i="6"/>
  <c r="L119" i="6"/>
  <c r="M119" i="6" a="1"/>
  <c r="M119" i="6"/>
  <c r="N119" i="6" a="1"/>
  <c r="N119" i="6"/>
  <c r="O119" i="6"/>
  <c r="P119" i="6"/>
  <c r="Q119" i="6"/>
  <c r="R119" i="6"/>
  <c r="B120" i="6"/>
  <c r="C120" i="6"/>
  <c r="E120" i="6"/>
  <c r="G120" i="6"/>
  <c r="H120" i="6"/>
  <c r="I120" i="6"/>
  <c r="J120" i="6"/>
  <c r="K120" i="6"/>
  <c r="L120" i="6"/>
  <c r="M120" i="6" a="1"/>
  <c r="M120" i="6"/>
  <c r="N120" i="6" a="1"/>
  <c r="N120" i="6" s="1"/>
  <c r="O120" i="6"/>
  <c r="P120" i="6"/>
  <c r="Q120" i="6"/>
  <c r="R120" i="6"/>
  <c r="AB120" i="6" s="1"/>
  <c r="S120" i="6"/>
  <c r="B121" i="6"/>
  <c r="C121" i="6"/>
  <c r="E121" i="6"/>
  <c r="G121" i="6"/>
  <c r="H121" i="6"/>
  <c r="I121" i="6"/>
  <c r="J121" i="6"/>
  <c r="K121" i="6"/>
  <c r="L121" i="6"/>
  <c r="M121" i="6" a="1"/>
  <c r="M121" i="6"/>
  <c r="N121" i="6" a="1"/>
  <c r="N121" i="6"/>
  <c r="S121" i="6" s="1"/>
  <c r="O121" i="6"/>
  <c r="P121" i="6"/>
  <c r="Q121" i="6"/>
  <c r="R121" i="6"/>
  <c r="AB121" i="6" s="1"/>
  <c r="B122" i="6"/>
  <c r="C122" i="6"/>
  <c r="E122" i="6"/>
  <c r="G122" i="6"/>
  <c r="H122" i="6"/>
  <c r="I122" i="6"/>
  <c r="J122" i="6"/>
  <c r="K122" i="6"/>
  <c r="L122" i="6"/>
  <c r="M122" i="6" a="1"/>
  <c r="M122" i="6"/>
  <c r="N122" i="6" a="1"/>
  <c r="N122" i="6"/>
  <c r="O122" i="6"/>
  <c r="P122" i="6"/>
  <c r="Q122" i="6"/>
  <c r="R122" i="6"/>
  <c r="B123" i="6"/>
  <c r="C123" i="6"/>
  <c r="E123" i="6"/>
  <c r="G123" i="6"/>
  <c r="H123" i="6"/>
  <c r="I123" i="6"/>
  <c r="J123" i="6"/>
  <c r="K123" i="6"/>
  <c r="L123" i="6"/>
  <c r="M123" i="6" a="1"/>
  <c r="M123" i="6"/>
  <c r="N123" i="6" a="1"/>
  <c r="N123" i="6"/>
  <c r="O123" i="6"/>
  <c r="P123" i="6"/>
  <c r="Q123" i="6"/>
  <c r="R123" i="6"/>
  <c r="AB123" i="6" s="1"/>
  <c r="B124" i="6"/>
  <c r="C124" i="6"/>
  <c r="E124" i="6"/>
  <c r="G124" i="6"/>
  <c r="H124" i="6"/>
  <c r="I124" i="6"/>
  <c r="J124" i="6"/>
  <c r="K124" i="6"/>
  <c r="L124" i="6"/>
  <c r="M124" i="6" a="1"/>
  <c r="M124" i="6"/>
  <c r="N124" i="6" a="1"/>
  <c r="N124" i="6" s="1"/>
  <c r="S124" i="6" s="1"/>
  <c r="O124" i="6"/>
  <c r="P124" i="6"/>
  <c r="Q124" i="6"/>
  <c r="R124" i="6"/>
  <c r="AB124" i="6" s="1"/>
  <c r="B125" i="6"/>
  <c r="C125" i="6"/>
  <c r="G125" i="6"/>
  <c r="J125" i="6"/>
  <c r="K125" i="6"/>
  <c r="L125" i="6"/>
  <c r="M125" i="6" a="1"/>
  <c r="M125" i="6"/>
  <c r="N125" i="6" a="1"/>
  <c r="N125" i="6"/>
  <c r="O125" i="6"/>
  <c r="P125" i="6"/>
  <c r="Q125" i="6"/>
  <c r="R125" i="6"/>
  <c r="B126" i="6"/>
  <c r="C126" i="6"/>
  <c r="E126" i="6"/>
  <c r="G126" i="6"/>
  <c r="H126" i="6" s="1"/>
  <c r="I126" i="6"/>
  <c r="K126" i="6"/>
  <c r="L126" i="6"/>
  <c r="M126" i="6" a="1"/>
  <c r="M126" i="6"/>
  <c r="N126" i="6" a="1"/>
  <c r="N126" i="6" s="1"/>
  <c r="O126" i="6"/>
  <c r="P126" i="6"/>
  <c r="Q126" i="6"/>
  <c r="R126" i="6"/>
  <c r="B127" i="6"/>
  <c r="C127" i="6"/>
  <c r="G127" i="6"/>
  <c r="H127" i="6" s="1"/>
  <c r="K127" i="6"/>
  <c r="L127" i="6"/>
  <c r="M127" i="6" a="1"/>
  <c r="M127" i="6"/>
  <c r="N127" i="6" a="1"/>
  <c r="N127" i="6" s="1"/>
  <c r="S127" i="6" s="1"/>
  <c r="O127" i="6"/>
  <c r="P127" i="6"/>
  <c r="Q127" i="6"/>
  <c r="R127" i="6"/>
  <c r="AB127" i="6" s="1"/>
  <c r="B128" i="6"/>
  <c r="C128" i="6"/>
  <c r="E128" i="6"/>
  <c r="G128" i="6"/>
  <c r="J128" i="6" s="1"/>
  <c r="H128" i="6"/>
  <c r="I128" i="6"/>
  <c r="K128" i="6"/>
  <c r="L128" i="6"/>
  <c r="M128" i="6" a="1"/>
  <c r="M128" i="6"/>
  <c r="N128" i="6" a="1"/>
  <c r="N128" i="6"/>
  <c r="O128" i="6"/>
  <c r="P128" i="6"/>
  <c r="Q128" i="6"/>
  <c r="R128" i="6"/>
  <c r="B129" i="6"/>
  <c r="C129" i="6"/>
  <c r="G129" i="6"/>
  <c r="I129" i="6"/>
  <c r="K129" i="6"/>
  <c r="L129" i="6"/>
  <c r="M129" i="6" a="1"/>
  <c r="M129" i="6"/>
  <c r="N129" i="6" a="1"/>
  <c r="N129" i="6" s="1"/>
  <c r="S129" i="6" s="1"/>
  <c r="O129" i="6"/>
  <c r="P129" i="6"/>
  <c r="Q129" i="6"/>
  <c r="R129" i="6"/>
  <c r="AB129" i="6" s="1"/>
  <c r="B130" i="6"/>
  <c r="C130" i="6"/>
  <c r="G130" i="6"/>
  <c r="I130" i="6" s="1"/>
  <c r="K130" i="6"/>
  <c r="L130" i="6"/>
  <c r="M130" i="6" a="1"/>
  <c r="M130" i="6"/>
  <c r="N130" i="6" a="1"/>
  <c r="N130" i="6" s="1"/>
  <c r="S130" i="6" s="1"/>
  <c r="O130" i="6"/>
  <c r="P130" i="6"/>
  <c r="Q130" i="6"/>
  <c r="R130" i="6"/>
  <c r="AB130" i="6" s="1"/>
  <c r="B131" i="6"/>
  <c r="C131" i="6"/>
  <c r="G131" i="6"/>
  <c r="H131" i="6" s="1"/>
  <c r="I131" i="6"/>
  <c r="K131" i="6"/>
  <c r="L131" i="6"/>
  <c r="M131" i="6" a="1"/>
  <c r="M131" i="6"/>
  <c r="N131" i="6" a="1"/>
  <c r="N131" i="6"/>
  <c r="O131" i="6"/>
  <c r="P131" i="6"/>
  <c r="Q131" i="6"/>
  <c r="R131" i="6"/>
  <c r="A132" i="6"/>
  <c r="B132" i="6"/>
  <c r="C132" i="6"/>
  <c r="G132" i="6"/>
  <c r="E132" i="6" s="1"/>
  <c r="H132" i="6"/>
  <c r="I132" i="6"/>
  <c r="J132" i="6"/>
  <c r="K132" i="6"/>
  <c r="L132" i="6"/>
  <c r="M132" i="6" a="1"/>
  <c r="M132" i="6"/>
  <c r="N132" i="6" a="1"/>
  <c r="N132" i="6" s="1"/>
  <c r="O132" i="6"/>
  <c r="S132" i="6" s="1"/>
  <c r="P132" i="6"/>
  <c r="Q132" i="6"/>
  <c r="R132" i="6"/>
  <c r="AB132" i="6" s="1"/>
  <c r="B133" i="6"/>
  <c r="C133" i="6"/>
  <c r="E133" i="6"/>
  <c r="G133" i="6"/>
  <c r="H133" i="6"/>
  <c r="I133" i="6"/>
  <c r="J133" i="6"/>
  <c r="K133" i="6"/>
  <c r="L133" i="6"/>
  <c r="M133" i="6" a="1"/>
  <c r="M133" i="6"/>
  <c r="N133" i="6" a="1"/>
  <c r="N133" i="6"/>
  <c r="O133" i="6"/>
  <c r="P133" i="6"/>
  <c r="Q133" i="6"/>
  <c r="R133" i="6"/>
  <c r="AB133" i="6" s="1"/>
  <c r="B134" i="6"/>
  <c r="C134" i="6"/>
  <c r="E134" i="6"/>
  <c r="G134" i="6"/>
  <c r="H134" i="6"/>
  <c r="I134" i="6"/>
  <c r="J134" i="6"/>
  <c r="K134" i="6"/>
  <c r="L134" i="6"/>
  <c r="M134" i="6" a="1"/>
  <c r="M134" i="6"/>
  <c r="N134" i="6" a="1"/>
  <c r="N134" i="6"/>
  <c r="O134" i="6"/>
  <c r="P134" i="6"/>
  <c r="Q134" i="6"/>
  <c r="R134" i="6"/>
  <c r="A135" i="6"/>
  <c r="B135" i="6"/>
  <c r="C135" i="6"/>
  <c r="E135" i="6"/>
  <c r="G135" i="6"/>
  <c r="H135" i="6"/>
  <c r="I135" i="6"/>
  <c r="J135" i="6"/>
  <c r="K135" i="6"/>
  <c r="L135" i="6"/>
  <c r="M135" i="6" a="1"/>
  <c r="M135" i="6"/>
  <c r="N135" i="6" a="1"/>
  <c r="N135" i="6"/>
  <c r="O135" i="6"/>
  <c r="P135" i="6"/>
  <c r="Q135" i="6"/>
  <c r="R135" i="6"/>
  <c r="AB135" i="6" s="1"/>
  <c r="B136" i="6"/>
  <c r="C136" i="6"/>
  <c r="E136" i="6"/>
  <c r="G136" i="6"/>
  <c r="H136" i="6"/>
  <c r="I136" i="6"/>
  <c r="J136" i="6"/>
  <c r="K136" i="6"/>
  <c r="L136" i="6"/>
  <c r="M136" i="6" a="1"/>
  <c r="M136" i="6"/>
  <c r="N136" i="6" a="1"/>
  <c r="N136" i="6"/>
  <c r="S136" i="6" s="1"/>
  <c r="O136" i="6"/>
  <c r="P136" i="6"/>
  <c r="Q136" i="6"/>
  <c r="R136" i="6"/>
  <c r="AB136" i="6" s="1"/>
  <c r="A137" i="6"/>
  <c r="B137" i="6"/>
  <c r="C137" i="6"/>
  <c r="E137" i="6"/>
  <c r="G137" i="6"/>
  <c r="H137" i="6"/>
  <c r="I137" i="6"/>
  <c r="J137" i="6"/>
  <c r="K137" i="6"/>
  <c r="L137" i="6"/>
  <c r="M137" i="6" a="1"/>
  <c r="M137" i="6"/>
  <c r="N137" i="6" a="1"/>
  <c r="N137" i="6"/>
  <c r="O137" i="6"/>
  <c r="P137" i="6"/>
  <c r="Q137" i="6"/>
  <c r="R137" i="6"/>
  <c r="B138" i="6"/>
  <c r="C138" i="6"/>
  <c r="E138" i="6"/>
  <c r="G138" i="6"/>
  <c r="H138" i="6"/>
  <c r="I138" i="6"/>
  <c r="J138" i="6"/>
  <c r="K138" i="6"/>
  <c r="L138" i="6"/>
  <c r="M138" i="6" a="1"/>
  <c r="M138" i="6"/>
  <c r="N138" i="6" a="1"/>
  <c r="N138" i="6" s="1"/>
  <c r="O138" i="6"/>
  <c r="P138" i="6"/>
  <c r="S138" i="6" s="1"/>
  <c r="Q138" i="6"/>
  <c r="R138" i="6"/>
  <c r="AB138" i="6" s="1"/>
  <c r="B139" i="6"/>
  <c r="C139" i="6"/>
  <c r="E139" i="6"/>
  <c r="G139" i="6"/>
  <c r="H139" i="6" s="1"/>
  <c r="I139" i="6"/>
  <c r="J139" i="6"/>
  <c r="K139" i="6"/>
  <c r="L139" i="6"/>
  <c r="M139" i="6" a="1"/>
  <c r="M139" i="6"/>
  <c r="N139" i="6" a="1"/>
  <c r="N139" i="6" s="1"/>
  <c r="S139" i="6" s="1"/>
  <c r="O139" i="6"/>
  <c r="P139" i="6"/>
  <c r="Q139" i="6"/>
  <c r="R139" i="6"/>
  <c r="AB139" i="6" s="1"/>
  <c r="B140" i="6"/>
  <c r="C140" i="6"/>
  <c r="G140" i="6"/>
  <c r="H140" i="6" s="1"/>
  <c r="K140" i="6"/>
  <c r="L140" i="6"/>
  <c r="M140" i="6" a="1"/>
  <c r="M140" i="6"/>
  <c r="N140" i="6" a="1"/>
  <c r="N140" i="6"/>
  <c r="O140" i="6"/>
  <c r="P140" i="6"/>
  <c r="Q140" i="6"/>
  <c r="R140" i="6"/>
  <c r="B141" i="6"/>
  <c r="C141" i="6"/>
  <c r="E141" i="6"/>
  <c r="G141" i="6"/>
  <c r="I141" i="6" s="1"/>
  <c r="H141" i="6"/>
  <c r="J141" i="6"/>
  <c r="K141" i="6"/>
  <c r="L141" i="6"/>
  <c r="M141" i="6" a="1"/>
  <c r="M141" i="6"/>
  <c r="N141" i="6" a="1"/>
  <c r="N141" i="6" s="1"/>
  <c r="S141" i="6" s="1"/>
  <c r="O141" i="6"/>
  <c r="P141" i="6"/>
  <c r="Q141" i="6"/>
  <c r="R141" i="6"/>
  <c r="AB141" i="6" s="1"/>
  <c r="B142" i="6"/>
  <c r="C142" i="6"/>
  <c r="G142" i="6"/>
  <c r="H142" i="6"/>
  <c r="I142" i="6"/>
  <c r="K142" i="6"/>
  <c r="L142" i="6"/>
  <c r="M142" i="6" a="1"/>
  <c r="M142" i="6"/>
  <c r="N142" i="6" a="1"/>
  <c r="N142" i="6"/>
  <c r="S142" i="6" s="1"/>
  <c r="O142" i="6"/>
  <c r="P142" i="6"/>
  <c r="Q142" i="6"/>
  <c r="R142" i="6"/>
  <c r="AB142" i="6" s="1"/>
  <c r="B143" i="6"/>
  <c r="C143" i="6"/>
  <c r="E143" i="6"/>
  <c r="G143" i="6"/>
  <c r="J143" i="6" s="1"/>
  <c r="H143" i="6"/>
  <c r="I143" i="6"/>
  <c r="K143" i="6"/>
  <c r="L143" i="6"/>
  <c r="M143" i="6" a="1"/>
  <c r="M143" i="6"/>
  <c r="N143" i="6" a="1"/>
  <c r="N143" i="6"/>
  <c r="O143" i="6"/>
  <c r="P143" i="6"/>
  <c r="Q143" i="6"/>
  <c r="R143" i="6"/>
  <c r="B144" i="6"/>
  <c r="C144" i="6"/>
  <c r="G144" i="6"/>
  <c r="I144" i="6" s="1"/>
  <c r="K144" i="6"/>
  <c r="L144" i="6"/>
  <c r="M144" i="6" a="1"/>
  <c r="M144" i="6"/>
  <c r="N144" i="6" a="1"/>
  <c r="N144" i="6" s="1"/>
  <c r="O144" i="6"/>
  <c r="S144" i="6" s="1"/>
  <c r="P144" i="6"/>
  <c r="Q144" i="6"/>
  <c r="R144" i="6"/>
  <c r="AB144" i="6" s="1"/>
  <c r="B145" i="6"/>
  <c r="C145" i="6"/>
  <c r="G145" i="6"/>
  <c r="J145" i="6" s="1"/>
  <c r="K145" i="6"/>
  <c r="L145" i="6"/>
  <c r="M145" i="6" a="1"/>
  <c r="M145" i="6"/>
  <c r="N145" i="6" a="1"/>
  <c r="N145" i="6"/>
  <c r="O145" i="6"/>
  <c r="P145" i="6"/>
  <c r="Q145" i="6"/>
  <c r="R145" i="6"/>
  <c r="B146" i="6"/>
  <c r="C146" i="6"/>
  <c r="E146" i="6"/>
  <c r="G146" i="6"/>
  <c r="J146" i="6" s="1"/>
  <c r="H146" i="6"/>
  <c r="I146" i="6"/>
  <c r="K146" i="6"/>
  <c r="L146" i="6"/>
  <c r="M146" i="6" a="1"/>
  <c r="M146" i="6"/>
  <c r="N146" i="6" a="1"/>
  <c r="N146" i="6"/>
  <c r="O146" i="6"/>
  <c r="P146" i="6"/>
  <c r="Q146" i="6"/>
  <c r="R146" i="6"/>
  <c r="B147" i="6"/>
  <c r="C147" i="6"/>
  <c r="G147" i="6"/>
  <c r="J147" i="6" s="1"/>
  <c r="I147" i="6"/>
  <c r="K147" i="6"/>
  <c r="L147" i="6"/>
  <c r="M147" i="6" a="1"/>
  <c r="M147" i="6"/>
  <c r="N147" i="6" a="1"/>
  <c r="N147" i="6"/>
  <c r="O147" i="6"/>
  <c r="P147" i="6"/>
  <c r="Q147" i="6"/>
  <c r="R147" i="6"/>
  <c r="B148" i="6"/>
  <c r="C148" i="6"/>
  <c r="G148" i="6"/>
  <c r="J148" i="6" s="1"/>
  <c r="H148" i="6"/>
  <c r="K148" i="6"/>
  <c r="L148" i="6"/>
  <c r="M148" i="6" a="1"/>
  <c r="M148" i="6"/>
  <c r="N148" i="6" a="1"/>
  <c r="N148" i="6" s="1"/>
  <c r="O148" i="6"/>
  <c r="P148" i="6"/>
  <c r="Q148" i="6"/>
  <c r="R148" i="6"/>
  <c r="AB148" i="6" s="1"/>
  <c r="S148" i="6"/>
  <c r="A149" i="6"/>
  <c r="B149" i="6"/>
  <c r="C149" i="6"/>
  <c r="E149" i="6"/>
  <c r="G149" i="6"/>
  <c r="J149" i="6" s="1"/>
  <c r="H149" i="6"/>
  <c r="I149" i="6"/>
  <c r="K149" i="6"/>
  <c r="L149" i="6"/>
  <c r="M149" i="6" a="1"/>
  <c r="M149" i="6"/>
  <c r="N149" i="6" a="1"/>
  <c r="N149" i="6"/>
  <c r="O149" i="6"/>
  <c r="P149" i="6"/>
  <c r="Q149" i="6"/>
  <c r="R149" i="6"/>
  <c r="B150" i="6"/>
  <c r="C150" i="6"/>
  <c r="E150" i="6"/>
  <c r="G150" i="6"/>
  <c r="J150" i="6" s="1"/>
  <c r="I150" i="6"/>
  <c r="K150" i="6"/>
  <c r="L150" i="6"/>
  <c r="M150" i="6" a="1"/>
  <c r="M150" i="6"/>
  <c r="N150" i="6" a="1"/>
  <c r="N150" i="6" s="1"/>
  <c r="O150" i="6"/>
  <c r="P150" i="6"/>
  <c r="Q150" i="6"/>
  <c r="R150" i="6"/>
  <c r="B151" i="6"/>
  <c r="C151" i="6"/>
  <c r="G151" i="6"/>
  <c r="E151" i="6" s="1"/>
  <c r="I151" i="6"/>
  <c r="K151" i="6"/>
  <c r="L151" i="6"/>
  <c r="M151" i="6" a="1"/>
  <c r="M151" i="6"/>
  <c r="N151" i="6" a="1"/>
  <c r="N151" i="6"/>
  <c r="S151" i="6" s="1"/>
  <c r="O151" i="6"/>
  <c r="P151" i="6"/>
  <c r="Q151" i="6"/>
  <c r="R151" i="6"/>
  <c r="AB151" i="6" s="1"/>
  <c r="B152" i="6"/>
  <c r="C152" i="6"/>
  <c r="G152" i="6"/>
  <c r="E152" i="6" s="1"/>
  <c r="H152" i="6"/>
  <c r="I152" i="6"/>
  <c r="J152" i="6"/>
  <c r="K152" i="6"/>
  <c r="L152" i="6"/>
  <c r="M152" i="6" a="1"/>
  <c r="M152" i="6"/>
  <c r="N152" i="6" a="1"/>
  <c r="N152" i="6"/>
  <c r="O152" i="6"/>
  <c r="P152" i="6"/>
  <c r="Q152" i="6"/>
  <c r="R152" i="6"/>
  <c r="A153" i="6"/>
  <c r="B153" i="6"/>
  <c r="C153" i="6"/>
  <c r="G153" i="6"/>
  <c r="I153" i="6"/>
  <c r="J153" i="6"/>
  <c r="K153" i="6"/>
  <c r="L153" i="6"/>
  <c r="M153" i="6" a="1"/>
  <c r="M153" i="6"/>
  <c r="N153" i="6" a="1"/>
  <c r="N153" i="6"/>
  <c r="O153" i="6"/>
  <c r="P153" i="6"/>
  <c r="Q153" i="6"/>
  <c r="R153" i="6"/>
  <c r="AB153" i="6" s="1"/>
  <c r="B154" i="6"/>
  <c r="C154" i="6"/>
  <c r="G154" i="6"/>
  <c r="K154" i="6"/>
  <c r="L154" i="6"/>
  <c r="M154" i="6" a="1"/>
  <c r="M154" i="6"/>
  <c r="N154" i="6" a="1"/>
  <c r="N154" i="6" s="1"/>
  <c r="S154" i="6" s="1"/>
  <c r="O154" i="6"/>
  <c r="P154" i="6"/>
  <c r="Q154" i="6"/>
  <c r="R154" i="6"/>
  <c r="AB154" i="6" s="1"/>
  <c r="B155" i="6"/>
  <c r="C155" i="6"/>
  <c r="E155" i="6"/>
  <c r="G155" i="6"/>
  <c r="H155" i="6"/>
  <c r="I155" i="6"/>
  <c r="J155" i="6"/>
  <c r="K155" i="6"/>
  <c r="L155" i="6"/>
  <c r="M155" i="6" a="1"/>
  <c r="M155" i="6"/>
  <c r="N155" i="6" a="1"/>
  <c r="N155" i="6"/>
  <c r="O155" i="6"/>
  <c r="P155" i="6"/>
  <c r="Q155" i="6"/>
  <c r="R155" i="6"/>
  <c r="B156" i="6"/>
  <c r="C156" i="6"/>
  <c r="E156" i="6"/>
  <c r="G156" i="6"/>
  <c r="H156" i="6"/>
  <c r="I156" i="6"/>
  <c r="J156" i="6"/>
  <c r="K156" i="6"/>
  <c r="L156" i="6"/>
  <c r="M156" i="6" a="1"/>
  <c r="M156" i="6"/>
  <c r="N156" i="6" a="1"/>
  <c r="N156" i="6" s="1"/>
  <c r="O156" i="6"/>
  <c r="P156" i="6"/>
  <c r="Q156" i="6"/>
  <c r="R156" i="6"/>
  <c r="AB156" i="6" s="1"/>
  <c r="S156" i="6"/>
  <c r="B157" i="6"/>
  <c r="C157" i="6"/>
  <c r="E157" i="6"/>
  <c r="G157" i="6"/>
  <c r="H157" i="6"/>
  <c r="I157" i="6"/>
  <c r="J157" i="6"/>
  <c r="K157" i="6"/>
  <c r="L157" i="6"/>
  <c r="M157" i="6" a="1"/>
  <c r="M157" i="6"/>
  <c r="N157" i="6" a="1"/>
  <c r="N157" i="6"/>
  <c r="S157" i="6" s="1"/>
  <c r="O157" i="6"/>
  <c r="P157" i="6"/>
  <c r="Q157" i="6"/>
  <c r="R157" i="6"/>
  <c r="AB157" i="6" s="1"/>
  <c r="B158" i="6"/>
  <c r="C158" i="6"/>
  <c r="E158" i="6"/>
  <c r="G158" i="6"/>
  <c r="H158" i="6"/>
  <c r="I158" i="6"/>
  <c r="J158" i="6"/>
  <c r="K158" i="6"/>
  <c r="L158" i="6"/>
  <c r="M158" i="6" a="1"/>
  <c r="M158" i="6"/>
  <c r="N158" i="6" a="1"/>
  <c r="N158" i="6"/>
  <c r="O158" i="6"/>
  <c r="P158" i="6"/>
  <c r="Q158" i="6"/>
  <c r="R158" i="6"/>
  <c r="B159" i="6"/>
  <c r="C159" i="6"/>
  <c r="E159" i="6"/>
  <c r="G159" i="6"/>
  <c r="H159" i="6"/>
  <c r="I159" i="6"/>
  <c r="J159" i="6"/>
  <c r="K159" i="6"/>
  <c r="L159" i="6"/>
  <c r="M159" i="6" a="1"/>
  <c r="M159" i="6"/>
  <c r="N159" i="6" a="1"/>
  <c r="N159" i="6"/>
  <c r="O159" i="6"/>
  <c r="P159" i="6"/>
  <c r="Q159" i="6"/>
  <c r="R159" i="6"/>
  <c r="AB159" i="6" s="1"/>
  <c r="B160" i="6"/>
  <c r="C160" i="6"/>
  <c r="E160" i="6"/>
  <c r="G160" i="6"/>
  <c r="H160" i="6"/>
  <c r="I160" i="6"/>
  <c r="J160" i="6"/>
  <c r="K160" i="6"/>
  <c r="L160" i="6"/>
  <c r="M160" i="6" a="1"/>
  <c r="M160" i="6"/>
  <c r="N160" i="6" a="1"/>
  <c r="N160" i="6" s="1"/>
  <c r="S160" i="6" s="1"/>
  <c r="O160" i="6"/>
  <c r="P160" i="6"/>
  <c r="Q160" i="6"/>
  <c r="R160" i="6"/>
  <c r="AB160" i="6" s="1"/>
  <c r="A161" i="6"/>
  <c r="B161" i="6"/>
  <c r="C161" i="6"/>
  <c r="G161" i="6"/>
  <c r="H161" i="6" s="1"/>
  <c r="K161" i="6"/>
  <c r="L161" i="6"/>
  <c r="M161" i="6" a="1"/>
  <c r="M161" i="6"/>
  <c r="N161" i="6" a="1"/>
  <c r="N161" i="6"/>
  <c r="O161" i="6"/>
  <c r="P161" i="6"/>
  <c r="Q161" i="6"/>
  <c r="R161" i="6"/>
  <c r="B162" i="6"/>
  <c r="C162" i="6"/>
  <c r="G162" i="6"/>
  <c r="I162" i="6" s="1"/>
  <c r="J162" i="6"/>
  <c r="K162" i="6"/>
  <c r="L162" i="6"/>
  <c r="M162" i="6" a="1"/>
  <c r="M162" i="6"/>
  <c r="N162" i="6" a="1"/>
  <c r="N162" i="6" s="1"/>
  <c r="O162" i="6"/>
  <c r="P162" i="6"/>
  <c r="Q162" i="6"/>
  <c r="R162" i="6"/>
  <c r="B163" i="6"/>
  <c r="C163" i="6"/>
  <c r="E163" i="6"/>
  <c r="G163" i="6"/>
  <c r="J163" i="6"/>
  <c r="K163" i="6"/>
  <c r="L163" i="6"/>
  <c r="M163" i="6" a="1"/>
  <c r="M163" i="6"/>
  <c r="N163" i="6" a="1"/>
  <c r="N163" i="6" s="1"/>
  <c r="S163" i="6" s="1"/>
  <c r="O163" i="6"/>
  <c r="P163" i="6"/>
  <c r="Q163" i="6"/>
  <c r="R163" i="6"/>
  <c r="AB163" i="6" s="1"/>
  <c r="B164" i="6"/>
  <c r="C164" i="6"/>
  <c r="E164" i="6"/>
  <c r="G164" i="6"/>
  <c r="J164" i="6" s="1"/>
  <c r="H164" i="6"/>
  <c r="I164" i="6"/>
  <c r="K164" i="6"/>
  <c r="L164" i="6"/>
  <c r="M164" i="6" a="1"/>
  <c r="M164" i="6"/>
  <c r="N164" i="6" a="1"/>
  <c r="N164" i="6"/>
  <c r="O164" i="6"/>
  <c r="P164" i="6"/>
  <c r="Q164" i="6"/>
  <c r="R164" i="6"/>
  <c r="A165" i="6"/>
  <c r="B165" i="6"/>
  <c r="C165" i="6"/>
  <c r="E165" i="6"/>
  <c r="G165" i="6"/>
  <c r="J165" i="6" s="1"/>
  <c r="I165" i="6"/>
  <c r="K165" i="6"/>
  <c r="L165" i="6"/>
  <c r="M165" i="6" a="1"/>
  <c r="M165" i="6"/>
  <c r="N165" i="6" a="1"/>
  <c r="N165" i="6"/>
  <c r="S165" i="6" s="1"/>
  <c r="O165" i="6"/>
  <c r="P165" i="6"/>
  <c r="Q165" i="6"/>
  <c r="R165" i="6"/>
  <c r="AB165" i="6" s="1"/>
  <c r="B166" i="6"/>
  <c r="C166" i="6"/>
  <c r="G166" i="6"/>
  <c r="H166" i="6"/>
  <c r="I166" i="6"/>
  <c r="K166" i="6"/>
  <c r="L166" i="6"/>
  <c r="M166" i="6" a="1"/>
  <c r="M166" i="6"/>
  <c r="N166" i="6" a="1"/>
  <c r="N166" i="6" s="1"/>
  <c r="O166" i="6"/>
  <c r="P166" i="6"/>
  <c r="Q166" i="6"/>
  <c r="R166" i="6"/>
  <c r="AB166" i="6" s="1"/>
  <c r="S166" i="6"/>
  <c r="A167" i="6"/>
  <c r="B167" i="6"/>
  <c r="C167" i="6"/>
  <c r="E167" i="6"/>
  <c r="G167" i="6"/>
  <c r="J167" i="6" s="1"/>
  <c r="H167" i="6"/>
  <c r="I167" i="6"/>
  <c r="K167" i="6"/>
  <c r="L167" i="6"/>
  <c r="M167" i="6" a="1"/>
  <c r="M167" i="6"/>
  <c r="N167" i="6" a="1"/>
  <c r="N167" i="6"/>
  <c r="O167" i="6"/>
  <c r="P167" i="6"/>
  <c r="Q167" i="6"/>
  <c r="R167" i="6"/>
  <c r="B168" i="6"/>
  <c r="C168" i="6"/>
  <c r="G168" i="6"/>
  <c r="I168" i="6" s="1"/>
  <c r="K168" i="6"/>
  <c r="L168" i="6"/>
  <c r="M168" i="6" a="1"/>
  <c r="M168" i="6"/>
  <c r="N168" i="6" a="1"/>
  <c r="N168" i="6" s="1"/>
  <c r="O168" i="6"/>
  <c r="P168" i="6"/>
  <c r="Q168" i="6"/>
  <c r="R168" i="6"/>
  <c r="B169" i="6"/>
  <c r="C169" i="6"/>
  <c r="G169" i="6"/>
  <c r="J169" i="6" s="1"/>
  <c r="K169" i="6"/>
  <c r="L169" i="6"/>
  <c r="M169" i="6" a="1"/>
  <c r="M169" i="6"/>
  <c r="N169" i="6" a="1"/>
  <c r="N169" i="6" s="1"/>
  <c r="S169" i="6" s="1"/>
  <c r="O169" i="6"/>
  <c r="P169" i="6"/>
  <c r="Q169" i="6"/>
  <c r="R169" i="6"/>
  <c r="AB169" i="6" s="1"/>
  <c r="B170" i="6"/>
  <c r="C170" i="6"/>
  <c r="G170" i="6"/>
  <c r="E170" i="6" s="1"/>
  <c r="J170" i="6"/>
  <c r="K170" i="6"/>
  <c r="L170" i="6"/>
  <c r="M170" i="6" a="1"/>
  <c r="M170" i="6"/>
  <c r="N170" i="6" a="1"/>
  <c r="N170" i="6"/>
  <c r="O170" i="6"/>
  <c r="P170" i="6"/>
  <c r="Q170" i="6"/>
  <c r="R170" i="6"/>
  <c r="B171" i="6"/>
  <c r="C171" i="6"/>
  <c r="G171" i="6"/>
  <c r="E171" i="6" s="1"/>
  <c r="H171" i="6"/>
  <c r="I171" i="6"/>
  <c r="J171" i="6"/>
  <c r="K171" i="6"/>
  <c r="L171" i="6"/>
  <c r="M171" i="6" a="1"/>
  <c r="M171" i="6"/>
  <c r="N171" i="6" a="1"/>
  <c r="N171" i="6"/>
  <c r="S171" i="6" s="1"/>
  <c r="O171" i="6"/>
  <c r="P171" i="6"/>
  <c r="Q171" i="6"/>
  <c r="R171" i="6"/>
  <c r="AB171" i="6" s="1"/>
  <c r="B172" i="6"/>
  <c r="C172" i="6"/>
  <c r="G172" i="6"/>
  <c r="I172" i="6" s="1"/>
  <c r="J172" i="6"/>
  <c r="K172" i="6"/>
  <c r="L172" i="6"/>
  <c r="M172" i="6" a="1"/>
  <c r="M172" i="6"/>
  <c r="N172" i="6" a="1"/>
  <c r="N172" i="6"/>
  <c r="S172" i="6" s="1"/>
  <c r="O172" i="6"/>
  <c r="P172" i="6"/>
  <c r="Q172" i="6"/>
  <c r="R172" i="6"/>
  <c r="AB172" i="6" s="1"/>
  <c r="B173" i="6"/>
  <c r="C173" i="6"/>
  <c r="G173" i="6"/>
  <c r="H173" i="6"/>
  <c r="J173" i="6"/>
  <c r="K173" i="6"/>
  <c r="L173" i="6"/>
  <c r="M173" i="6" a="1"/>
  <c r="M173" i="6"/>
  <c r="N173" i="6" a="1"/>
  <c r="N173" i="6"/>
  <c r="O173" i="6"/>
  <c r="P173" i="6"/>
  <c r="Q173" i="6"/>
  <c r="R173" i="6"/>
  <c r="B174" i="6"/>
  <c r="C174" i="6"/>
  <c r="G174" i="6"/>
  <c r="H174" i="6" s="1"/>
  <c r="K174" i="6"/>
  <c r="L174" i="6"/>
  <c r="M174" i="6" a="1"/>
  <c r="M174" i="6"/>
  <c r="N174" i="6" a="1"/>
  <c r="N174" i="6" s="1"/>
  <c r="O174" i="6"/>
  <c r="S174" i="6" s="1"/>
  <c r="P174" i="6"/>
  <c r="Q174" i="6"/>
  <c r="R174" i="6"/>
  <c r="AB174" i="6" s="1"/>
  <c r="B175" i="6"/>
  <c r="C175" i="6"/>
  <c r="E175" i="6"/>
  <c r="G175" i="6"/>
  <c r="H175" i="6"/>
  <c r="I175" i="6"/>
  <c r="J175" i="6"/>
  <c r="K175" i="6"/>
  <c r="L175" i="6"/>
  <c r="M175" i="6" a="1"/>
  <c r="M175" i="6"/>
  <c r="N175" i="6" a="1"/>
  <c r="N175" i="6"/>
  <c r="O175" i="6"/>
  <c r="P175" i="6"/>
  <c r="Q175" i="6"/>
  <c r="R175" i="6"/>
  <c r="B176" i="6"/>
  <c r="C176" i="6"/>
  <c r="E176" i="6"/>
  <c r="G176" i="6"/>
  <c r="H176" i="6"/>
  <c r="I176" i="6"/>
  <c r="J176" i="6"/>
  <c r="K176" i="6"/>
  <c r="L176" i="6"/>
  <c r="M176" i="6" a="1"/>
  <c r="M176" i="6"/>
  <c r="N176" i="6" a="1"/>
  <c r="N176" i="6"/>
  <c r="O176" i="6"/>
  <c r="P176" i="6"/>
  <c r="Q176" i="6"/>
  <c r="R176" i="6"/>
  <c r="B177" i="6"/>
  <c r="C177" i="6"/>
  <c r="E177" i="6"/>
  <c r="G177" i="6"/>
  <c r="H177" i="6"/>
  <c r="I177" i="6"/>
  <c r="J177" i="6"/>
  <c r="K177" i="6"/>
  <c r="L177" i="6"/>
  <c r="M177" i="6" a="1"/>
  <c r="M177" i="6"/>
  <c r="N177" i="6" a="1"/>
  <c r="N177" i="6" s="1"/>
  <c r="O177" i="6"/>
  <c r="P177" i="6"/>
  <c r="Q177" i="6"/>
  <c r="R177" i="6"/>
  <c r="AB177" i="6" s="1"/>
  <c r="S177" i="6"/>
  <c r="B178" i="6"/>
  <c r="C178" i="6"/>
  <c r="E178" i="6"/>
  <c r="G178" i="6"/>
  <c r="H178" i="6"/>
  <c r="I178" i="6"/>
  <c r="J178" i="6"/>
  <c r="K178" i="6"/>
  <c r="L178" i="6"/>
  <c r="M178" i="6" a="1"/>
  <c r="M178" i="6"/>
  <c r="N178" i="6" a="1"/>
  <c r="N178" i="6"/>
  <c r="S178" i="6" s="1"/>
  <c r="O178" i="6"/>
  <c r="P178" i="6"/>
  <c r="Q178" i="6"/>
  <c r="R178" i="6"/>
  <c r="AB178" i="6" s="1"/>
  <c r="B179" i="6"/>
  <c r="C179" i="6"/>
  <c r="E179" i="6"/>
  <c r="G179" i="6"/>
  <c r="H179" i="6"/>
  <c r="I179" i="6"/>
  <c r="J179" i="6"/>
  <c r="K179" i="6"/>
  <c r="L179" i="6"/>
  <c r="M179" i="6" a="1"/>
  <c r="M179" i="6"/>
  <c r="N179" i="6" a="1"/>
  <c r="N179" i="6"/>
  <c r="O179" i="6"/>
  <c r="P179" i="6"/>
  <c r="Q179" i="6"/>
  <c r="R179" i="6"/>
  <c r="B180" i="6"/>
  <c r="C180" i="6"/>
  <c r="E180" i="6"/>
  <c r="G180" i="6"/>
  <c r="H180" i="6"/>
  <c r="I180" i="6"/>
  <c r="J180" i="6"/>
  <c r="K180" i="6"/>
  <c r="L180" i="6"/>
  <c r="M180" i="6" a="1"/>
  <c r="M180" i="6"/>
  <c r="N180" i="6" a="1"/>
  <c r="N180" i="6" s="1"/>
  <c r="O180" i="6"/>
  <c r="P180" i="6"/>
  <c r="S180" i="6" s="1"/>
  <c r="Q180" i="6"/>
  <c r="R180" i="6"/>
  <c r="AB180" i="6" s="1"/>
  <c r="B181" i="6"/>
  <c r="C181" i="6"/>
  <c r="G181" i="6"/>
  <c r="I181" i="6"/>
  <c r="J181" i="6"/>
  <c r="K181" i="6"/>
  <c r="L181" i="6"/>
  <c r="M181" i="6" a="1"/>
  <c r="M181" i="6"/>
  <c r="N181" i="6" a="1"/>
  <c r="N181" i="6" s="1"/>
  <c r="O181" i="6"/>
  <c r="P181" i="6"/>
  <c r="Q181" i="6"/>
  <c r="R181" i="6"/>
  <c r="B182" i="6"/>
  <c r="C182" i="6"/>
  <c r="G182" i="6"/>
  <c r="J182" i="6" s="1"/>
  <c r="K182" i="6"/>
  <c r="L182" i="6"/>
  <c r="M182" i="6" a="1"/>
  <c r="M182" i="6"/>
  <c r="N182" i="6" a="1"/>
  <c r="N182" i="6"/>
  <c r="O182" i="6"/>
  <c r="P182" i="6"/>
  <c r="Q182" i="6"/>
  <c r="R182" i="6"/>
  <c r="B183" i="6"/>
  <c r="C183" i="6"/>
  <c r="E183" i="6"/>
  <c r="G183" i="6"/>
  <c r="H183" i="6" s="1"/>
  <c r="K183" i="6"/>
  <c r="L183" i="6"/>
  <c r="M183" i="6" a="1"/>
  <c r="M183" i="6"/>
  <c r="N183" i="6" a="1"/>
  <c r="N183" i="6" s="1"/>
  <c r="O183" i="6"/>
  <c r="P183" i="6"/>
  <c r="Q183" i="6"/>
  <c r="R183" i="6"/>
  <c r="B184" i="6"/>
  <c r="C184" i="6"/>
  <c r="E184" i="6"/>
  <c r="G184" i="6"/>
  <c r="J184" i="6" s="1"/>
  <c r="I184" i="6"/>
  <c r="K184" i="6"/>
  <c r="L184" i="6"/>
  <c r="M184" i="6" a="1"/>
  <c r="M184" i="6"/>
  <c r="N184" i="6" a="1"/>
  <c r="N184" i="6" s="1"/>
  <c r="O184" i="6"/>
  <c r="P184" i="6"/>
  <c r="Q184" i="6"/>
  <c r="R184" i="6"/>
  <c r="AB184" i="6" s="1"/>
  <c r="S184" i="6"/>
  <c r="B185" i="6"/>
  <c r="C185" i="6"/>
  <c r="G185" i="6"/>
  <c r="H185" i="6"/>
  <c r="I185" i="6"/>
  <c r="K185" i="6"/>
  <c r="L185" i="6"/>
  <c r="M185" i="6" a="1"/>
  <c r="M185" i="6"/>
  <c r="N185" i="6" a="1"/>
  <c r="N185" i="6"/>
  <c r="O185" i="6"/>
  <c r="P185" i="6"/>
  <c r="Q185" i="6"/>
  <c r="R185" i="6"/>
  <c r="B186" i="6"/>
  <c r="C186" i="6"/>
  <c r="E186" i="6"/>
  <c r="G186" i="6"/>
  <c r="J186" i="6" s="1"/>
  <c r="H186" i="6"/>
  <c r="I186" i="6"/>
  <c r="K186" i="6"/>
  <c r="L186" i="6"/>
  <c r="M186" i="6" a="1"/>
  <c r="M186" i="6"/>
  <c r="N186" i="6" a="1"/>
  <c r="N186" i="6" s="1"/>
  <c r="O186" i="6"/>
  <c r="P186" i="6"/>
  <c r="Q186" i="6"/>
  <c r="R186" i="6"/>
  <c r="B187" i="6"/>
  <c r="C187" i="6"/>
  <c r="E187" i="6"/>
  <c r="G187" i="6"/>
  <c r="I187" i="6" s="1"/>
  <c r="H187" i="6"/>
  <c r="J187" i="6"/>
  <c r="K187" i="6"/>
  <c r="L187" i="6"/>
  <c r="M187" i="6" a="1"/>
  <c r="M187" i="6"/>
  <c r="N187" i="6" a="1"/>
  <c r="N187" i="6"/>
  <c r="O187" i="6"/>
  <c r="P187" i="6"/>
  <c r="Q187" i="6"/>
  <c r="R187" i="6"/>
  <c r="B188" i="6"/>
  <c r="C188" i="6"/>
  <c r="E188" i="6"/>
  <c r="G188" i="6"/>
  <c r="I188" i="6" s="1"/>
  <c r="J188" i="6"/>
  <c r="K188" i="6"/>
  <c r="L188" i="6"/>
  <c r="M188" i="6" a="1"/>
  <c r="M188" i="6"/>
  <c r="N188" i="6" a="1"/>
  <c r="N188" i="6"/>
  <c r="O188" i="6"/>
  <c r="P188" i="6"/>
  <c r="Q188" i="6"/>
  <c r="R188" i="6"/>
  <c r="B189" i="6"/>
  <c r="C189" i="6"/>
  <c r="G189" i="6"/>
  <c r="I189" i="6" s="1"/>
  <c r="K189" i="6"/>
  <c r="L189" i="6"/>
  <c r="M189" i="6" a="1"/>
  <c r="M189" i="6"/>
  <c r="N189" i="6" a="1"/>
  <c r="N189" i="6"/>
  <c r="O189" i="6"/>
  <c r="P189" i="6"/>
  <c r="Q189" i="6"/>
  <c r="R189" i="6"/>
  <c r="B190" i="6"/>
  <c r="C190" i="6"/>
  <c r="E190" i="6"/>
  <c r="G190" i="6"/>
  <c r="I190" i="6" s="1"/>
  <c r="H190" i="6"/>
  <c r="J190" i="6"/>
  <c r="K190" i="6"/>
  <c r="L190" i="6"/>
  <c r="M190" i="6" a="1"/>
  <c r="M190" i="6"/>
  <c r="N190" i="6" a="1"/>
  <c r="N190" i="6" s="1"/>
  <c r="O190" i="6"/>
  <c r="P190" i="6"/>
  <c r="Q190" i="6"/>
  <c r="R190" i="6"/>
  <c r="AB190" i="6" s="1"/>
  <c r="S190" i="6"/>
  <c r="B191" i="6"/>
  <c r="C191" i="6"/>
  <c r="E191" i="6"/>
  <c r="G191" i="6"/>
  <c r="I191" i="6" s="1"/>
  <c r="J191" i="6"/>
  <c r="K191" i="6"/>
  <c r="L191" i="6"/>
  <c r="M191" i="6" a="1"/>
  <c r="M191" i="6"/>
  <c r="N191" i="6" a="1"/>
  <c r="N191" i="6"/>
  <c r="O191" i="6"/>
  <c r="P191" i="6"/>
  <c r="Q191" i="6"/>
  <c r="R191" i="6"/>
  <c r="B192" i="6"/>
  <c r="C192" i="6"/>
  <c r="G192" i="6"/>
  <c r="I192" i="6" s="1"/>
  <c r="K192" i="6"/>
  <c r="L192" i="6"/>
  <c r="M192" i="6" a="1"/>
  <c r="M192" i="6"/>
  <c r="N192" i="6" a="1"/>
  <c r="N192" i="6" s="1"/>
  <c r="O192" i="6"/>
  <c r="P192" i="6"/>
  <c r="Q192" i="6"/>
  <c r="R192" i="6"/>
  <c r="AB192" i="6" s="1"/>
  <c r="S192" i="6"/>
  <c r="B193" i="6"/>
  <c r="C193" i="6"/>
  <c r="E193" i="6"/>
  <c r="G193" i="6"/>
  <c r="I193" i="6" s="1"/>
  <c r="H193" i="6"/>
  <c r="J193" i="6"/>
  <c r="K193" i="6"/>
  <c r="L193" i="6"/>
  <c r="M193" i="6" a="1"/>
  <c r="M193" i="6"/>
  <c r="N193" i="6" a="1"/>
  <c r="N193" i="6"/>
  <c r="S193" i="6" s="1"/>
  <c r="O193" i="6"/>
  <c r="P193" i="6"/>
  <c r="Q193" i="6"/>
  <c r="R193" i="6"/>
  <c r="AB193" i="6" s="1"/>
  <c r="A194" i="6"/>
  <c r="B194" i="6"/>
  <c r="C194" i="6"/>
  <c r="E194" i="6"/>
  <c r="G194" i="6"/>
  <c r="I194" i="6" s="1"/>
  <c r="J194" i="6"/>
  <c r="K194" i="6"/>
  <c r="L194" i="6"/>
  <c r="M194" i="6" a="1"/>
  <c r="M194" i="6"/>
  <c r="N194" i="6" a="1"/>
  <c r="N194" i="6"/>
  <c r="O194" i="6"/>
  <c r="P194" i="6"/>
  <c r="Q194" i="6"/>
  <c r="R194" i="6"/>
  <c r="A195" i="6"/>
  <c r="B195" i="6"/>
  <c r="C195" i="6"/>
  <c r="G195" i="6"/>
  <c r="I195" i="6" s="1"/>
  <c r="K195" i="6"/>
  <c r="L195" i="6"/>
  <c r="M195" i="6" a="1"/>
  <c r="M195" i="6"/>
  <c r="N195" i="6" a="1"/>
  <c r="N195" i="6"/>
  <c r="S195" i="6" s="1"/>
  <c r="O195" i="6"/>
  <c r="P195" i="6"/>
  <c r="Q195" i="6"/>
  <c r="R195" i="6"/>
  <c r="AB195" i="6" s="1"/>
  <c r="B196" i="6"/>
  <c r="C196" i="6"/>
  <c r="E196" i="6"/>
  <c r="G196" i="6"/>
  <c r="I196" i="6" s="1"/>
  <c r="H196" i="6"/>
  <c r="J196" i="6"/>
  <c r="K196" i="6"/>
  <c r="L196" i="6"/>
  <c r="M196" i="6" a="1"/>
  <c r="M196" i="6"/>
  <c r="N196" i="6" a="1"/>
  <c r="N196" i="6" s="1"/>
  <c r="S196" i="6" s="1"/>
  <c r="O196" i="6"/>
  <c r="P196" i="6"/>
  <c r="Q196" i="6"/>
  <c r="R196" i="6"/>
  <c r="AB196" i="6" s="1"/>
  <c r="B197" i="6"/>
  <c r="C197" i="6"/>
  <c r="G197" i="6"/>
  <c r="E197" i="6" s="1"/>
  <c r="H197" i="6"/>
  <c r="I197" i="6"/>
  <c r="J197" i="6"/>
  <c r="K197" i="6"/>
  <c r="L197" i="6"/>
  <c r="M197" i="6" a="1"/>
  <c r="M197" i="6"/>
  <c r="N197" i="6" a="1"/>
  <c r="N197" i="6"/>
  <c r="O197" i="6"/>
  <c r="P197" i="6"/>
  <c r="Q197" i="6"/>
  <c r="R197" i="6"/>
  <c r="B198" i="6"/>
  <c r="C198" i="6"/>
  <c r="G198" i="6"/>
  <c r="E198" i="6" s="1"/>
  <c r="I198" i="6"/>
  <c r="K198" i="6"/>
  <c r="L198" i="6"/>
  <c r="M198" i="6" a="1"/>
  <c r="M198" i="6"/>
  <c r="N198" i="6" a="1"/>
  <c r="N198" i="6" s="1"/>
  <c r="O198" i="6"/>
  <c r="P198" i="6"/>
  <c r="Q198" i="6"/>
  <c r="R198" i="6"/>
  <c r="B199" i="6"/>
  <c r="C199" i="6"/>
  <c r="E199" i="6"/>
  <c r="G199" i="6"/>
  <c r="H199" i="6"/>
  <c r="I199" i="6"/>
  <c r="J199" i="6"/>
  <c r="K199" i="6"/>
  <c r="L199" i="6"/>
  <c r="M199" i="6" a="1"/>
  <c r="M199" i="6"/>
  <c r="N199" i="6" a="1"/>
  <c r="N199" i="6" s="1"/>
  <c r="O199" i="6"/>
  <c r="P199" i="6"/>
  <c r="Q199" i="6"/>
  <c r="R199" i="6"/>
  <c r="AB199" i="6" s="1"/>
  <c r="S199" i="6"/>
  <c r="B200" i="6"/>
  <c r="C200" i="6"/>
  <c r="E200" i="6"/>
  <c r="G200" i="6"/>
  <c r="H200" i="6"/>
  <c r="I200" i="6"/>
  <c r="J200" i="6"/>
  <c r="K200" i="6"/>
  <c r="L200" i="6"/>
  <c r="M200" i="6" a="1"/>
  <c r="M200" i="6"/>
  <c r="N200" i="6" a="1"/>
  <c r="N200" i="6"/>
  <c r="O200" i="6"/>
  <c r="P200" i="6"/>
  <c r="Q200" i="6"/>
  <c r="R200" i="6"/>
  <c r="B201" i="6"/>
  <c r="C201" i="6"/>
  <c r="E201" i="6"/>
  <c r="G201" i="6"/>
  <c r="H201" i="6"/>
  <c r="I201" i="6"/>
  <c r="J201" i="6"/>
  <c r="K201" i="6"/>
  <c r="L201" i="6"/>
  <c r="M201" i="6" a="1"/>
  <c r="M201" i="6"/>
  <c r="N201" i="6" a="1"/>
  <c r="N201" i="6" s="1"/>
  <c r="O201" i="6"/>
  <c r="P201" i="6"/>
  <c r="Q201" i="6"/>
  <c r="R201" i="6"/>
  <c r="AB201" i="6" s="1"/>
  <c r="S201" i="6"/>
  <c r="B202" i="6"/>
  <c r="C202" i="6"/>
  <c r="E202" i="6"/>
  <c r="G202" i="6"/>
  <c r="H202" i="6"/>
  <c r="I202" i="6"/>
  <c r="J202" i="6"/>
  <c r="K202" i="6"/>
  <c r="L202" i="6"/>
  <c r="M202" i="6" a="1"/>
  <c r="M202" i="6"/>
  <c r="N202" i="6" a="1"/>
  <c r="N202" i="6"/>
  <c r="S202" i="6" s="1"/>
  <c r="O202" i="6"/>
  <c r="P202" i="6"/>
  <c r="Q202" i="6"/>
  <c r="R202" i="6"/>
  <c r="AB202" i="6" s="1"/>
  <c r="B203" i="6"/>
  <c r="C203" i="6"/>
  <c r="E203" i="6"/>
  <c r="G203" i="6"/>
  <c r="H203" i="6"/>
  <c r="I203" i="6"/>
  <c r="J203" i="6"/>
  <c r="K203" i="6"/>
  <c r="L203" i="6"/>
  <c r="M203" i="6" a="1"/>
  <c r="M203" i="6"/>
  <c r="N203" i="6" a="1"/>
  <c r="N203" i="6"/>
  <c r="O203" i="6"/>
  <c r="P203" i="6"/>
  <c r="Q203" i="6"/>
  <c r="R203" i="6"/>
  <c r="B204" i="6"/>
  <c r="C204" i="6"/>
  <c r="E204" i="6"/>
  <c r="G204" i="6"/>
  <c r="H204" i="6"/>
  <c r="I204" i="6"/>
  <c r="J204" i="6"/>
  <c r="K204" i="6"/>
  <c r="L204" i="6"/>
  <c r="M204" i="6" a="1"/>
  <c r="M204" i="6"/>
  <c r="N204" i="6" a="1"/>
  <c r="N204" i="6" s="1"/>
  <c r="O204" i="6"/>
  <c r="S204" i="6" s="1"/>
  <c r="P204" i="6"/>
  <c r="Q204" i="6"/>
  <c r="R204" i="6"/>
  <c r="AB204" i="6" s="1"/>
  <c r="B205" i="6"/>
  <c r="C205" i="6"/>
  <c r="E205" i="6"/>
  <c r="G205" i="6"/>
  <c r="J205" i="6"/>
  <c r="K205" i="6"/>
  <c r="L205" i="6"/>
  <c r="M205" i="6" a="1"/>
  <c r="M205" i="6"/>
  <c r="N205" i="6" a="1"/>
  <c r="N205" i="6" s="1"/>
  <c r="O205" i="6"/>
  <c r="P205" i="6"/>
  <c r="Q205" i="6"/>
  <c r="R205" i="6"/>
  <c r="AB205" i="6" s="1"/>
  <c r="S205" i="6"/>
  <c r="A206" i="6"/>
  <c r="B206" i="6"/>
  <c r="C206" i="6"/>
  <c r="G206" i="6"/>
  <c r="K206" i="6"/>
  <c r="L206" i="6"/>
  <c r="M206" i="6" a="1"/>
  <c r="M206" i="6"/>
  <c r="N206" i="6" a="1"/>
  <c r="N206" i="6"/>
  <c r="O206" i="6"/>
  <c r="P206" i="6"/>
  <c r="Q206" i="6"/>
  <c r="R206" i="6"/>
  <c r="B207" i="6"/>
  <c r="C207" i="6"/>
  <c r="E207" i="6"/>
  <c r="G207" i="6"/>
  <c r="H207" i="6" s="1"/>
  <c r="J207" i="6"/>
  <c r="K207" i="6"/>
  <c r="L207" i="6"/>
  <c r="M207" i="6" a="1"/>
  <c r="M207" i="6"/>
  <c r="N207" i="6" a="1"/>
  <c r="N207" i="6"/>
  <c r="O207" i="6"/>
  <c r="P207" i="6"/>
  <c r="Q207" i="6"/>
  <c r="R207" i="6"/>
  <c r="B208" i="6"/>
  <c r="C208" i="6"/>
  <c r="G208" i="6"/>
  <c r="H208" i="6" s="1"/>
  <c r="K208" i="6"/>
  <c r="L208" i="6"/>
  <c r="M208" i="6" a="1"/>
  <c r="M208" i="6"/>
  <c r="N208" i="6" a="1"/>
  <c r="N208" i="6"/>
  <c r="S208" i="6" s="1"/>
  <c r="O208" i="6"/>
  <c r="P208" i="6"/>
  <c r="Q208" i="6"/>
  <c r="R208" i="6"/>
  <c r="AB208" i="6" s="1"/>
  <c r="A209" i="6"/>
  <c r="B209" i="6"/>
  <c r="C209" i="6"/>
  <c r="G209" i="6"/>
  <c r="I209" i="6" s="1"/>
  <c r="J209" i="6"/>
  <c r="K209" i="6"/>
  <c r="L209" i="6"/>
  <c r="M209" i="6" a="1"/>
  <c r="M209" i="6"/>
  <c r="N209" i="6" a="1"/>
  <c r="N209" i="6"/>
  <c r="O209" i="6"/>
  <c r="P209" i="6"/>
  <c r="Q209" i="6"/>
  <c r="R209" i="6"/>
  <c r="B210" i="6"/>
  <c r="C210" i="6"/>
  <c r="E210" i="6"/>
  <c r="G210" i="6"/>
  <c r="H210" i="6" s="1"/>
  <c r="I210" i="6"/>
  <c r="J210" i="6"/>
  <c r="K210" i="6"/>
  <c r="L210" i="6"/>
  <c r="M210" i="6" a="1"/>
  <c r="M210" i="6"/>
  <c r="N210" i="6" a="1"/>
  <c r="N210" i="6" s="1"/>
  <c r="O210" i="6"/>
  <c r="P210" i="6"/>
  <c r="S210" i="6" s="1"/>
  <c r="Q210" i="6"/>
  <c r="R210" i="6"/>
  <c r="AB210" i="6" s="1"/>
  <c r="B211" i="6"/>
  <c r="C211" i="6"/>
  <c r="E211" i="6"/>
  <c r="G211" i="6"/>
  <c r="H211" i="6" s="1"/>
  <c r="K211" i="6"/>
  <c r="L211" i="6"/>
  <c r="M211" i="6" a="1"/>
  <c r="M211" i="6"/>
  <c r="N211" i="6" a="1"/>
  <c r="N211" i="6" s="1"/>
  <c r="O211" i="6"/>
  <c r="P211" i="6"/>
  <c r="Q211" i="6"/>
  <c r="R211" i="6"/>
  <c r="B212" i="6"/>
  <c r="C212" i="6"/>
  <c r="E212" i="6"/>
  <c r="G212" i="6"/>
  <c r="J212" i="6" s="1"/>
  <c r="I212" i="6"/>
  <c r="K212" i="6"/>
  <c r="L212" i="6"/>
  <c r="M212" i="6" a="1"/>
  <c r="M212" i="6"/>
  <c r="N212" i="6" a="1"/>
  <c r="N212" i="6"/>
  <c r="O212" i="6"/>
  <c r="P212" i="6"/>
  <c r="Q212" i="6"/>
  <c r="R212" i="6"/>
  <c r="B213" i="6"/>
  <c r="C213" i="6"/>
  <c r="G213" i="6"/>
  <c r="H213" i="6"/>
  <c r="K213" i="6"/>
  <c r="L213" i="6"/>
  <c r="M213" i="6" a="1"/>
  <c r="M213" i="6"/>
  <c r="N213" i="6" a="1"/>
  <c r="N213" i="6" s="1"/>
  <c r="O213" i="6"/>
  <c r="P213" i="6"/>
  <c r="Q213" i="6"/>
  <c r="R213" i="6"/>
  <c r="B214" i="6"/>
  <c r="C214" i="6"/>
  <c r="G214" i="6"/>
  <c r="H214" i="6" s="1"/>
  <c r="K214" i="6"/>
  <c r="L214" i="6"/>
  <c r="M214" i="6" a="1"/>
  <c r="M214" i="6"/>
  <c r="N214" i="6" a="1"/>
  <c r="N214" i="6" s="1"/>
  <c r="S214" i="6" s="1"/>
  <c r="O214" i="6"/>
  <c r="P214" i="6"/>
  <c r="Q214" i="6"/>
  <c r="R214" i="6"/>
  <c r="AB214" i="6" s="1"/>
  <c r="A215" i="6"/>
  <c r="B215" i="6"/>
  <c r="C215" i="6"/>
  <c r="G215" i="6"/>
  <c r="K215" i="6"/>
  <c r="L215" i="6"/>
  <c r="M215" i="6" a="1"/>
  <c r="M215" i="6"/>
  <c r="N215" i="6" a="1"/>
  <c r="N215" i="6"/>
  <c r="O215" i="6"/>
  <c r="P215" i="6"/>
  <c r="Q215" i="6"/>
  <c r="R215" i="6"/>
  <c r="B216" i="6"/>
  <c r="C216" i="6"/>
  <c r="G216" i="6"/>
  <c r="E216" i="6" s="1"/>
  <c r="I216" i="6"/>
  <c r="K216" i="6"/>
  <c r="L216" i="6"/>
  <c r="M216" i="6" a="1"/>
  <c r="M216" i="6"/>
  <c r="N216" i="6" a="1"/>
  <c r="N216" i="6" s="1"/>
  <c r="O216" i="6"/>
  <c r="P216" i="6"/>
  <c r="Q216" i="6"/>
  <c r="R216" i="6"/>
  <c r="B217" i="6"/>
  <c r="C217" i="6"/>
  <c r="E217" i="6"/>
  <c r="G217" i="6"/>
  <c r="H217" i="6"/>
  <c r="I217" i="6"/>
  <c r="J217" i="6"/>
  <c r="K217" i="6"/>
  <c r="L217" i="6"/>
  <c r="M217" i="6" a="1"/>
  <c r="M217" i="6"/>
  <c r="N217" i="6" a="1"/>
  <c r="N217" i="6"/>
  <c r="O217" i="6"/>
  <c r="P217" i="6"/>
  <c r="Q217" i="6"/>
  <c r="R217" i="6"/>
  <c r="B218" i="6"/>
  <c r="C218" i="6"/>
  <c r="E218" i="6"/>
  <c r="G218" i="6"/>
  <c r="H218" i="6"/>
  <c r="I218" i="6"/>
  <c r="J218" i="6"/>
  <c r="K218" i="6"/>
  <c r="L218" i="6"/>
  <c r="M218" i="6" a="1"/>
  <c r="M218" i="6"/>
  <c r="N218" i="6" a="1"/>
  <c r="N218" i="6"/>
  <c r="O218" i="6"/>
  <c r="P218" i="6"/>
  <c r="Q218" i="6"/>
  <c r="R218" i="6"/>
  <c r="A219" i="6"/>
  <c r="B219" i="6"/>
  <c r="C219" i="6"/>
  <c r="E219" i="6"/>
  <c r="G219" i="6"/>
  <c r="H219" i="6"/>
  <c r="I219" i="6"/>
  <c r="J219" i="6"/>
  <c r="K219" i="6"/>
  <c r="L219" i="6"/>
  <c r="M219" i="6" a="1"/>
  <c r="M219" i="6"/>
  <c r="N219" i="6" a="1"/>
  <c r="N219" i="6"/>
  <c r="O219" i="6"/>
  <c r="P219" i="6"/>
  <c r="Q219" i="6"/>
  <c r="R219" i="6"/>
  <c r="B220" i="6"/>
  <c r="C220" i="6"/>
  <c r="E220" i="6"/>
  <c r="G220" i="6"/>
  <c r="H220" i="6"/>
  <c r="I220" i="6"/>
  <c r="J220" i="6"/>
  <c r="K220" i="6"/>
  <c r="L220" i="6"/>
  <c r="M220" i="6" a="1"/>
  <c r="M220" i="6"/>
  <c r="N220" i="6" a="1"/>
  <c r="N220" i="6"/>
  <c r="S220" i="6" s="1"/>
  <c r="O220" i="6"/>
  <c r="P220" i="6"/>
  <c r="Q220" i="6"/>
  <c r="R220" i="6"/>
  <c r="AB220" i="6" s="1"/>
  <c r="A221" i="6"/>
  <c r="B221" i="6"/>
  <c r="C221" i="6"/>
  <c r="E221" i="6"/>
  <c r="G221" i="6"/>
  <c r="H221" i="6"/>
  <c r="I221" i="6"/>
  <c r="J221" i="6"/>
  <c r="K221" i="6"/>
  <c r="L221" i="6"/>
  <c r="M221" i="6" a="1"/>
  <c r="M221" i="6"/>
  <c r="N221" i="6" a="1"/>
  <c r="N221" i="6"/>
  <c r="O221" i="6"/>
  <c r="P221" i="6"/>
  <c r="Q221" i="6"/>
  <c r="R221" i="6"/>
  <c r="B222" i="6"/>
  <c r="C222" i="6"/>
  <c r="E222" i="6"/>
  <c r="G222" i="6"/>
  <c r="H222" i="6"/>
  <c r="I222" i="6"/>
  <c r="J222" i="6"/>
  <c r="K222" i="6"/>
  <c r="L222" i="6"/>
  <c r="M222" i="6" a="1"/>
  <c r="M222" i="6"/>
  <c r="N222" i="6" a="1"/>
  <c r="N222" i="6" s="1"/>
  <c r="O222" i="6"/>
  <c r="P222" i="6"/>
  <c r="Q222" i="6"/>
  <c r="R222" i="6"/>
  <c r="AB222" i="6" s="1"/>
  <c r="S222" i="6"/>
  <c r="B223" i="6"/>
  <c r="C223" i="6"/>
  <c r="E223" i="6"/>
  <c r="G223" i="6"/>
  <c r="H223" i="6"/>
  <c r="I223" i="6"/>
  <c r="J223" i="6"/>
  <c r="K223" i="6"/>
  <c r="L223" i="6"/>
  <c r="M223" i="6" a="1"/>
  <c r="M223" i="6"/>
  <c r="N223" i="6" a="1"/>
  <c r="N223" i="6"/>
  <c r="S223" i="6" s="1"/>
  <c r="O223" i="6"/>
  <c r="P223" i="6"/>
  <c r="Q223" i="6"/>
  <c r="R223" i="6"/>
  <c r="AB223" i="6" s="1"/>
  <c r="B224" i="6"/>
  <c r="C224" i="6"/>
  <c r="E224" i="6"/>
  <c r="G224" i="6"/>
  <c r="H224" i="6"/>
  <c r="I224" i="6"/>
  <c r="J224" i="6"/>
  <c r="K224" i="6"/>
  <c r="L224" i="6"/>
  <c r="M224" i="6" a="1"/>
  <c r="M224" i="6"/>
  <c r="N224" i="6" a="1"/>
  <c r="N224" i="6"/>
  <c r="O224" i="6"/>
  <c r="P224" i="6"/>
  <c r="Q224" i="6"/>
  <c r="R224" i="6"/>
  <c r="A225" i="6"/>
  <c r="B225" i="6"/>
  <c r="C225" i="6"/>
  <c r="E225" i="6"/>
  <c r="G225" i="6"/>
  <c r="H225" i="6"/>
  <c r="I225" i="6"/>
  <c r="J225" i="6"/>
  <c r="K225" i="6"/>
  <c r="L225" i="6"/>
  <c r="M225" i="6" a="1"/>
  <c r="M225" i="6"/>
  <c r="N225" i="6" a="1"/>
  <c r="N225" i="6"/>
  <c r="O225" i="6"/>
  <c r="P225" i="6"/>
  <c r="Q225" i="6"/>
  <c r="R225" i="6"/>
  <c r="AB225" i="6" s="1"/>
  <c r="B226" i="6"/>
  <c r="C226" i="6"/>
  <c r="E226" i="6"/>
  <c r="G226" i="6"/>
  <c r="H226" i="6"/>
  <c r="I226" i="6"/>
  <c r="J226" i="6"/>
  <c r="K226" i="6"/>
  <c r="L226" i="6"/>
  <c r="M226" i="6" a="1"/>
  <c r="M226" i="6"/>
  <c r="N226" i="6" a="1"/>
  <c r="N226" i="6" s="1"/>
  <c r="O226" i="6"/>
  <c r="P226" i="6"/>
  <c r="Q226" i="6"/>
  <c r="R226" i="6"/>
  <c r="AB226" i="6" s="1"/>
  <c r="S226" i="6"/>
  <c r="A227" i="6"/>
  <c r="B227" i="6"/>
  <c r="C227" i="6"/>
  <c r="E227" i="6"/>
  <c r="G227" i="6"/>
  <c r="H227" i="6"/>
  <c r="I227" i="6"/>
  <c r="J227" i="6"/>
  <c r="K227" i="6"/>
  <c r="L227" i="6"/>
  <c r="M227" i="6" a="1"/>
  <c r="M227" i="6"/>
  <c r="N227" i="6" a="1"/>
  <c r="N227" i="6"/>
  <c r="O227" i="6"/>
  <c r="P227" i="6"/>
  <c r="Q227" i="6"/>
  <c r="R227" i="6"/>
  <c r="B228" i="6"/>
  <c r="C228" i="6"/>
  <c r="E228" i="6"/>
  <c r="G228" i="6"/>
  <c r="H228" i="6"/>
  <c r="I228" i="6"/>
  <c r="J228" i="6"/>
  <c r="K228" i="6"/>
  <c r="L228" i="6"/>
  <c r="M228" i="6" a="1"/>
  <c r="M228" i="6"/>
  <c r="N228" i="6" a="1"/>
  <c r="N228" i="6" s="1"/>
  <c r="O228" i="6"/>
  <c r="P228" i="6"/>
  <c r="Q228" i="6"/>
  <c r="R228" i="6"/>
  <c r="AB228" i="6" s="1"/>
  <c r="S228" i="6"/>
  <c r="B229" i="6"/>
  <c r="C229" i="6"/>
  <c r="E229" i="6"/>
  <c r="G229" i="6"/>
  <c r="H229" i="6"/>
  <c r="I229" i="6"/>
  <c r="J229" i="6"/>
  <c r="K229" i="6"/>
  <c r="L229" i="6"/>
  <c r="M229" i="6" a="1"/>
  <c r="M229" i="6"/>
  <c r="N229" i="6" a="1"/>
  <c r="N229" i="6"/>
  <c r="S229" i="6" s="1"/>
  <c r="O229" i="6"/>
  <c r="P229" i="6"/>
  <c r="Q229" i="6"/>
  <c r="R229" i="6"/>
  <c r="AB229" i="6" s="1"/>
  <c r="B230" i="6"/>
  <c r="C230" i="6"/>
  <c r="E230" i="6"/>
  <c r="G230" i="6"/>
  <c r="H230" i="6"/>
  <c r="I230" i="6"/>
  <c r="J230" i="6"/>
  <c r="K230" i="6"/>
  <c r="L230" i="6"/>
  <c r="M230" i="6" a="1"/>
  <c r="M230" i="6"/>
  <c r="N230" i="6" a="1"/>
  <c r="N230" i="6"/>
  <c r="O230" i="6"/>
  <c r="P230" i="6"/>
  <c r="Q230" i="6"/>
  <c r="R230" i="6"/>
  <c r="A231" i="6"/>
  <c r="B231" i="6"/>
  <c r="C231" i="6"/>
  <c r="E231" i="6"/>
  <c r="G231" i="6"/>
  <c r="H231" i="6"/>
  <c r="I231" i="6"/>
  <c r="J231" i="6"/>
  <c r="K231" i="6"/>
  <c r="L231" i="6"/>
  <c r="M231" i="6" a="1"/>
  <c r="M231" i="6"/>
  <c r="N231" i="6" a="1"/>
  <c r="N231" i="6"/>
  <c r="O231" i="6"/>
  <c r="P231" i="6"/>
  <c r="Q231" i="6"/>
  <c r="R231" i="6"/>
  <c r="AB231" i="6" s="1"/>
  <c r="B232" i="6"/>
  <c r="C232" i="6"/>
  <c r="E232" i="6"/>
  <c r="G232" i="6"/>
  <c r="H232" i="6"/>
  <c r="I232" i="6"/>
  <c r="J232" i="6"/>
  <c r="K232" i="6"/>
  <c r="L232" i="6"/>
  <c r="M232" i="6" a="1"/>
  <c r="M232" i="6"/>
  <c r="N232" i="6" a="1"/>
  <c r="N232" i="6" s="1"/>
  <c r="S232" i="6" s="1"/>
  <c r="O232" i="6"/>
  <c r="P232" i="6"/>
  <c r="Q232" i="6"/>
  <c r="R232" i="6"/>
  <c r="AB232" i="6" s="1"/>
  <c r="B233" i="6"/>
  <c r="C233" i="6"/>
  <c r="E233" i="6"/>
  <c r="G233" i="6"/>
  <c r="H233" i="6" s="1"/>
  <c r="I233" i="6"/>
  <c r="J233" i="6"/>
  <c r="K233" i="6"/>
  <c r="L233" i="6"/>
  <c r="M233" i="6" a="1"/>
  <c r="M233" i="6"/>
  <c r="N233" i="6" a="1"/>
  <c r="N233" i="6"/>
  <c r="O233" i="6"/>
  <c r="P233" i="6"/>
  <c r="Q233" i="6"/>
  <c r="R233" i="6"/>
  <c r="A234" i="6"/>
  <c r="B234" i="6"/>
  <c r="C234" i="6"/>
  <c r="E234" i="6"/>
  <c r="G234" i="6"/>
  <c r="J234" i="6" s="1"/>
  <c r="K234" i="6"/>
  <c r="L234" i="6"/>
  <c r="M234" i="6" a="1"/>
  <c r="M234" i="6"/>
  <c r="N234" i="6" a="1"/>
  <c r="N234" i="6" s="1"/>
  <c r="O234" i="6"/>
  <c r="P234" i="6"/>
  <c r="Q234" i="6"/>
  <c r="R234" i="6"/>
  <c r="B235" i="6"/>
  <c r="C235" i="6"/>
  <c r="G235" i="6"/>
  <c r="I235" i="6" s="1"/>
  <c r="J235" i="6"/>
  <c r="K235" i="6"/>
  <c r="L235" i="6"/>
  <c r="M235" i="6" a="1"/>
  <c r="M235" i="6"/>
  <c r="N235" i="6" a="1"/>
  <c r="N235" i="6" s="1"/>
  <c r="O235" i="6"/>
  <c r="P235" i="6"/>
  <c r="Q235" i="6"/>
  <c r="R235" i="6"/>
  <c r="AB235" i="6" s="1"/>
  <c r="S235" i="6"/>
  <c r="B236" i="6"/>
  <c r="C236" i="6"/>
  <c r="G236" i="6"/>
  <c r="I236" i="6" s="1"/>
  <c r="H236" i="6"/>
  <c r="J236" i="6"/>
  <c r="K236" i="6"/>
  <c r="L236" i="6"/>
  <c r="M236" i="6" a="1"/>
  <c r="M236" i="6"/>
  <c r="N236" i="6" a="1"/>
  <c r="N236" i="6"/>
  <c r="O236" i="6"/>
  <c r="P236" i="6"/>
  <c r="Q236" i="6"/>
  <c r="R236" i="6"/>
  <c r="B237" i="6"/>
  <c r="C237" i="6"/>
  <c r="G237" i="6"/>
  <c r="H237" i="6" s="1"/>
  <c r="J237" i="6"/>
  <c r="K237" i="6"/>
  <c r="L237" i="6"/>
  <c r="M237" i="6" a="1"/>
  <c r="M237" i="6"/>
  <c r="N237" i="6" a="1"/>
  <c r="N237" i="6" s="1"/>
  <c r="O237" i="6"/>
  <c r="P237" i="6"/>
  <c r="Q237" i="6"/>
  <c r="R237" i="6"/>
  <c r="AB237" i="6" s="1"/>
  <c r="S237" i="6"/>
  <c r="B238" i="6"/>
  <c r="C238" i="6"/>
  <c r="E238" i="6"/>
  <c r="G238" i="6"/>
  <c r="I238" i="6" s="1"/>
  <c r="H238" i="6"/>
  <c r="J238" i="6"/>
  <c r="K238" i="6"/>
  <c r="L238" i="6"/>
  <c r="M238" i="6" a="1"/>
  <c r="M238" i="6"/>
  <c r="N238" i="6" a="1"/>
  <c r="N238" i="6"/>
  <c r="S238" i="6" s="1"/>
  <c r="O238" i="6"/>
  <c r="P238" i="6"/>
  <c r="Q238" i="6"/>
  <c r="R238" i="6"/>
  <c r="AB238" i="6" s="1"/>
  <c r="B239" i="6"/>
  <c r="C239" i="6"/>
  <c r="E239" i="6"/>
  <c r="G239" i="6"/>
  <c r="J239" i="6"/>
  <c r="K239" i="6"/>
  <c r="L239" i="6"/>
  <c r="M239" i="6" a="1"/>
  <c r="M239" i="6"/>
  <c r="N239" i="6" a="1"/>
  <c r="N239" i="6"/>
  <c r="O239" i="6"/>
  <c r="P239" i="6"/>
  <c r="Q239" i="6"/>
  <c r="R239" i="6"/>
  <c r="B240" i="6"/>
  <c r="C240" i="6"/>
  <c r="G240" i="6"/>
  <c r="H240" i="6"/>
  <c r="K240" i="6"/>
  <c r="L240" i="6"/>
  <c r="M240" i="6" a="1"/>
  <c r="M240" i="6"/>
  <c r="N240" i="6" a="1"/>
  <c r="N240" i="6" s="1"/>
  <c r="O240" i="6"/>
  <c r="S240" i="6" s="1"/>
  <c r="P240" i="6"/>
  <c r="Q240" i="6"/>
  <c r="R240" i="6"/>
  <c r="AB240" i="6" s="1"/>
  <c r="B241" i="6"/>
  <c r="C241" i="6"/>
  <c r="G241" i="6"/>
  <c r="E241" i="6" s="1"/>
  <c r="H241" i="6"/>
  <c r="K241" i="6"/>
  <c r="L241" i="6"/>
  <c r="M241" i="6" a="1"/>
  <c r="M241" i="6"/>
  <c r="N241" i="6" a="1"/>
  <c r="N241" i="6"/>
  <c r="O241" i="6"/>
  <c r="P241" i="6"/>
  <c r="Q241" i="6"/>
  <c r="R241" i="6"/>
  <c r="B242" i="6"/>
  <c r="C242" i="6"/>
  <c r="G242" i="6"/>
  <c r="H242" i="6"/>
  <c r="J242" i="6"/>
  <c r="K242" i="6"/>
  <c r="L242" i="6"/>
  <c r="M242" i="6" a="1"/>
  <c r="M242" i="6" s="1"/>
  <c r="N242" i="6" a="1"/>
  <c r="N242" i="6"/>
  <c r="O242" i="6"/>
  <c r="P242" i="6"/>
  <c r="Q242" i="6"/>
  <c r="R242" i="6"/>
  <c r="AB242" i="6"/>
  <c r="B243" i="6"/>
  <c r="C243" i="6"/>
  <c r="G243" i="6"/>
  <c r="I243" i="6" s="1"/>
  <c r="K243" i="6"/>
  <c r="L243" i="6"/>
  <c r="M243" i="6" a="1"/>
  <c r="M243" i="6" s="1"/>
  <c r="N243" i="6" a="1"/>
  <c r="N243" i="6" s="1"/>
  <c r="O243" i="6"/>
  <c r="P243" i="6"/>
  <c r="Q243" i="6"/>
  <c r="AB243" i="6" s="1"/>
  <c r="R243" i="6"/>
  <c r="S243" i="6"/>
  <c r="A244" i="6"/>
  <c r="B244" i="6"/>
  <c r="C244" i="6"/>
  <c r="G244" i="6"/>
  <c r="I244" i="6"/>
  <c r="J244" i="6"/>
  <c r="K244" i="6"/>
  <c r="L244" i="6"/>
  <c r="M244" i="6" a="1"/>
  <c r="M244" i="6"/>
  <c r="N244" i="6" a="1"/>
  <c r="N244" i="6"/>
  <c r="S244" i="6" s="1"/>
  <c r="O244" i="6"/>
  <c r="P244" i="6"/>
  <c r="Q244" i="6"/>
  <c r="R244" i="6"/>
  <c r="AB244" i="6"/>
  <c r="A245" i="6"/>
  <c r="B245" i="6"/>
  <c r="C245" i="6"/>
  <c r="G245" i="6"/>
  <c r="K245" i="6"/>
  <c r="L245" i="6"/>
  <c r="M245" i="6" a="1"/>
  <c r="M245" i="6" s="1"/>
  <c r="N245" i="6" a="1"/>
  <c r="N245" i="6"/>
  <c r="O245" i="6"/>
  <c r="P245" i="6"/>
  <c r="Q245" i="6"/>
  <c r="R245" i="6"/>
  <c r="A246" i="6"/>
  <c r="B246" i="6"/>
  <c r="C246" i="6"/>
  <c r="G246" i="6"/>
  <c r="K246" i="6"/>
  <c r="L246" i="6"/>
  <c r="M246" i="6" a="1"/>
  <c r="M246" i="6" s="1"/>
  <c r="N246" i="6" a="1"/>
  <c r="N246" i="6"/>
  <c r="O246" i="6"/>
  <c r="P246" i="6"/>
  <c r="Q246" i="6"/>
  <c r="R246" i="6"/>
  <c r="AB246" i="6"/>
  <c r="A247" i="6"/>
  <c r="B247" i="6"/>
  <c r="C247" i="6"/>
  <c r="G247" i="6"/>
  <c r="I247" i="6"/>
  <c r="K247" i="6"/>
  <c r="L247" i="6"/>
  <c r="M247" i="6" a="1"/>
  <c r="M247" i="6"/>
  <c r="N247" i="6" a="1"/>
  <c r="N247" i="6" s="1"/>
  <c r="S247" i="6" s="1"/>
  <c r="O247" i="6"/>
  <c r="P247" i="6"/>
  <c r="Q247" i="6"/>
  <c r="R247" i="6"/>
  <c r="AB247" i="6" s="1"/>
  <c r="A248" i="6"/>
  <c r="B248" i="6"/>
  <c r="C248" i="6"/>
  <c r="G248" i="6"/>
  <c r="H248" i="6"/>
  <c r="J248" i="6"/>
  <c r="K248" i="6"/>
  <c r="L248" i="6"/>
  <c r="M248" i="6" a="1"/>
  <c r="M248" i="6" s="1"/>
  <c r="N248" i="6" a="1"/>
  <c r="N248" i="6"/>
  <c r="O248" i="6"/>
  <c r="P248" i="6"/>
  <c r="Q248" i="6"/>
  <c r="R248" i="6"/>
  <c r="A249" i="6"/>
  <c r="B249" i="6"/>
  <c r="C249" i="6"/>
  <c r="G249" i="6"/>
  <c r="E249" i="6" s="1"/>
  <c r="H249" i="6"/>
  <c r="J249" i="6"/>
  <c r="K249" i="6"/>
  <c r="L249" i="6"/>
  <c r="M249" i="6" a="1"/>
  <c r="M249" i="6"/>
  <c r="N249" i="6" a="1"/>
  <c r="N249" i="6"/>
  <c r="O249" i="6"/>
  <c r="P249" i="6"/>
  <c r="Q249" i="6"/>
  <c r="R249" i="6"/>
  <c r="A250" i="6"/>
  <c r="B250" i="6"/>
  <c r="C250" i="6"/>
  <c r="G250" i="6"/>
  <c r="H250" i="6"/>
  <c r="J250" i="6"/>
  <c r="K250" i="6"/>
  <c r="L250" i="6"/>
  <c r="M250" i="6" a="1"/>
  <c r="M250" i="6"/>
  <c r="N250" i="6" a="1"/>
  <c r="N250" i="6"/>
  <c r="O250" i="6"/>
  <c r="P250" i="6"/>
  <c r="Q250" i="6"/>
  <c r="R250" i="6"/>
  <c r="AB250" i="6"/>
  <c r="A251" i="6"/>
  <c r="B251" i="6"/>
  <c r="C251" i="6"/>
  <c r="G251" i="6"/>
  <c r="K251" i="6"/>
  <c r="L251" i="6"/>
  <c r="M251" i="6" a="1"/>
  <c r="M251" i="6"/>
  <c r="N251" i="6" a="1"/>
  <c r="N251" i="6"/>
  <c r="O251" i="6"/>
  <c r="P251" i="6"/>
  <c r="Q251" i="6"/>
  <c r="R251" i="6"/>
  <c r="A252" i="6"/>
  <c r="B252" i="6"/>
  <c r="C252" i="6"/>
  <c r="G252" i="6"/>
  <c r="J252" i="6" s="1"/>
  <c r="K252" i="6"/>
  <c r="L252" i="6"/>
  <c r="M252" i="6" a="1"/>
  <c r="M252" i="6" s="1"/>
  <c r="N252" i="6" a="1"/>
  <c r="N252" i="6"/>
  <c r="O252" i="6"/>
  <c r="P252" i="6"/>
  <c r="Q252" i="6"/>
  <c r="R252" i="6"/>
  <c r="A253" i="6"/>
  <c r="B253" i="6"/>
  <c r="C253" i="6"/>
  <c r="G253" i="6"/>
  <c r="K253" i="6"/>
  <c r="L253" i="6"/>
  <c r="M253" i="6" a="1"/>
  <c r="M253" i="6"/>
  <c r="N253" i="6" a="1"/>
  <c r="N253" i="6"/>
  <c r="O253" i="6"/>
  <c r="P253" i="6"/>
  <c r="Q253" i="6"/>
  <c r="R253" i="6"/>
  <c r="A254" i="6"/>
  <c r="B254" i="6"/>
  <c r="C254" i="6"/>
  <c r="G254" i="6"/>
  <c r="H254" i="6" s="1"/>
  <c r="J254" i="6"/>
  <c r="K254" i="6"/>
  <c r="L254" i="6"/>
  <c r="M254" i="6" a="1"/>
  <c r="M254" i="6" s="1"/>
  <c r="N254" i="6" a="1"/>
  <c r="N254" i="6"/>
  <c r="O254" i="6"/>
  <c r="P254" i="6"/>
  <c r="Q254" i="6"/>
  <c r="R254" i="6"/>
  <c r="AB254" i="6"/>
  <c r="A255" i="6"/>
  <c r="B255" i="6"/>
  <c r="C255" i="6"/>
  <c r="G255" i="6"/>
  <c r="K255" i="6"/>
  <c r="L255" i="6"/>
  <c r="M255" i="6" a="1"/>
  <c r="M255" i="6" s="1"/>
  <c r="N255" i="6" a="1"/>
  <c r="N255" i="6" s="1"/>
  <c r="O255" i="6"/>
  <c r="P255" i="6"/>
  <c r="Q255" i="6"/>
  <c r="AB255" i="6" s="1"/>
  <c r="R255" i="6"/>
  <c r="S255" i="6"/>
  <c r="A256" i="6"/>
  <c r="B256" i="6"/>
  <c r="C256" i="6"/>
  <c r="G256" i="6"/>
  <c r="E256" i="6" s="1"/>
  <c r="H256" i="6"/>
  <c r="I256" i="6"/>
  <c r="J256" i="6"/>
  <c r="K256" i="6"/>
  <c r="L256" i="6"/>
  <c r="M256" i="6" a="1"/>
  <c r="M256" i="6"/>
  <c r="N256" i="6" a="1"/>
  <c r="N256" i="6"/>
  <c r="O256" i="6"/>
  <c r="P256" i="6"/>
  <c r="Q256" i="6"/>
  <c r="R256" i="6"/>
  <c r="AB256" i="6"/>
  <c r="A257" i="6"/>
  <c r="B257" i="6"/>
  <c r="C257" i="6"/>
  <c r="G257" i="6"/>
  <c r="H257" i="6"/>
  <c r="J257" i="6"/>
  <c r="K257" i="6"/>
  <c r="L257" i="6"/>
  <c r="M257" i="6" a="1"/>
  <c r="M257" i="6" s="1"/>
  <c r="N257" i="6" a="1"/>
  <c r="N257" i="6"/>
  <c r="O257" i="6"/>
  <c r="P257" i="6"/>
  <c r="Q257" i="6"/>
  <c r="R257" i="6"/>
  <c r="A258" i="6"/>
  <c r="B258" i="6"/>
  <c r="C258" i="6"/>
  <c r="G258" i="6"/>
  <c r="K258" i="6"/>
  <c r="L258" i="6"/>
  <c r="M258" i="6" a="1"/>
  <c r="M258" i="6" s="1"/>
  <c r="N258" i="6" a="1"/>
  <c r="N258" i="6"/>
  <c r="O258" i="6"/>
  <c r="P258" i="6"/>
  <c r="Q258" i="6"/>
  <c r="R258" i="6"/>
  <c r="AB258" i="6"/>
  <c r="A259" i="6"/>
  <c r="B259" i="6"/>
  <c r="C259" i="6"/>
  <c r="G259" i="6"/>
  <c r="E259" i="6" s="1"/>
  <c r="H259" i="6"/>
  <c r="I259" i="6"/>
  <c r="J259" i="6"/>
  <c r="K259" i="6"/>
  <c r="L259" i="6"/>
  <c r="M259" i="6" a="1"/>
  <c r="M259" i="6"/>
  <c r="N259" i="6" a="1"/>
  <c r="N259" i="6" s="1"/>
  <c r="O259" i="6"/>
  <c r="P259" i="6"/>
  <c r="Q259" i="6"/>
  <c r="R259" i="6"/>
  <c r="AB259" i="6" s="1"/>
  <c r="S259" i="6"/>
  <c r="A260" i="6"/>
  <c r="B260" i="6"/>
  <c r="C260" i="6"/>
  <c r="G260" i="6"/>
  <c r="H260" i="6"/>
  <c r="J260" i="6"/>
  <c r="K260" i="6"/>
  <c r="L260" i="6"/>
  <c r="M260" i="6" a="1"/>
  <c r="M260" i="6" s="1"/>
  <c r="N260" i="6" a="1"/>
  <c r="N260" i="6"/>
  <c r="O260" i="6"/>
  <c r="P260" i="6"/>
  <c r="Q260" i="6"/>
  <c r="R260" i="6"/>
  <c r="A261" i="6"/>
  <c r="B261" i="6"/>
  <c r="C261" i="6"/>
  <c r="G261" i="6"/>
  <c r="H261" i="6" s="1"/>
  <c r="I261" i="6"/>
  <c r="K261" i="6"/>
  <c r="L261" i="6"/>
  <c r="M261" i="6" a="1"/>
  <c r="M261" i="6"/>
  <c r="N261" i="6" a="1"/>
  <c r="N261" i="6"/>
  <c r="O261" i="6"/>
  <c r="P261" i="6"/>
  <c r="Q261" i="6"/>
  <c r="R261" i="6"/>
  <c r="A262" i="6"/>
  <c r="B262" i="6"/>
  <c r="C262" i="6"/>
  <c r="G262" i="6"/>
  <c r="E262" i="6" s="1"/>
  <c r="H262" i="6"/>
  <c r="I262" i="6"/>
  <c r="J262" i="6"/>
  <c r="K262" i="6"/>
  <c r="L262" i="6"/>
  <c r="M262" i="6" a="1"/>
  <c r="M262" i="6"/>
  <c r="N262" i="6" a="1"/>
  <c r="N262" i="6"/>
  <c r="O262" i="6"/>
  <c r="P262" i="6"/>
  <c r="Q262" i="6"/>
  <c r="R262" i="6"/>
  <c r="AB262" i="6"/>
  <c r="A263" i="6"/>
  <c r="B263" i="6"/>
  <c r="C263" i="6"/>
  <c r="G263" i="6"/>
  <c r="K263" i="6"/>
  <c r="L263" i="6"/>
  <c r="M263" i="6" a="1"/>
  <c r="M263" i="6"/>
  <c r="N263" i="6" a="1"/>
  <c r="N263" i="6"/>
  <c r="O263" i="6"/>
  <c r="P263" i="6"/>
  <c r="Q263" i="6"/>
  <c r="R263" i="6"/>
  <c r="A264" i="6"/>
  <c r="B264" i="6"/>
  <c r="C264" i="6"/>
  <c r="G264" i="6"/>
  <c r="J264" i="6" s="1"/>
  <c r="K264" i="6"/>
  <c r="L264" i="6"/>
  <c r="M264" i="6" a="1"/>
  <c r="M264" i="6" s="1"/>
  <c r="N264" i="6" a="1"/>
  <c r="N264" i="6"/>
  <c r="O264" i="6"/>
  <c r="P264" i="6"/>
  <c r="Q264" i="6"/>
  <c r="R264" i="6"/>
  <c r="A265" i="6"/>
  <c r="B265" i="6"/>
  <c r="C265" i="6"/>
  <c r="G265" i="6"/>
  <c r="E265" i="6" s="1"/>
  <c r="H265" i="6"/>
  <c r="I265" i="6"/>
  <c r="J265" i="6"/>
  <c r="K265" i="6"/>
  <c r="L265" i="6"/>
  <c r="M265" i="6" a="1"/>
  <c r="M265" i="6"/>
  <c r="N265" i="6" a="1"/>
  <c r="N265" i="6"/>
  <c r="O265" i="6"/>
  <c r="P265" i="6"/>
  <c r="Q265" i="6"/>
  <c r="R265" i="6"/>
  <c r="A266" i="6"/>
  <c r="B266" i="6"/>
  <c r="C266" i="6"/>
  <c r="G266" i="6"/>
  <c r="H266" i="6" s="1"/>
  <c r="J266" i="6"/>
  <c r="K266" i="6"/>
  <c r="L266" i="6"/>
  <c r="M266" i="6" a="1"/>
  <c r="M266" i="6" s="1"/>
  <c r="N266" i="6" a="1"/>
  <c r="N266" i="6"/>
  <c r="O266" i="6"/>
  <c r="P266" i="6"/>
  <c r="Q266" i="6"/>
  <c r="R266" i="6"/>
  <c r="AB266" i="6"/>
  <c r="A267" i="6"/>
  <c r="B267" i="6"/>
  <c r="C267" i="6"/>
  <c r="G267" i="6"/>
  <c r="K267" i="6"/>
  <c r="L267" i="6"/>
  <c r="M267" i="6" a="1"/>
  <c r="M267" i="6" s="1"/>
  <c r="N267" i="6" a="1"/>
  <c r="N267" i="6" s="1"/>
  <c r="O267" i="6"/>
  <c r="P267" i="6"/>
  <c r="Q267" i="6"/>
  <c r="AB267" i="6" s="1"/>
  <c r="R267" i="6"/>
  <c r="S267" i="6"/>
  <c r="A268" i="6"/>
  <c r="B268" i="6"/>
  <c r="C268" i="6"/>
  <c r="G268" i="6"/>
  <c r="H268" i="6"/>
  <c r="J268" i="6"/>
  <c r="K268" i="6"/>
  <c r="L268" i="6"/>
  <c r="M268" i="6" a="1"/>
  <c r="M268" i="6"/>
  <c r="N268" i="6" a="1"/>
  <c r="N268" i="6"/>
  <c r="O268" i="6"/>
  <c r="P268" i="6"/>
  <c r="Q268" i="6"/>
  <c r="R268" i="6"/>
  <c r="AB268" i="6"/>
  <c r="A269" i="6"/>
  <c r="B269" i="6"/>
  <c r="C269" i="6"/>
  <c r="G269" i="6"/>
  <c r="J269" i="6" s="1"/>
  <c r="H269" i="6"/>
  <c r="K269" i="6"/>
  <c r="L269" i="6"/>
  <c r="M269" i="6" a="1"/>
  <c r="M269" i="6" s="1"/>
  <c r="N269" i="6" a="1"/>
  <c r="N269" i="6"/>
  <c r="O269" i="6"/>
  <c r="P269" i="6"/>
  <c r="Q269" i="6"/>
  <c r="R269" i="6"/>
  <c r="A270" i="6"/>
  <c r="B270" i="6"/>
  <c r="C270" i="6"/>
  <c r="G270" i="6"/>
  <c r="K270" i="6"/>
  <c r="L270" i="6"/>
  <c r="M270" i="6" a="1"/>
  <c r="M270" i="6" s="1"/>
  <c r="N270" i="6" a="1"/>
  <c r="N270" i="6"/>
  <c r="O270" i="6"/>
  <c r="P270" i="6"/>
  <c r="Q270" i="6"/>
  <c r="R270" i="6"/>
  <c r="AB270" i="6"/>
  <c r="A271" i="6"/>
  <c r="B271" i="6"/>
  <c r="C271" i="6"/>
  <c r="G271" i="6"/>
  <c r="K271" i="6"/>
  <c r="L271" i="6"/>
  <c r="M271" i="6" a="1"/>
  <c r="M271" i="6"/>
  <c r="N271" i="6" a="1"/>
  <c r="N271" i="6" s="1"/>
  <c r="S271" i="6" s="1"/>
  <c r="O271" i="6"/>
  <c r="P271" i="6"/>
  <c r="Q271" i="6"/>
  <c r="R271" i="6"/>
  <c r="AB271" i="6" s="1"/>
  <c r="A272" i="6"/>
  <c r="B272" i="6"/>
  <c r="C272" i="6"/>
  <c r="G272" i="6"/>
  <c r="H272" i="6"/>
  <c r="J272" i="6"/>
  <c r="K272" i="6"/>
  <c r="L272" i="6"/>
  <c r="M272" i="6" a="1"/>
  <c r="M272" i="6" s="1"/>
  <c r="N272" i="6" a="1"/>
  <c r="N272" i="6"/>
  <c r="O272" i="6"/>
  <c r="P272" i="6"/>
  <c r="Q272" i="6"/>
  <c r="R272" i="6"/>
  <c r="A273" i="6"/>
  <c r="B273" i="6"/>
  <c r="C273" i="6"/>
  <c r="G273" i="6"/>
  <c r="K273" i="6"/>
  <c r="L273" i="6"/>
  <c r="M273" i="6" a="1"/>
  <c r="M273" i="6"/>
  <c r="N273" i="6" a="1"/>
  <c r="N273" i="6"/>
  <c r="O273" i="6"/>
  <c r="P273" i="6"/>
  <c r="Q273" i="6"/>
  <c r="R273" i="6"/>
  <c r="A274" i="6"/>
  <c r="B274" i="6"/>
  <c r="C274" i="6"/>
  <c r="G274" i="6"/>
  <c r="H274" i="6"/>
  <c r="I274" i="6"/>
  <c r="K274" i="6"/>
  <c r="L274" i="6"/>
  <c r="M274" i="6" a="1"/>
  <c r="M274" i="6"/>
  <c r="N274" i="6" a="1"/>
  <c r="N274" i="6"/>
  <c r="O274" i="6"/>
  <c r="P274" i="6"/>
  <c r="Q274" i="6"/>
  <c r="R274" i="6"/>
  <c r="AB274" i="6"/>
  <c r="A275" i="6"/>
  <c r="B275" i="6"/>
  <c r="C275" i="6"/>
  <c r="G275" i="6"/>
  <c r="J275" i="6" s="1"/>
  <c r="K275" i="6"/>
  <c r="L275" i="6"/>
  <c r="M275" i="6" a="1"/>
  <c r="M275" i="6"/>
  <c r="N275" i="6" a="1"/>
  <c r="N275" i="6"/>
  <c r="O275" i="6"/>
  <c r="P275" i="6"/>
  <c r="Q275" i="6"/>
  <c r="R275" i="6"/>
  <c r="A276" i="6"/>
  <c r="B276" i="6"/>
  <c r="C276" i="6"/>
  <c r="G276" i="6"/>
  <c r="J276" i="6" s="1"/>
  <c r="K276" i="6"/>
  <c r="L276" i="6"/>
  <c r="M276" i="6" a="1"/>
  <c r="M276" i="6" s="1"/>
  <c r="N276" i="6" a="1"/>
  <c r="N276" i="6"/>
  <c r="O276" i="6"/>
  <c r="P276" i="6"/>
  <c r="Q276" i="6"/>
  <c r="R276" i="6"/>
  <c r="A277" i="6"/>
  <c r="B277" i="6"/>
  <c r="C277" i="6"/>
  <c r="G277" i="6"/>
  <c r="E277" i="6" s="1"/>
  <c r="K277" i="6"/>
  <c r="L277" i="6"/>
  <c r="M277" i="6" a="1"/>
  <c r="M277" i="6"/>
  <c r="N277" i="6" a="1"/>
  <c r="N277" i="6"/>
  <c r="O277" i="6"/>
  <c r="P277" i="6"/>
  <c r="Q277" i="6"/>
  <c r="R277" i="6"/>
  <c r="A278" i="6"/>
  <c r="B278" i="6"/>
  <c r="C278" i="6"/>
  <c r="G278" i="6"/>
  <c r="H278" i="6"/>
  <c r="J278" i="6"/>
  <c r="K278" i="6"/>
  <c r="L278" i="6"/>
  <c r="M278" i="6" a="1"/>
  <c r="M278" i="6" s="1"/>
  <c r="N278" i="6" a="1"/>
  <c r="N278" i="6"/>
  <c r="O278" i="6"/>
  <c r="P278" i="6"/>
  <c r="Q278" i="6"/>
  <c r="R278" i="6"/>
  <c r="AB278" i="6"/>
  <c r="A279" i="6"/>
  <c r="B279" i="6"/>
  <c r="C279" i="6"/>
  <c r="G279" i="6"/>
  <c r="I279" i="6"/>
  <c r="K279" i="6"/>
  <c r="L279" i="6"/>
  <c r="M279" i="6" a="1"/>
  <c r="M279" i="6" s="1"/>
  <c r="N279" i="6" a="1"/>
  <c r="N279" i="6" s="1"/>
  <c r="O279" i="6"/>
  <c r="P279" i="6"/>
  <c r="Q279" i="6"/>
  <c r="AB279" i="6" s="1"/>
  <c r="R279" i="6"/>
  <c r="S279" i="6"/>
  <c r="A280" i="6"/>
  <c r="B280" i="6"/>
  <c r="C280" i="6"/>
  <c r="G280" i="6"/>
  <c r="E280" i="6" s="1"/>
  <c r="H280" i="6"/>
  <c r="I280" i="6"/>
  <c r="J280" i="6"/>
  <c r="K280" i="6"/>
  <c r="L280" i="6"/>
  <c r="M280" i="6" a="1"/>
  <c r="M280" i="6"/>
  <c r="N280" i="6" a="1"/>
  <c r="N280" i="6"/>
  <c r="S280" i="6" s="1"/>
  <c r="O280" i="6"/>
  <c r="P280" i="6"/>
  <c r="Q280" i="6"/>
  <c r="R280" i="6"/>
  <c r="AB280" i="6"/>
  <c r="A281" i="6"/>
  <c r="B281" i="6"/>
  <c r="C281" i="6"/>
  <c r="G281" i="6"/>
  <c r="J281" i="6" s="1"/>
  <c r="H281" i="6"/>
  <c r="K281" i="6"/>
  <c r="L281" i="6"/>
  <c r="M281" i="6" a="1"/>
  <c r="M281" i="6" s="1"/>
  <c r="N281" i="6" a="1"/>
  <c r="N281" i="6"/>
  <c r="O281" i="6"/>
  <c r="P281" i="6"/>
  <c r="Q281" i="6"/>
  <c r="R281" i="6"/>
  <c r="A282" i="6"/>
  <c r="B282" i="6"/>
  <c r="C282" i="6"/>
  <c r="G282" i="6"/>
  <c r="K282" i="6"/>
  <c r="L282" i="6"/>
  <c r="M282" i="6" a="1"/>
  <c r="M282" i="6" s="1"/>
  <c r="N282" i="6" a="1"/>
  <c r="N282" i="6"/>
  <c r="O282" i="6"/>
  <c r="P282" i="6"/>
  <c r="Q282" i="6"/>
  <c r="R282" i="6"/>
  <c r="AB282" i="6"/>
  <c r="A283" i="6"/>
  <c r="B283" i="6"/>
  <c r="C283" i="6"/>
  <c r="G283" i="6"/>
  <c r="H283" i="6"/>
  <c r="J283" i="6"/>
  <c r="K283" i="6"/>
  <c r="L283" i="6"/>
  <c r="M283" i="6" a="1"/>
  <c r="M283" i="6"/>
  <c r="N283" i="6" a="1"/>
  <c r="N283" i="6" s="1"/>
  <c r="S283" i="6" s="1"/>
  <c r="O283" i="6"/>
  <c r="P283" i="6"/>
  <c r="Q283" i="6"/>
  <c r="R283" i="6"/>
  <c r="AB283" i="6" s="1"/>
  <c r="A284" i="6"/>
  <c r="B284" i="6"/>
  <c r="C284" i="6"/>
  <c r="G284" i="6"/>
  <c r="H284" i="6" s="1"/>
  <c r="K284" i="6"/>
  <c r="L284" i="6"/>
  <c r="M284" i="6" a="1"/>
  <c r="M284" i="6" s="1"/>
  <c r="N284" i="6" a="1"/>
  <c r="N284" i="6"/>
  <c r="O284" i="6"/>
  <c r="P284" i="6"/>
  <c r="Q284" i="6"/>
  <c r="R284" i="6"/>
  <c r="A285" i="6"/>
  <c r="B285" i="6"/>
  <c r="C285" i="6"/>
  <c r="G285" i="6"/>
  <c r="J285" i="6"/>
  <c r="K285" i="6"/>
  <c r="L285" i="6"/>
  <c r="M285" i="6" a="1"/>
  <c r="M285" i="6"/>
  <c r="N285" i="6" a="1"/>
  <c r="N285" i="6"/>
  <c r="O285" i="6"/>
  <c r="P285" i="6"/>
  <c r="Q285" i="6"/>
  <c r="R285" i="6"/>
  <c r="A286" i="6"/>
  <c r="B286" i="6"/>
  <c r="C286" i="6"/>
  <c r="G286" i="6"/>
  <c r="K286" i="6"/>
  <c r="L286" i="6"/>
  <c r="M286" i="6" a="1"/>
  <c r="M286" i="6"/>
  <c r="N286" i="6" a="1"/>
  <c r="N286" i="6"/>
  <c r="O286" i="6"/>
  <c r="P286" i="6"/>
  <c r="Q286" i="6"/>
  <c r="R286" i="6"/>
  <c r="AB286" i="6"/>
  <c r="A287" i="6"/>
  <c r="B287" i="6"/>
  <c r="C287" i="6"/>
  <c r="G287" i="6"/>
  <c r="K287" i="6"/>
  <c r="L287" i="6"/>
  <c r="M287" i="6" a="1"/>
  <c r="M287" i="6"/>
  <c r="N287" i="6" a="1"/>
  <c r="N287" i="6"/>
  <c r="O287" i="6"/>
  <c r="P287" i="6"/>
  <c r="Q287" i="6"/>
  <c r="R287" i="6"/>
  <c r="A288" i="6"/>
  <c r="B288" i="6"/>
  <c r="C288" i="6"/>
  <c r="G288" i="6"/>
  <c r="J288" i="6" s="1"/>
  <c r="K288" i="6"/>
  <c r="L288" i="6"/>
  <c r="M288" i="6" a="1"/>
  <c r="M288" i="6" s="1"/>
  <c r="N288" i="6" a="1"/>
  <c r="N288" i="6"/>
  <c r="O288" i="6"/>
  <c r="P288" i="6"/>
  <c r="Q288" i="6"/>
  <c r="R288" i="6"/>
  <c r="A289" i="6"/>
  <c r="B289" i="6"/>
  <c r="C289" i="6"/>
  <c r="G289" i="6"/>
  <c r="E289" i="6" s="1"/>
  <c r="H289" i="6"/>
  <c r="I289" i="6"/>
  <c r="J289" i="6"/>
  <c r="K289" i="6"/>
  <c r="L289" i="6"/>
  <c r="M289" i="6" a="1"/>
  <c r="M289" i="6"/>
  <c r="N289" i="6" a="1"/>
  <c r="N289" i="6"/>
  <c r="O289" i="6"/>
  <c r="P289" i="6"/>
  <c r="Q289" i="6"/>
  <c r="R289" i="6"/>
  <c r="A290" i="6"/>
  <c r="B290" i="6"/>
  <c r="C290" i="6"/>
  <c r="G290" i="6"/>
  <c r="H290" i="6"/>
  <c r="J290" i="6"/>
  <c r="K290" i="6"/>
  <c r="L290" i="6"/>
  <c r="M290" i="6" a="1"/>
  <c r="M290" i="6" s="1"/>
  <c r="N290" i="6" a="1"/>
  <c r="N290" i="6"/>
  <c r="O290" i="6"/>
  <c r="P290" i="6"/>
  <c r="Q290" i="6"/>
  <c r="R290" i="6"/>
  <c r="AB290" i="6"/>
  <c r="A291" i="6"/>
  <c r="B291" i="6"/>
  <c r="C291" i="6"/>
  <c r="G291" i="6"/>
  <c r="K291" i="6"/>
  <c r="L291" i="6"/>
  <c r="M291" i="6" a="1"/>
  <c r="M291" i="6" s="1"/>
  <c r="N291" i="6" a="1"/>
  <c r="N291" i="6" s="1"/>
  <c r="O291" i="6"/>
  <c r="P291" i="6"/>
  <c r="Q291" i="6"/>
  <c r="AB291" i="6" s="1"/>
  <c r="R291" i="6"/>
  <c r="S291" i="6"/>
  <c r="A292" i="6"/>
  <c r="B292" i="6"/>
  <c r="C292" i="6"/>
  <c r="G292" i="6"/>
  <c r="K292" i="6"/>
  <c r="L292" i="6"/>
  <c r="M292" i="6" a="1"/>
  <c r="M292" i="6"/>
  <c r="N292" i="6" a="1"/>
  <c r="N292" i="6"/>
  <c r="O292" i="6"/>
  <c r="P292" i="6"/>
  <c r="Q292" i="6"/>
  <c r="R292" i="6"/>
  <c r="AB292" i="6"/>
  <c r="A293" i="6"/>
  <c r="B293" i="6"/>
  <c r="C293" i="6"/>
  <c r="G293" i="6"/>
  <c r="H293" i="6" s="1"/>
  <c r="J293" i="6"/>
  <c r="K293" i="6"/>
  <c r="L293" i="6"/>
  <c r="M293" i="6" a="1"/>
  <c r="M293" i="6" s="1"/>
  <c r="N293" i="6" a="1"/>
  <c r="N293" i="6"/>
  <c r="O293" i="6"/>
  <c r="P293" i="6"/>
  <c r="Q293" i="6"/>
  <c r="R293" i="6"/>
  <c r="A294" i="6"/>
  <c r="B294" i="6"/>
  <c r="C294" i="6"/>
  <c r="G294" i="6"/>
  <c r="K294" i="6"/>
  <c r="L294" i="6"/>
  <c r="M294" i="6" a="1"/>
  <c r="M294" i="6" s="1"/>
  <c r="N294" i="6" a="1"/>
  <c r="N294" i="6"/>
  <c r="O294" i="6"/>
  <c r="P294" i="6"/>
  <c r="Q294" i="6"/>
  <c r="R294" i="6"/>
  <c r="AB294" i="6"/>
  <c r="A295" i="6"/>
  <c r="B295" i="6"/>
  <c r="C295" i="6"/>
  <c r="G295" i="6"/>
  <c r="H295" i="6"/>
  <c r="J295" i="6"/>
  <c r="K295" i="6"/>
  <c r="L295" i="6"/>
  <c r="M295" i="6" a="1"/>
  <c r="M295" i="6"/>
  <c r="N295" i="6" a="1"/>
  <c r="N295" i="6" s="1"/>
  <c r="O295" i="6"/>
  <c r="P295" i="6"/>
  <c r="Q295" i="6"/>
  <c r="R295" i="6"/>
  <c r="AB295" i="6" s="1"/>
  <c r="S295" i="6"/>
  <c r="A296" i="6"/>
  <c r="B296" i="6"/>
  <c r="C296" i="6"/>
  <c r="G296" i="6"/>
  <c r="H296" i="6" s="1"/>
  <c r="J296" i="6"/>
  <c r="K296" i="6"/>
  <c r="L296" i="6"/>
  <c r="M296" i="6" a="1"/>
  <c r="M296" i="6" s="1"/>
  <c r="N296" i="6" a="1"/>
  <c r="N296" i="6"/>
  <c r="O296" i="6"/>
  <c r="P296" i="6"/>
  <c r="Q296" i="6"/>
  <c r="R296" i="6"/>
  <c r="A297" i="6"/>
  <c r="B297" i="6"/>
  <c r="C297" i="6"/>
  <c r="G297" i="6"/>
  <c r="E297" i="6" s="1"/>
  <c r="H297" i="6"/>
  <c r="I297" i="6"/>
  <c r="J297" i="6"/>
  <c r="K297" i="6"/>
  <c r="L297" i="6"/>
  <c r="M297" i="6" a="1"/>
  <c r="M297" i="6"/>
  <c r="N297" i="6" a="1"/>
  <c r="N297" i="6"/>
  <c r="O297" i="6"/>
  <c r="P297" i="6"/>
  <c r="Q297" i="6"/>
  <c r="R297" i="6"/>
  <c r="A298" i="6"/>
  <c r="B298" i="6"/>
  <c r="C298" i="6"/>
  <c r="G298" i="6"/>
  <c r="I298" i="6"/>
  <c r="J298" i="6"/>
  <c r="K298" i="6"/>
  <c r="L298" i="6"/>
  <c r="M298" i="6" a="1"/>
  <c r="M298" i="6"/>
  <c r="N298" i="6" a="1"/>
  <c r="N298" i="6"/>
  <c r="O298" i="6"/>
  <c r="P298" i="6"/>
  <c r="Q298" i="6"/>
  <c r="R298" i="6"/>
  <c r="AB298" i="6"/>
  <c r="A299" i="6"/>
  <c r="B299" i="6"/>
  <c r="C299" i="6"/>
  <c r="G299" i="6"/>
  <c r="K299" i="6"/>
  <c r="L299" i="6"/>
  <c r="M299" i="6" a="1"/>
  <c r="M299" i="6"/>
  <c r="N299" i="6" a="1"/>
  <c r="N299" i="6"/>
  <c r="O299" i="6"/>
  <c r="P299" i="6"/>
  <c r="Q299" i="6"/>
  <c r="R299" i="6"/>
  <c r="A300" i="6"/>
  <c r="B300" i="6"/>
  <c r="C300" i="6"/>
  <c r="G300" i="6"/>
  <c r="J300" i="6"/>
  <c r="K300" i="6"/>
  <c r="L300" i="6"/>
  <c r="M300" i="6" a="1"/>
  <c r="M300" i="6" s="1"/>
  <c r="N300" i="6" a="1"/>
  <c r="N300" i="6"/>
  <c r="O300" i="6"/>
  <c r="P300" i="6"/>
  <c r="Q300" i="6"/>
  <c r="R300" i="6"/>
  <c r="A301" i="6"/>
  <c r="B301" i="6"/>
  <c r="C301" i="6"/>
  <c r="G301" i="6"/>
  <c r="K301" i="6"/>
  <c r="L301" i="6"/>
  <c r="M301" i="6" a="1"/>
  <c r="M301" i="6"/>
  <c r="N301" i="6" a="1"/>
  <c r="N301" i="6"/>
  <c r="O301" i="6"/>
  <c r="P301" i="6"/>
  <c r="Q301" i="6"/>
  <c r="R301" i="6"/>
  <c r="A302" i="6"/>
  <c r="B302" i="6"/>
  <c r="C302" i="6"/>
  <c r="G302" i="6"/>
  <c r="H302" i="6"/>
  <c r="J302" i="6"/>
  <c r="K302" i="6"/>
  <c r="L302" i="6"/>
  <c r="M302" i="6" a="1"/>
  <c r="M302" i="6" s="1"/>
  <c r="N302" i="6" a="1"/>
  <c r="N302" i="6"/>
  <c r="O302" i="6"/>
  <c r="P302" i="6"/>
  <c r="Q302" i="6"/>
  <c r="R302" i="6"/>
  <c r="AB302" i="6"/>
  <c r="A303" i="6"/>
  <c r="B303" i="6"/>
  <c r="C303" i="6"/>
  <c r="G303" i="6"/>
  <c r="K303" i="6"/>
  <c r="L303" i="6"/>
  <c r="M303" i="6" a="1"/>
  <c r="M303" i="6" s="1"/>
  <c r="N303" i="6" a="1"/>
  <c r="N303" i="6" s="1"/>
  <c r="O303" i="6"/>
  <c r="P303" i="6"/>
  <c r="Q303" i="6"/>
  <c r="AB303" i="6" s="1"/>
  <c r="R303" i="6"/>
  <c r="S303" i="6"/>
  <c r="A304" i="6"/>
  <c r="B304" i="6"/>
  <c r="C304" i="6"/>
  <c r="G304" i="6"/>
  <c r="E304" i="6" s="1"/>
  <c r="H304" i="6"/>
  <c r="I304" i="6"/>
  <c r="J304" i="6"/>
  <c r="K304" i="6"/>
  <c r="L304" i="6"/>
  <c r="M304" i="6" a="1"/>
  <c r="M304" i="6"/>
  <c r="N304" i="6" a="1"/>
  <c r="N304" i="6"/>
  <c r="O304" i="6"/>
  <c r="P304" i="6"/>
  <c r="Q304" i="6"/>
  <c r="R304" i="6"/>
  <c r="AB304" i="6"/>
  <c r="A305" i="6"/>
  <c r="B305" i="6"/>
  <c r="C305" i="6"/>
  <c r="G305" i="6"/>
  <c r="H305" i="6"/>
  <c r="J305" i="6"/>
  <c r="K305" i="6"/>
  <c r="L305" i="6"/>
  <c r="M305" i="6" a="1"/>
  <c r="M305" i="6" s="1"/>
  <c r="N305" i="6" a="1"/>
  <c r="N305" i="6"/>
  <c r="O305" i="6"/>
  <c r="P305" i="6"/>
  <c r="Q305" i="6"/>
  <c r="R305" i="6"/>
  <c r="A306" i="6"/>
  <c r="B306" i="6"/>
  <c r="C306" i="6"/>
  <c r="G306" i="6"/>
  <c r="K306" i="6"/>
  <c r="L306" i="6"/>
  <c r="M306" i="6" a="1"/>
  <c r="M306" i="6" s="1"/>
  <c r="N306" i="6" a="1"/>
  <c r="N306" i="6"/>
  <c r="O306" i="6"/>
  <c r="P306" i="6"/>
  <c r="Q306" i="6"/>
  <c r="R306" i="6"/>
  <c r="AB306" i="6"/>
  <c r="A307" i="6"/>
  <c r="B307" i="6"/>
  <c r="C307" i="6"/>
  <c r="G307" i="6"/>
  <c r="E307" i="6" s="1"/>
  <c r="H307" i="6"/>
  <c r="I307" i="6"/>
  <c r="J307" i="6"/>
  <c r="K307" i="6"/>
  <c r="L307" i="6"/>
  <c r="M307" i="6" a="1"/>
  <c r="M307" i="6"/>
  <c r="N307" i="6" a="1"/>
  <c r="N307" i="6" s="1"/>
  <c r="S307" i="6" s="1"/>
  <c r="O307" i="6"/>
  <c r="P307" i="6"/>
  <c r="Q307" i="6"/>
  <c r="R307" i="6"/>
  <c r="AB307" i="6" s="1"/>
  <c r="A308" i="6"/>
  <c r="B308" i="6"/>
  <c r="C308" i="6"/>
  <c r="G308" i="6"/>
  <c r="J308" i="6" s="1"/>
  <c r="K308" i="6"/>
  <c r="L308" i="6"/>
  <c r="M308" i="6" a="1"/>
  <c r="M308" i="6" s="1"/>
  <c r="N308" i="6" a="1"/>
  <c r="N308" i="6"/>
  <c r="O308" i="6"/>
  <c r="P308" i="6"/>
  <c r="Q308" i="6"/>
  <c r="R308" i="6"/>
  <c r="A309" i="6"/>
  <c r="B309" i="6"/>
  <c r="C309" i="6"/>
  <c r="G309" i="6"/>
  <c r="K309" i="6"/>
  <c r="L309" i="6"/>
  <c r="M309" i="6" a="1"/>
  <c r="M309" i="6" s="1"/>
  <c r="N309" i="6" a="1"/>
  <c r="N309" i="6" s="1"/>
  <c r="O309" i="6"/>
  <c r="P309" i="6"/>
  <c r="Q309" i="6"/>
  <c r="R309" i="6"/>
  <c r="A310" i="6"/>
  <c r="B310" i="6"/>
  <c r="C310" i="6"/>
  <c r="G310" i="6"/>
  <c r="E310" i="6" s="1"/>
  <c r="H310" i="6"/>
  <c r="I310" i="6"/>
  <c r="J310" i="6"/>
  <c r="K310" i="6"/>
  <c r="L310" i="6"/>
  <c r="M310" i="6" a="1"/>
  <c r="M310" i="6"/>
  <c r="N310" i="6" a="1"/>
  <c r="N310" i="6" s="1"/>
  <c r="S310" i="6" s="1"/>
  <c r="O310" i="6"/>
  <c r="P310" i="6"/>
  <c r="Q310" i="6"/>
  <c r="R310" i="6"/>
  <c r="AB310" i="6"/>
  <c r="A311" i="6"/>
  <c r="B311" i="6"/>
  <c r="C311" i="6"/>
  <c r="G311" i="6"/>
  <c r="J311" i="6"/>
  <c r="K311" i="6"/>
  <c r="L311" i="6"/>
  <c r="M311" i="6" a="1"/>
  <c r="M311" i="6"/>
  <c r="N311" i="6" a="1"/>
  <c r="N311" i="6"/>
  <c r="O311" i="6"/>
  <c r="P311" i="6"/>
  <c r="Q311" i="6"/>
  <c r="R311" i="6"/>
  <c r="A312" i="6"/>
  <c r="B312" i="6"/>
  <c r="C312" i="6"/>
  <c r="G312" i="6"/>
  <c r="I312" i="6"/>
  <c r="K312" i="6"/>
  <c r="L312" i="6"/>
  <c r="M312" i="6" a="1"/>
  <c r="M312" i="6" s="1"/>
  <c r="N312" i="6" a="1"/>
  <c r="N312" i="6"/>
  <c r="O312" i="6"/>
  <c r="P312" i="6"/>
  <c r="Q312" i="6"/>
  <c r="R312" i="6"/>
  <c r="AB312" i="6"/>
  <c r="A313" i="6"/>
  <c r="B313" i="6"/>
  <c r="C313" i="6"/>
  <c r="G313" i="6"/>
  <c r="E313" i="6" s="1"/>
  <c r="H313" i="6"/>
  <c r="I313" i="6"/>
  <c r="J313" i="6"/>
  <c r="K313" i="6"/>
  <c r="L313" i="6"/>
  <c r="M313" i="6" a="1"/>
  <c r="M313" i="6"/>
  <c r="N313" i="6" a="1"/>
  <c r="N313" i="6" s="1"/>
  <c r="S313" i="6" s="1"/>
  <c r="O313" i="6"/>
  <c r="P313" i="6"/>
  <c r="Q313" i="6"/>
  <c r="R313" i="6"/>
  <c r="AB313" i="6"/>
  <c r="A314" i="6"/>
  <c r="B314" i="6"/>
  <c r="C314" i="6"/>
  <c r="G314" i="6"/>
  <c r="H314" i="6" s="1"/>
  <c r="K314" i="6"/>
  <c r="L314" i="6"/>
  <c r="M314" i="6" a="1"/>
  <c r="M314" i="6" s="1"/>
  <c r="N314" i="6" a="1"/>
  <c r="N314" i="6"/>
  <c r="O314" i="6"/>
  <c r="P314" i="6"/>
  <c r="Q314" i="6"/>
  <c r="R314" i="6"/>
  <c r="AB314" i="6"/>
  <c r="A315" i="6"/>
  <c r="B315" i="6"/>
  <c r="C315" i="6"/>
  <c r="G315" i="6"/>
  <c r="I315" i="6"/>
  <c r="K315" i="6"/>
  <c r="L315" i="6"/>
  <c r="M315" i="6" a="1"/>
  <c r="M315" i="6" s="1"/>
  <c r="N315" i="6" a="1"/>
  <c r="N315" i="6" s="1"/>
  <c r="O315" i="6"/>
  <c r="P315" i="6"/>
  <c r="Q315" i="6"/>
  <c r="AB315" i="6" s="1"/>
  <c r="R315" i="6"/>
  <c r="A316" i="6"/>
  <c r="B316" i="6"/>
  <c r="C316" i="6"/>
  <c r="G316" i="6"/>
  <c r="H316" i="6"/>
  <c r="J316" i="6"/>
  <c r="K316" i="6"/>
  <c r="L316" i="6"/>
  <c r="M316" i="6" a="1"/>
  <c r="M316" i="6"/>
  <c r="N316" i="6" a="1"/>
  <c r="N316" i="6" s="1"/>
  <c r="O316" i="6"/>
  <c r="P316" i="6"/>
  <c r="Q316" i="6"/>
  <c r="R316" i="6"/>
  <c r="S316" i="6"/>
  <c r="AB316" i="6"/>
  <c r="A317" i="6"/>
  <c r="B317" i="6"/>
  <c r="C317" i="6"/>
  <c r="G317" i="6"/>
  <c r="K317" i="6"/>
  <c r="L317" i="6"/>
  <c r="M317" i="6" a="1"/>
  <c r="M317" i="6"/>
  <c r="N317" i="6" a="1"/>
  <c r="N317" i="6"/>
  <c r="O317" i="6"/>
  <c r="P317" i="6"/>
  <c r="Q317" i="6"/>
  <c r="R317" i="6"/>
  <c r="A318" i="6"/>
  <c r="B318" i="6"/>
  <c r="C318" i="6"/>
  <c r="G318" i="6"/>
  <c r="I318" i="6"/>
  <c r="K318" i="6"/>
  <c r="L318" i="6"/>
  <c r="M318" i="6" a="1"/>
  <c r="M318" i="6" s="1"/>
  <c r="N318" i="6" a="1"/>
  <c r="N318" i="6"/>
  <c r="S318" i="6" s="1"/>
  <c r="O318" i="6"/>
  <c r="P318" i="6"/>
  <c r="Q318" i="6"/>
  <c r="AB318" i="6" s="1"/>
  <c r="R318" i="6"/>
  <c r="A319" i="6"/>
  <c r="B319" i="6"/>
  <c r="C319" i="6"/>
  <c r="G319" i="6"/>
  <c r="E319" i="6" s="1"/>
  <c r="H319" i="6"/>
  <c r="I319" i="6"/>
  <c r="J319" i="6"/>
  <c r="K319" i="6"/>
  <c r="L319" i="6"/>
  <c r="M319" i="6" a="1"/>
  <c r="M319" i="6"/>
  <c r="N319" i="6" a="1"/>
  <c r="N319" i="6" s="1"/>
  <c r="S319" i="6" s="1"/>
  <c r="O319" i="6"/>
  <c r="P319" i="6"/>
  <c r="Q319" i="6"/>
  <c r="R319" i="6"/>
  <c r="AB319" i="6"/>
  <c r="A320" i="6"/>
  <c r="B320" i="6"/>
  <c r="C320" i="6"/>
  <c r="G320" i="6"/>
  <c r="H320" i="6" s="1"/>
  <c r="K320" i="6"/>
  <c r="L320" i="6"/>
  <c r="M320" i="6" a="1"/>
  <c r="M320" i="6" s="1"/>
  <c r="N320" i="6" a="1"/>
  <c r="N320" i="6"/>
  <c r="O320" i="6"/>
  <c r="P320" i="6"/>
  <c r="Q320" i="6"/>
  <c r="R320" i="6"/>
  <c r="AB320" i="6"/>
  <c r="A321" i="6"/>
  <c r="B321" i="6"/>
  <c r="C321" i="6"/>
  <c r="G321" i="6"/>
  <c r="K321" i="6"/>
  <c r="L321" i="6"/>
  <c r="M321" i="6" a="1"/>
  <c r="M321" i="6" s="1"/>
  <c r="N321" i="6" a="1"/>
  <c r="N321" i="6" s="1"/>
  <c r="O321" i="6"/>
  <c r="P321" i="6"/>
  <c r="Q321" i="6"/>
  <c r="AB321" i="6" s="1"/>
  <c r="R321" i="6"/>
  <c r="S321" i="6"/>
  <c r="A322" i="6"/>
  <c r="B322" i="6"/>
  <c r="C322" i="6"/>
  <c r="G322" i="6"/>
  <c r="E322" i="6" s="1"/>
  <c r="H322" i="6"/>
  <c r="I322" i="6"/>
  <c r="J322" i="6"/>
  <c r="K322" i="6"/>
  <c r="L322" i="6"/>
  <c r="M322" i="6" a="1"/>
  <c r="M322" i="6"/>
  <c r="N322" i="6" a="1"/>
  <c r="N322" i="6" s="1"/>
  <c r="O322" i="6"/>
  <c r="P322" i="6"/>
  <c r="Q322" i="6"/>
  <c r="R322" i="6"/>
  <c r="S322" i="6"/>
  <c r="AB322" i="6"/>
  <c r="A323" i="6"/>
  <c r="B323" i="6"/>
  <c r="C323" i="6"/>
  <c r="G323" i="6"/>
  <c r="K323" i="6"/>
  <c r="L323" i="6"/>
  <c r="M323" i="6" a="1"/>
  <c r="M323" i="6"/>
  <c r="N323" i="6" a="1"/>
  <c r="N323" i="6"/>
  <c r="O323" i="6"/>
  <c r="P323" i="6"/>
  <c r="Q323" i="6"/>
  <c r="R323" i="6"/>
  <c r="A324" i="6"/>
  <c r="B324" i="6"/>
  <c r="C324" i="6"/>
  <c r="G324" i="6"/>
  <c r="I324" i="6" s="1"/>
  <c r="K324" i="6"/>
  <c r="L324" i="6"/>
  <c r="M324" i="6" a="1"/>
  <c r="M324" i="6" s="1"/>
  <c r="N324" i="6" a="1"/>
  <c r="N324" i="6"/>
  <c r="O324" i="6"/>
  <c r="P324" i="6"/>
  <c r="Q324" i="6"/>
  <c r="AB324" i="6" s="1"/>
  <c r="R324" i="6"/>
  <c r="A325" i="6"/>
  <c r="B325" i="6"/>
  <c r="C325" i="6"/>
  <c r="G325" i="6"/>
  <c r="H325" i="6"/>
  <c r="J325" i="6"/>
  <c r="K325" i="6"/>
  <c r="L325" i="6"/>
  <c r="M325" i="6" a="1"/>
  <c r="M325" i="6"/>
  <c r="N325" i="6" a="1"/>
  <c r="N325" i="6" s="1"/>
  <c r="O325" i="6"/>
  <c r="P325" i="6"/>
  <c r="Q325" i="6"/>
  <c r="R325" i="6"/>
  <c r="S325" i="6"/>
  <c r="AB325" i="6"/>
  <c r="A326" i="6"/>
  <c r="B326" i="6"/>
  <c r="C326" i="6"/>
  <c r="G326" i="6"/>
  <c r="H326" i="6"/>
  <c r="J326" i="6"/>
  <c r="K326" i="6"/>
  <c r="L326" i="6"/>
  <c r="M326" i="6" a="1"/>
  <c r="M326" i="6" s="1"/>
  <c r="N326" i="6" a="1"/>
  <c r="N326" i="6"/>
  <c r="O326" i="6"/>
  <c r="P326" i="6"/>
  <c r="Q326" i="6"/>
  <c r="R326" i="6"/>
  <c r="AB326" i="6"/>
  <c r="A327" i="6"/>
  <c r="B327" i="6"/>
  <c r="C327" i="6"/>
  <c r="G327" i="6"/>
  <c r="K327" i="6"/>
  <c r="L327" i="6"/>
  <c r="M327" i="6" a="1"/>
  <c r="M327" i="6" s="1"/>
  <c r="N327" i="6" a="1"/>
  <c r="N327" i="6" s="1"/>
  <c r="O327" i="6"/>
  <c r="P327" i="6"/>
  <c r="Q327" i="6"/>
  <c r="AB327" i="6" s="1"/>
  <c r="R327" i="6"/>
  <c r="S327" i="6"/>
  <c r="A328" i="6"/>
  <c r="B328" i="6"/>
  <c r="C328" i="6"/>
  <c r="G328" i="6"/>
  <c r="E328" i="6" s="1"/>
  <c r="I328" i="6"/>
  <c r="J328" i="6"/>
  <c r="K328" i="6"/>
  <c r="L328" i="6"/>
  <c r="M328" i="6" a="1"/>
  <c r="M328" i="6"/>
  <c r="N328" i="6" a="1"/>
  <c r="N328" i="6"/>
  <c r="S328" i="6" s="1"/>
  <c r="O328" i="6"/>
  <c r="P328" i="6"/>
  <c r="Q328" i="6"/>
  <c r="R328" i="6"/>
  <c r="AB328" i="6"/>
  <c r="A329" i="6"/>
  <c r="B329" i="6"/>
  <c r="C329" i="6"/>
  <c r="G329" i="6"/>
  <c r="J329" i="6" s="1"/>
  <c r="K329" i="6"/>
  <c r="L329" i="6"/>
  <c r="M329" i="6" a="1"/>
  <c r="M329" i="6"/>
  <c r="N329" i="6" a="1"/>
  <c r="N329" i="6"/>
  <c r="O329" i="6"/>
  <c r="P329" i="6"/>
  <c r="Q329" i="6"/>
  <c r="R329" i="6"/>
  <c r="A330" i="6"/>
  <c r="B330" i="6"/>
  <c r="C330" i="6"/>
  <c r="G330" i="6"/>
  <c r="I330" i="6"/>
  <c r="K330" i="6"/>
  <c r="L330" i="6"/>
  <c r="M330" i="6" a="1"/>
  <c r="M330" i="6" s="1"/>
  <c r="N330" i="6" a="1"/>
  <c r="N330" i="6"/>
  <c r="O330" i="6"/>
  <c r="P330" i="6"/>
  <c r="Q330" i="6"/>
  <c r="R330" i="6"/>
  <c r="A331" i="6"/>
  <c r="B331" i="6"/>
  <c r="C331" i="6"/>
  <c r="G331" i="6"/>
  <c r="J331" i="6" s="1"/>
  <c r="I331" i="6"/>
  <c r="K331" i="6"/>
  <c r="L331" i="6"/>
  <c r="M331" i="6" a="1"/>
  <c r="M331" i="6" s="1"/>
  <c r="N331" i="6" a="1"/>
  <c r="N331" i="6"/>
  <c r="S331" i="6" s="1"/>
  <c r="O331" i="6"/>
  <c r="P331" i="6"/>
  <c r="Q331" i="6"/>
  <c r="R331" i="6"/>
  <c r="AB331" i="6"/>
  <c r="A332" i="6"/>
  <c r="B332" i="6"/>
  <c r="C332" i="6"/>
  <c r="G332" i="6"/>
  <c r="H332" i="6"/>
  <c r="K332" i="6"/>
  <c r="L332" i="6"/>
  <c r="M332" i="6" a="1"/>
  <c r="M332" i="6"/>
  <c r="N332" i="6" a="1"/>
  <c r="N332" i="6"/>
  <c r="O332" i="6"/>
  <c r="P332" i="6"/>
  <c r="Q332" i="6"/>
  <c r="R332" i="6"/>
  <c r="A333" i="6"/>
  <c r="B333" i="6"/>
  <c r="C333" i="6"/>
  <c r="E333" i="6"/>
  <c r="G333" i="6"/>
  <c r="H333" i="6" s="1"/>
  <c r="I333" i="6"/>
  <c r="J333" i="6"/>
  <c r="K333" i="6"/>
  <c r="L333" i="6"/>
  <c r="M333" i="6" a="1"/>
  <c r="M333" i="6"/>
  <c r="N333" i="6" a="1"/>
  <c r="N333" i="6"/>
  <c r="O333" i="6"/>
  <c r="P333" i="6"/>
  <c r="Q333" i="6"/>
  <c r="R333" i="6"/>
  <c r="S333" i="6" s="1"/>
  <c r="AB333" i="6"/>
  <c r="A334" i="6"/>
  <c r="B334" i="6"/>
  <c r="C334" i="6"/>
  <c r="E334" i="6"/>
  <c r="G334" i="6"/>
  <c r="I334" i="6" s="1"/>
  <c r="K334" i="6"/>
  <c r="L334" i="6"/>
  <c r="M334" i="6" a="1"/>
  <c r="M334" i="6" s="1"/>
  <c r="N334" i="6" a="1"/>
  <c r="N334" i="6"/>
  <c r="O334" i="6"/>
  <c r="P334" i="6"/>
  <c r="Q334" i="6"/>
  <c r="R334" i="6"/>
  <c r="A335" i="6"/>
  <c r="B335" i="6"/>
  <c r="C335" i="6"/>
  <c r="G335" i="6"/>
  <c r="J335" i="6" s="1"/>
  <c r="K335" i="6"/>
  <c r="L335" i="6"/>
  <c r="M335" i="6" a="1"/>
  <c r="M335" i="6" s="1"/>
  <c r="N335" i="6" a="1"/>
  <c r="N335" i="6"/>
  <c r="O335" i="6"/>
  <c r="P335" i="6"/>
  <c r="Q335" i="6"/>
  <c r="S335" i="6" s="1"/>
  <c r="R335" i="6"/>
  <c r="A336" i="6"/>
  <c r="B336" i="6"/>
  <c r="C336" i="6"/>
  <c r="G336" i="6"/>
  <c r="J336" i="6" s="1"/>
  <c r="K336" i="6"/>
  <c r="L336" i="6"/>
  <c r="M336" i="6" a="1"/>
  <c r="M336" i="6" s="1"/>
  <c r="N336" i="6" a="1"/>
  <c r="N336" i="6" s="1"/>
  <c r="O336" i="6"/>
  <c r="P336" i="6"/>
  <c r="Q336" i="6"/>
  <c r="S336" i="6" s="1"/>
  <c r="R336" i="6"/>
  <c r="A337" i="6"/>
  <c r="B337" i="6"/>
  <c r="C337" i="6"/>
  <c r="E337" i="6"/>
  <c r="G337" i="6"/>
  <c r="H337" i="6"/>
  <c r="I337" i="6"/>
  <c r="J337" i="6"/>
  <c r="K337" i="6"/>
  <c r="L337" i="6"/>
  <c r="M337" i="6" a="1"/>
  <c r="M337" i="6"/>
  <c r="N337" i="6" a="1"/>
  <c r="N337" i="6"/>
  <c r="S337" i="6" s="1"/>
  <c r="O337" i="6"/>
  <c r="P337" i="6"/>
  <c r="Q337" i="6"/>
  <c r="R337" i="6"/>
  <c r="AB337" i="6" s="1"/>
  <c r="A338" i="6"/>
  <c r="B338" i="6"/>
  <c r="C338" i="6"/>
  <c r="G338" i="6"/>
  <c r="E338" i="6" s="1"/>
  <c r="K338" i="6"/>
  <c r="L338" i="6"/>
  <c r="M338" i="6" a="1"/>
  <c r="M338" i="6" s="1"/>
  <c r="N338" i="6" a="1"/>
  <c r="N338" i="6"/>
  <c r="O338" i="6"/>
  <c r="P338" i="6"/>
  <c r="Q338" i="6"/>
  <c r="R338" i="6"/>
  <c r="AB338" i="6"/>
  <c r="A339" i="6"/>
  <c r="B339" i="6"/>
  <c r="C339" i="6"/>
  <c r="G339" i="6"/>
  <c r="J339" i="6" s="1"/>
  <c r="K339" i="6"/>
  <c r="L339" i="6"/>
  <c r="M339" i="6" a="1"/>
  <c r="M339" i="6"/>
  <c r="N339" i="6" a="1"/>
  <c r="N339" i="6" s="1"/>
  <c r="O339" i="6"/>
  <c r="P339" i="6"/>
  <c r="Q339" i="6"/>
  <c r="AB339" i="6" s="1"/>
  <c r="R339" i="6"/>
  <c r="S339" i="6"/>
  <c r="A340" i="6"/>
  <c r="B340" i="6"/>
  <c r="C340" i="6"/>
  <c r="G340" i="6"/>
  <c r="H340" i="6" s="1"/>
  <c r="K340" i="6"/>
  <c r="L340" i="6"/>
  <c r="M340" i="6" a="1"/>
  <c r="M340" i="6"/>
  <c r="N340" i="6" a="1"/>
  <c r="N340" i="6"/>
  <c r="O340" i="6"/>
  <c r="P340" i="6"/>
  <c r="Q340" i="6"/>
  <c r="R340" i="6"/>
  <c r="AB340" i="6" s="1"/>
  <c r="A341" i="6"/>
  <c r="B341" i="6"/>
  <c r="C341" i="6"/>
  <c r="G341" i="6"/>
  <c r="J341" i="6"/>
  <c r="K341" i="6"/>
  <c r="L341" i="6"/>
  <c r="M341" i="6" a="1"/>
  <c r="M341" i="6" s="1"/>
  <c r="N341" i="6" a="1"/>
  <c r="N341" i="6"/>
  <c r="O341" i="6"/>
  <c r="P341" i="6"/>
  <c r="Q341" i="6"/>
  <c r="R341" i="6"/>
  <c r="AB341" i="6"/>
  <c r="A342" i="6"/>
  <c r="B342" i="6"/>
  <c r="C342" i="6"/>
  <c r="G342" i="6"/>
  <c r="J342" i="6" s="1"/>
  <c r="H342" i="6"/>
  <c r="I342" i="6"/>
  <c r="K342" i="6"/>
  <c r="L342" i="6"/>
  <c r="M342" i="6" a="1"/>
  <c r="M342" i="6"/>
  <c r="N342" i="6" a="1"/>
  <c r="N342" i="6" s="1"/>
  <c r="S342" i="6" s="1"/>
  <c r="O342" i="6"/>
  <c r="P342" i="6"/>
  <c r="Q342" i="6"/>
  <c r="R342" i="6"/>
  <c r="AB342" i="6"/>
  <c r="A343" i="6"/>
  <c r="B343" i="6"/>
  <c r="C343" i="6"/>
  <c r="E343" i="6"/>
  <c r="G343" i="6"/>
  <c r="H343" i="6" s="1"/>
  <c r="I343" i="6"/>
  <c r="J343" i="6"/>
  <c r="K343" i="6"/>
  <c r="L343" i="6"/>
  <c r="M343" i="6" a="1"/>
  <c r="M343" i="6"/>
  <c r="N343" i="6" a="1"/>
  <c r="N343" i="6" s="1"/>
  <c r="O343" i="6"/>
  <c r="P343" i="6"/>
  <c r="Q343" i="6"/>
  <c r="R343" i="6"/>
  <c r="AB343" i="6" s="1"/>
  <c r="A344" i="6"/>
  <c r="B344" i="6"/>
  <c r="C344" i="6"/>
  <c r="G344" i="6"/>
  <c r="J344" i="6" s="1"/>
  <c r="K344" i="6"/>
  <c r="L344" i="6"/>
  <c r="M344" i="6" a="1"/>
  <c r="M344" i="6" s="1"/>
  <c r="N344" i="6" a="1"/>
  <c r="N344" i="6"/>
  <c r="O344" i="6"/>
  <c r="P344" i="6"/>
  <c r="Q344" i="6"/>
  <c r="S344" i="6" s="1"/>
  <c r="R344" i="6"/>
  <c r="A345" i="6"/>
  <c r="B345" i="6"/>
  <c r="C345" i="6"/>
  <c r="E345" i="6"/>
  <c r="G345" i="6"/>
  <c r="J345" i="6" s="1"/>
  <c r="I345" i="6"/>
  <c r="K345" i="6"/>
  <c r="L345" i="6"/>
  <c r="M345" i="6" a="1"/>
  <c r="M345" i="6" s="1"/>
  <c r="N345" i="6" a="1"/>
  <c r="N345" i="6" s="1"/>
  <c r="O345" i="6"/>
  <c r="P345" i="6"/>
  <c r="Q345" i="6"/>
  <c r="S345" i="6" s="1"/>
  <c r="R345" i="6"/>
  <c r="A346" i="6"/>
  <c r="B346" i="6"/>
  <c r="C346" i="6"/>
  <c r="G346" i="6"/>
  <c r="J346" i="6" s="1"/>
  <c r="I346" i="6"/>
  <c r="K346" i="6"/>
  <c r="L346" i="6"/>
  <c r="M346" i="6" a="1"/>
  <c r="M346" i="6"/>
  <c r="N346" i="6" a="1"/>
  <c r="N346" i="6"/>
  <c r="S346" i="6" s="1"/>
  <c r="O346" i="6"/>
  <c r="P346" i="6"/>
  <c r="Q346" i="6"/>
  <c r="R346" i="6"/>
  <c r="AB346" i="6" s="1"/>
  <c r="A347" i="6"/>
  <c r="B347" i="6"/>
  <c r="C347" i="6"/>
  <c r="G347" i="6"/>
  <c r="E347" i="6" s="1"/>
  <c r="K347" i="6"/>
  <c r="L347" i="6"/>
  <c r="M347" i="6" a="1"/>
  <c r="M347" i="6" s="1"/>
  <c r="N347" i="6" a="1"/>
  <c r="N347" i="6"/>
  <c r="O347" i="6"/>
  <c r="P347" i="6"/>
  <c r="Q347" i="6"/>
  <c r="R347" i="6"/>
  <c r="AB347" i="6"/>
  <c r="A348" i="6"/>
  <c r="B348" i="6"/>
  <c r="C348" i="6"/>
  <c r="G348" i="6"/>
  <c r="J348" i="6" s="1"/>
  <c r="K348" i="6"/>
  <c r="L348" i="6"/>
  <c r="M348" i="6" a="1"/>
  <c r="M348" i="6"/>
  <c r="N348" i="6" a="1"/>
  <c r="N348" i="6" s="1"/>
  <c r="O348" i="6"/>
  <c r="P348" i="6"/>
  <c r="Q348" i="6"/>
  <c r="AB348" i="6" s="1"/>
  <c r="R348" i="6"/>
  <c r="S348" i="6"/>
  <c r="A349" i="6"/>
  <c r="B349" i="6"/>
  <c r="C349" i="6"/>
  <c r="E349" i="6"/>
  <c r="G349" i="6"/>
  <c r="H349" i="6"/>
  <c r="I349" i="6"/>
  <c r="J349" i="6"/>
  <c r="K349" i="6"/>
  <c r="L349" i="6"/>
  <c r="M349" i="6" a="1"/>
  <c r="M349" i="6"/>
  <c r="N349" i="6" a="1"/>
  <c r="N349" i="6"/>
  <c r="O349" i="6"/>
  <c r="P349" i="6"/>
  <c r="Q349" i="6"/>
  <c r="R349" i="6"/>
  <c r="AB349" i="6" s="1"/>
  <c r="A350" i="6"/>
  <c r="B350" i="6"/>
  <c r="C350" i="6"/>
  <c r="G350" i="6"/>
  <c r="J350" i="6" s="1"/>
  <c r="K350" i="6"/>
  <c r="L350" i="6"/>
  <c r="M350" i="6" a="1"/>
  <c r="M350" i="6" s="1"/>
  <c r="N350" i="6" a="1"/>
  <c r="N350" i="6"/>
  <c r="O350" i="6"/>
  <c r="P350" i="6"/>
  <c r="Q350" i="6"/>
  <c r="R350" i="6"/>
  <c r="AB350" i="6"/>
  <c r="A351" i="6"/>
  <c r="B351" i="6"/>
  <c r="C351" i="6"/>
  <c r="G351" i="6"/>
  <c r="J351" i="6" s="1"/>
  <c r="I351" i="6"/>
  <c r="K351" i="6"/>
  <c r="L351" i="6"/>
  <c r="M351" i="6" a="1"/>
  <c r="M351" i="6"/>
  <c r="N351" i="6" a="1"/>
  <c r="N351" i="6" s="1"/>
  <c r="S351" i="6" s="1"/>
  <c r="O351" i="6"/>
  <c r="P351" i="6"/>
  <c r="Q351" i="6"/>
  <c r="R351" i="6"/>
  <c r="AB351" i="6"/>
  <c r="A352" i="6"/>
  <c r="B352" i="6"/>
  <c r="C352" i="6"/>
  <c r="G352" i="6"/>
  <c r="E352" i="6" s="1"/>
  <c r="H352" i="6"/>
  <c r="I352" i="6"/>
  <c r="J352" i="6"/>
  <c r="K352" i="6"/>
  <c r="L352" i="6"/>
  <c r="M352" i="6" a="1"/>
  <c r="M352" i="6"/>
  <c r="N352" i="6" a="1"/>
  <c r="N352" i="6" s="1"/>
  <c r="O352" i="6"/>
  <c r="P352" i="6"/>
  <c r="Q352" i="6"/>
  <c r="R352" i="6"/>
  <c r="AB352" i="6" s="1"/>
  <c r="A353" i="6"/>
  <c r="B353" i="6"/>
  <c r="C353" i="6"/>
  <c r="E353" i="6"/>
  <c r="G353" i="6"/>
  <c r="J353" i="6" s="1"/>
  <c r="K353" i="6"/>
  <c r="L353" i="6"/>
  <c r="M353" i="6" a="1"/>
  <c r="M353" i="6" s="1"/>
  <c r="N353" i="6" a="1"/>
  <c r="N353" i="6"/>
  <c r="O353" i="6"/>
  <c r="P353" i="6"/>
  <c r="Q353" i="6"/>
  <c r="S353" i="6" s="1"/>
  <c r="R353" i="6"/>
  <c r="A354" i="6"/>
  <c r="B354" i="6"/>
  <c r="C354" i="6"/>
  <c r="G354" i="6"/>
  <c r="J354" i="6" s="1"/>
  <c r="K354" i="6"/>
  <c r="L354" i="6"/>
  <c r="M354" i="6" a="1"/>
  <c r="M354" i="6" s="1"/>
  <c r="N354" i="6" a="1"/>
  <c r="N354" i="6" s="1"/>
  <c r="O354" i="6"/>
  <c r="P354" i="6"/>
  <c r="Q354" i="6"/>
  <c r="S354" i="6" s="1"/>
  <c r="R354" i="6"/>
  <c r="A355" i="6"/>
  <c r="B355" i="6"/>
  <c r="C355" i="6"/>
  <c r="G355" i="6"/>
  <c r="H355" i="6" s="1"/>
  <c r="K355" i="6"/>
  <c r="L355" i="6"/>
  <c r="M355" i="6" a="1"/>
  <c r="M355" i="6"/>
  <c r="N355" i="6" a="1"/>
  <c r="N355" i="6"/>
  <c r="S355" i="6" s="1"/>
  <c r="O355" i="6"/>
  <c r="P355" i="6"/>
  <c r="Q355" i="6"/>
  <c r="R355" i="6"/>
  <c r="AB355" i="6" s="1"/>
  <c r="A356" i="6"/>
  <c r="B356" i="6"/>
  <c r="C356" i="6"/>
  <c r="G356" i="6"/>
  <c r="E356" i="6" s="1"/>
  <c r="K356" i="6"/>
  <c r="L356" i="6"/>
  <c r="M356" i="6" a="1"/>
  <c r="M356" i="6" s="1"/>
  <c r="N356" i="6" a="1"/>
  <c r="N356" i="6"/>
  <c r="O356" i="6"/>
  <c r="P356" i="6"/>
  <c r="Q356" i="6"/>
  <c r="R356" i="6"/>
  <c r="AB356" i="6"/>
  <c r="A357" i="6"/>
  <c r="B357" i="6"/>
  <c r="C357" i="6"/>
  <c r="G357" i="6"/>
  <c r="J357" i="6" s="1"/>
  <c r="K357" i="6"/>
  <c r="L357" i="6"/>
  <c r="M357" i="6" a="1"/>
  <c r="M357" i="6"/>
  <c r="N357" i="6" a="1"/>
  <c r="N357" i="6" s="1"/>
  <c r="O357" i="6"/>
  <c r="P357" i="6"/>
  <c r="Q357" i="6"/>
  <c r="AB357" i="6" s="1"/>
  <c r="R357" i="6"/>
  <c r="S357" i="6"/>
  <c r="A358" i="6"/>
  <c r="B358" i="6"/>
  <c r="C358" i="6"/>
  <c r="G358" i="6"/>
  <c r="J358" i="6" s="1"/>
  <c r="I358" i="6"/>
  <c r="K358" i="6"/>
  <c r="L358" i="6"/>
  <c r="M358" i="6" a="1"/>
  <c r="M358" i="6"/>
  <c r="N358" i="6" a="1"/>
  <c r="N358" i="6"/>
  <c r="O358" i="6"/>
  <c r="P358" i="6"/>
  <c r="Q358" i="6"/>
  <c r="R358" i="6"/>
  <c r="AB358" i="6" s="1"/>
  <c r="A359" i="6"/>
  <c r="B359" i="6"/>
  <c r="C359" i="6"/>
  <c r="G359" i="6"/>
  <c r="J359" i="6"/>
  <c r="K359" i="6"/>
  <c r="L359" i="6"/>
  <c r="M359" i="6" a="1"/>
  <c r="M359" i="6" s="1"/>
  <c r="N359" i="6" a="1"/>
  <c r="N359" i="6"/>
  <c r="O359" i="6"/>
  <c r="P359" i="6"/>
  <c r="Q359" i="6"/>
  <c r="R359" i="6"/>
  <c r="AB359" i="6"/>
  <c r="A360" i="6"/>
  <c r="B360" i="6"/>
  <c r="C360" i="6"/>
  <c r="G360" i="6"/>
  <c r="J360" i="6" s="1"/>
  <c r="K360" i="6"/>
  <c r="L360" i="6"/>
  <c r="M360" i="6" a="1"/>
  <c r="M360" i="6"/>
  <c r="N360" i="6" a="1"/>
  <c r="N360" i="6" s="1"/>
  <c r="S360" i="6" s="1"/>
  <c r="O360" i="6"/>
  <c r="P360" i="6"/>
  <c r="Q360" i="6"/>
  <c r="R360" i="6"/>
  <c r="AB360" i="6"/>
  <c r="A361" i="6"/>
  <c r="B361" i="6"/>
  <c r="C361" i="6"/>
  <c r="E361" i="6"/>
  <c r="G361" i="6"/>
  <c r="I361" i="6" s="1"/>
  <c r="H361" i="6"/>
  <c r="K361" i="6"/>
  <c r="L361" i="6"/>
  <c r="M361" i="6" a="1"/>
  <c r="M361" i="6"/>
  <c r="N361" i="6" a="1"/>
  <c r="N361" i="6" s="1"/>
  <c r="O361" i="6"/>
  <c r="P361" i="6"/>
  <c r="Q361" i="6"/>
  <c r="R361" i="6"/>
  <c r="AB361" i="6" s="1"/>
  <c r="A362" i="6"/>
  <c r="B362" i="6"/>
  <c r="C362" i="6"/>
  <c r="G362" i="6"/>
  <c r="J362" i="6" s="1"/>
  <c r="K362" i="6"/>
  <c r="L362" i="6"/>
  <c r="M362" i="6" a="1"/>
  <c r="M362" i="6" s="1"/>
  <c r="N362" i="6" a="1"/>
  <c r="N362" i="6"/>
  <c r="O362" i="6"/>
  <c r="P362" i="6"/>
  <c r="Q362" i="6"/>
  <c r="S362" i="6" s="1"/>
  <c r="R362" i="6"/>
  <c r="A363" i="6"/>
  <c r="B363" i="6"/>
  <c r="C363" i="6"/>
  <c r="G363" i="6"/>
  <c r="J363" i="6" s="1"/>
  <c r="K363" i="6"/>
  <c r="L363" i="6"/>
  <c r="M363" i="6" a="1"/>
  <c r="M363" i="6" s="1"/>
  <c r="N363" i="6" a="1"/>
  <c r="N363" i="6" s="1"/>
  <c r="O363" i="6"/>
  <c r="P363" i="6"/>
  <c r="Q363" i="6"/>
  <c r="S363" i="6" s="1"/>
  <c r="R363" i="6"/>
  <c r="A364" i="6"/>
  <c r="B364" i="6"/>
  <c r="C364" i="6"/>
  <c r="G364" i="6"/>
  <c r="E364" i="6" s="1"/>
  <c r="I364" i="6"/>
  <c r="J364" i="6"/>
  <c r="K364" i="6"/>
  <c r="L364" i="6"/>
  <c r="M364" i="6" a="1"/>
  <c r="M364" i="6"/>
  <c r="N364" i="6" a="1"/>
  <c r="N364" i="6"/>
  <c r="S364" i="6" s="1"/>
  <c r="O364" i="6"/>
  <c r="P364" i="6"/>
  <c r="Q364" i="6"/>
  <c r="R364" i="6"/>
  <c r="A365" i="6"/>
  <c r="B365" i="6"/>
  <c r="C365" i="6"/>
  <c r="G365" i="6"/>
  <c r="H365" i="6" s="1"/>
  <c r="K365" i="6"/>
  <c r="L365" i="6"/>
  <c r="M365" i="6" a="1"/>
  <c r="M365" i="6" s="1"/>
  <c r="N365" i="6" a="1"/>
  <c r="N365" i="6" s="1"/>
  <c r="S365" i="6" s="1"/>
  <c r="O365" i="6"/>
  <c r="P365" i="6"/>
  <c r="Q365" i="6"/>
  <c r="AB365" i="6" s="1"/>
  <c r="R365" i="6"/>
  <c r="A366" i="6"/>
  <c r="B366" i="6"/>
  <c r="C366" i="6"/>
  <c r="E366" i="6"/>
  <c r="G366" i="6"/>
  <c r="J366" i="6" s="1"/>
  <c r="K366" i="6"/>
  <c r="L366" i="6"/>
  <c r="M366" i="6" a="1"/>
  <c r="M366" i="6" s="1"/>
  <c r="N366" i="6" a="1"/>
  <c r="N366" i="6" s="1"/>
  <c r="O366" i="6"/>
  <c r="P366" i="6"/>
  <c r="Q366" i="6"/>
  <c r="S366" i="6" s="1"/>
  <c r="R366" i="6"/>
  <c r="A367" i="6"/>
  <c r="B367" i="6"/>
  <c r="C367" i="6"/>
  <c r="G367" i="6"/>
  <c r="E367" i="6" s="1"/>
  <c r="H367" i="6"/>
  <c r="I367" i="6"/>
  <c r="J367" i="6"/>
  <c r="K367" i="6"/>
  <c r="L367" i="6"/>
  <c r="M367" i="6" a="1"/>
  <c r="M367" i="6"/>
  <c r="N367" i="6" a="1"/>
  <c r="N367" i="6"/>
  <c r="S367" i="6" s="1"/>
  <c r="O367" i="6"/>
  <c r="P367" i="6"/>
  <c r="Q367" i="6"/>
  <c r="R367" i="6"/>
  <c r="A368" i="6"/>
  <c r="B368" i="6"/>
  <c r="C368" i="6"/>
  <c r="G368" i="6"/>
  <c r="H368" i="6" s="1"/>
  <c r="K368" i="6"/>
  <c r="L368" i="6"/>
  <c r="M368" i="6" a="1"/>
  <c r="M368" i="6" s="1"/>
  <c r="N368" i="6" a="1"/>
  <c r="N368" i="6" s="1"/>
  <c r="S368" i="6" s="1"/>
  <c r="O368" i="6"/>
  <c r="P368" i="6"/>
  <c r="Q368" i="6"/>
  <c r="AB368" i="6" s="1"/>
  <c r="R368" i="6"/>
  <c r="A369" i="6"/>
  <c r="B369" i="6"/>
  <c r="C369" i="6"/>
  <c r="E369" i="6"/>
  <c r="G369" i="6"/>
  <c r="H369" i="6"/>
  <c r="I369" i="6"/>
  <c r="J369" i="6"/>
  <c r="K369" i="6"/>
  <c r="L369" i="6"/>
  <c r="M369" i="6" a="1"/>
  <c r="M369" i="6" s="1"/>
  <c r="N369" i="6" a="1"/>
  <c r="N369" i="6"/>
  <c r="S369" i="6" s="1"/>
  <c r="O369" i="6"/>
  <c r="P369" i="6"/>
  <c r="Q369" i="6"/>
  <c r="R369" i="6"/>
  <c r="AB369" i="6"/>
  <c r="A370" i="6"/>
  <c r="B370" i="6"/>
  <c r="C370" i="6"/>
  <c r="G370" i="6"/>
  <c r="I370" i="6" s="1"/>
  <c r="K370" i="6"/>
  <c r="L370" i="6"/>
  <c r="M370" i="6" a="1"/>
  <c r="M370" i="6" s="1"/>
  <c r="N370" i="6" a="1"/>
  <c r="N370" i="6" s="1"/>
  <c r="O370" i="6"/>
  <c r="P370" i="6"/>
  <c r="Q370" i="6"/>
  <c r="R370" i="6"/>
  <c r="A371" i="6"/>
  <c r="B371" i="6"/>
  <c r="C371" i="6"/>
  <c r="G371" i="6"/>
  <c r="E371" i="6" s="1"/>
  <c r="I371" i="6"/>
  <c r="J371" i="6"/>
  <c r="K371" i="6"/>
  <c r="L371" i="6"/>
  <c r="M371" i="6" a="1"/>
  <c r="M371" i="6"/>
  <c r="N371" i="6" a="1"/>
  <c r="N371" i="6" s="1"/>
  <c r="S371" i="6" s="1"/>
  <c r="O371" i="6"/>
  <c r="P371" i="6"/>
  <c r="Q371" i="6"/>
  <c r="AB371" i="6" s="1"/>
  <c r="R371" i="6"/>
  <c r="A372" i="6"/>
  <c r="B372" i="6"/>
  <c r="C372" i="6"/>
  <c r="G372" i="6"/>
  <c r="H372" i="6" s="1"/>
  <c r="K372" i="6"/>
  <c r="L372" i="6"/>
  <c r="M372" i="6" a="1"/>
  <c r="M372" i="6" s="1"/>
  <c r="N372" i="6" a="1"/>
  <c r="N372" i="6"/>
  <c r="S372" i="6" s="1"/>
  <c r="O372" i="6"/>
  <c r="P372" i="6"/>
  <c r="Q372" i="6"/>
  <c r="R372" i="6"/>
  <c r="AB372" i="6"/>
  <c r="A373" i="6"/>
  <c r="B373" i="6"/>
  <c r="C373" i="6"/>
  <c r="G373" i="6"/>
  <c r="I373" i="6" s="1"/>
  <c r="K373" i="6"/>
  <c r="L373" i="6"/>
  <c r="M373" i="6" a="1"/>
  <c r="M373" i="6" s="1"/>
  <c r="N373" i="6" a="1"/>
  <c r="N373" i="6" s="1"/>
  <c r="O373" i="6"/>
  <c r="P373" i="6"/>
  <c r="Q373" i="6"/>
  <c r="S373" i="6" s="1"/>
  <c r="R373" i="6"/>
  <c r="A374" i="6"/>
  <c r="B374" i="6"/>
  <c r="C374" i="6"/>
  <c r="G374" i="6"/>
  <c r="E374" i="6" s="1"/>
  <c r="I374" i="6"/>
  <c r="K374" i="6"/>
  <c r="L374" i="6"/>
  <c r="M374" i="6" a="1"/>
  <c r="M374" i="6"/>
  <c r="N374" i="6" a="1"/>
  <c r="N374" i="6" s="1"/>
  <c r="S374" i="6" s="1"/>
  <c r="O374" i="6"/>
  <c r="P374" i="6"/>
  <c r="Q374" i="6"/>
  <c r="AB374" i="6" s="1"/>
  <c r="R374" i="6"/>
  <c r="A375" i="6"/>
  <c r="B375" i="6"/>
  <c r="C375" i="6"/>
  <c r="G375" i="6"/>
  <c r="H375" i="6" s="1"/>
  <c r="I375" i="6"/>
  <c r="J375" i="6"/>
  <c r="K375" i="6"/>
  <c r="L375" i="6"/>
  <c r="M375" i="6" a="1"/>
  <c r="M375" i="6" s="1"/>
  <c r="N375" i="6" a="1"/>
  <c r="N375" i="6"/>
  <c r="S375" i="6" s="1"/>
  <c r="O375" i="6"/>
  <c r="P375" i="6"/>
  <c r="Q375" i="6"/>
  <c r="R375" i="6"/>
  <c r="AB375" i="6"/>
  <c r="A376" i="6"/>
  <c r="B376" i="6"/>
  <c r="C376" i="6"/>
  <c r="G376" i="6"/>
  <c r="I376" i="6" s="1"/>
  <c r="K376" i="6"/>
  <c r="L376" i="6"/>
  <c r="M376" i="6" a="1"/>
  <c r="M376" i="6" s="1"/>
  <c r="N376" i="6" a="1"/>
  <c r="N376" i="6" s="1"/>
  <c r="O376" i="6"/>
  <c r="P376" i="6"/>
  <c r="Q376" i="6"/>
  <c r="S376" i="6" s="1"/>
  <c r="R376" i="6"/>
  <c r="A377" i="6"/>
  <c r="B377" i="6"/>
  <c r="C377" i="6"/>
  <c r="G377" i="6"/>
  <c r="E377" i="6" s="1"/>
  <c r="I377" i="6"/>
  <c r="J377" i="6"/>
  <c r="K377" i="6"/>
  <c r="L377" i="6"/>
  <c r="M377" i="6" a="1"/>
  <c r="M377" i="6"/>
  <c r="N377" i="6" a="1"/>
  <c r="N377" i="6" s="1"/>
  <c r="S377" i="6" s="1"/>
  <c r="O377" i="6"/>
  <c r="P377" i="6"/>
  <c r="Q377" i="6"/>
  <c r="AB377" i="6" s="1"/>
  <c r="R377" i="6"/>
  <c r="A378" i="6"/>
  <c r="B378" i="6"/>
  <c r="C378" i="6"/>
  <c r="G378" i="6"/>
  <c r="H378" i="6" s="1"/>
  <c r="K378" i="6"/>
  <c r="L378" i="6"/>
  <c r="M378" i="6" a="1"/>
  <c r="M378" i="6" s="1"/>
  <c r="N378" i="6" a="1"/>
  <c r="N378" i="6"/>
  <c r="S378" i="6" s="1"/>
  <c r="O378" i="6"/>
  <c r="P378" i="6"/>
  <c r="Q378" i="6"/>
  <c r="R378" i="6"/>
  <c r="AB378" i="6"/>
  <c r="A379" i="6"/>
  <c r="B379" i="6"/>
  <c r="C379" i="6"/>
  <c r="G379" i="6"/>
  <c r="I379" i="6" s="1"/>
  <c r="K379" i="6"/>
  <c r="L379" i="6"/>
  <c r="M379" i="6" a="1"/>
  <c r="M379" i="6" s="1"/>
  <c r="N379" i="6" a="1"/>
  <c r="N379" i="6" s="1"/>
  <c r="O379" i="6"/>
  <c r="P379" i="6"/>
  <c r="Q379" i="6"/>
  <c r="R379" i="6"/>
  <c r="A380" i="6"/>
  <c r="B380" i="6"/>
  <c r="C380" i="6"/>
  <c r="G380" i="6"/>
  <c r="E380" i="6" s="1"/>
  <c r="I380" i="6"/>
  <c r="K380" i="6"/>
  <c r="L380" i="6"/>
  <c r="M380" i="6" a="1"/>
  <c r="M380" i="6"/>
  <c r="N380" i="6" a="1"/>
  <c r="N380" i="6" s="1"/>
  <c r="S380" i="6" s="1"/>
  <c r="O380" i="6"/>
  <c r="P380" i="6"/>
  <c r="Q380" i="6"/>
  <c r="AB380" i="6" s="1"/>
  <c r="R380" i="6"/>
  <c r="A381" i="6"/>
  <c r="B381" i="6"/>
  <c r="C381" i="6"/>
  <c r="G381" i="6"/>
  <c r="H381" i="6" s="1"/>
  <c r="I381" i="6"/>
  <c r="J381" i="6"/>
  <c r="K381" i="6"/>
  <c r="L381" i="6"/>
  <c r="M381" i="6" a="1"/>
  <c r="M381" i="6" s="1"/>
  <c r="N381" i="6" a="1"/>
  <c r="N381" i="6"/>
  <c r="S381" i="6" s="1"/>
  <c r="O381" i="6"/>
  <c r="P381" i="6"/>
  <c r="Q381" i="6"/>
  <c r="R381" i="6"/>
  <c r="AB381" i="6"/>
  <c r="A382" i="6"/>
  <c r="B382" i="6"/>
  <c r="C382" i="6"/>
  <c r="G382" i="6"/>
  <c r="I382" i="6" s="1"/>
  <c r="K382" i="6"/>
  <c r="L382" i="6"/>
  <c r="M382" i="6" a="1"/>
  <c r="M382" i="6" s="1"/>
  <c r="N382" i="6" a="1"/>
  <c r="N382" i="6" s="1"/>
  <c r="O382" i="6"/>
  <c r="P382" i="6"/>
  <c r="Q382" i="6"/>
  <c r="S382" i="6" s="1"/>
  <c r="R382" i="6"/>
  <c r="A383" i="6"/>
  <c r="B383" i="6"/>
  <c r="C383" i="6"/>
  <c r="G383" i="6"/>
  <c r="E383" i="6" s="1"/>
  <c r="I383" i="6"/>
  <c r="K383" i="6"/>
  <c r="L383" i="6"/>
  <c r="M383" i="6" a="1"/>
  <c r="M383" i="6"/>
  <c r="N383" i="6" a="1"/>
  <c r="N383" i="6" s="1"/>
  <c r="S383" i="6" s="1"/>
  <c r="O383" i="6"/>
  <c r="P383" i="6"/>
  <c r="Q383" i="6"/>
  <c r="AB383" i="6" s="1"/>
  <c r="R383" i="6"/>
  <c r="A384" i="6"/>
  <c r="B384" i="6"/>
  <c r="C384" i="6"/>
  <c r="E384" i="6"/>
  <c r="G384" i="6"/>
  <c r="H384" i="6" s="1"/>
  <c r="I384" i="6"/>
  <c r="K384" i="6"/>
  <c r="L384" i="6"/>
  <c r="M384" i="6" a="1"/>
  <c r="M384" i="6" s="1"/>
  <c r="N384" i="6" a="1"/>
  <c r="N384" i="6"/>
  <c r="S384" i="6" s="1"/>
  <c r="O384" i="6"/>
  <c r="P384" i="6"/>
  <c r="Q384" i="6"/>
  <c r="R384" i="6"/>
  <c r="AB384" i="6"/>
  <c r="A385" i="6"/>
  <c r="B385" i="6"/>
  <c r="C385" i="6"/>
  <c r="G385" i="6"/>
  <c r="I385" i="6" s="1"/>
  <c r="K385" i="6"/>
  <c r="L385" i="6"/>
  <c r="M385" i="6" a="1"/>
  <c r="M385" i="6" s="1"/>
  <c r="N385" i="6" a="1"/>
  <c r="N385" i="6" s="1"/>
  <c r="O385" i="6"/>
  <c r="P385" i="6"/>
  <c r="Q385" i="6"/>
  <c r="S385" i="6" s="1"/>
  <c r="R385" i="6"/>
  <c r="A386" i="6"/>
  <c r="B386" i="6"/>
  <c r="C386" i="6"/>
  <c r="G386" i="6"/>
  <c r="E386" i="6" s="1"/>
  <c r="H386" i="6"/>
  <c r="I386" i="6"/>
  <c r="K386" i="6"/>
  <c r="L386" i="6"/>
  <c r="M386" i="6" a="1"/>
  <c r="M386" i="6" s="1"/>
  <c r="N386" i="6" a="1"/>
  <c r="N386" i="6" s="1"/>
  <c r="S386" i="6" s="1"/>
  <c r="O386" i="6"/>
  <c r="P386" i="6"/>
  <c r="Q386" i="6"/>
  <c r="AB386" i="6" s="1"/>
  <c r="R386" i="6"/>
  <c r="A387" i="6"/>
  <c r="B387" i="6"/>
  <c r="C387" i="6"/>
  <c r="G387" i="6"/>
  <c r="H387" i="6" s="1"/>
  <c r="K387" i="6"/>
  <c r="L387" i="6"/>
  <c r="M387" i="6" a="1"/>
  <c r="M387" i="6" s="1"/>
  <c r="N387" i="6" a="1"/>
  <c r="N387" i="6" s="1"/>
  <c r="S387" i="6" s="1"/>
  <c r="O387" i="6"/>
  <c r="P387" i="6"/>
  <c r="Q387" i="6"/>
  <c r="R387" i="6"/>
  <c r="AB387" i="6"/>
  <c r="A35" i="3" a="1"/>
  <c r="A36" i="3" a="1"/>
  <c r="A37" i="3" a="1"/>
  <c r="A37" i="3" s="1"/>
  <c r="A37" i="6" s="1"/>
  <c r="A38" i="3" a="1"/>
  <c r="A38" i="3" s="1"/>
  <c r="A38" i="6" s="1"/>
  <c r="A39" i="3" a="1"/>
  <c r="A40" i="3" a="1"/>
  <c r="A41" i="3" a="1"/>
  <c r="A42" i="3" a="1"/>
  <c r="A43" i="3" a="1"/>
  <c r="A43" i="3" s="1"/>
  <c r="A43" i="6" s="1"/>
  <c r="A44" i="3" a="1"/>
  <c r="A45" i="3" a="1"/>
  <c r="A46" i="3" a="1"/>
  <c r="A47" i="3" a="1"/>
  <c r="A47" i="3" s="1"/>
  <c r="A47" i="6" s="1"/>
  <c r="A48" i="3" a="1"/>
  <c r="A48" i="3" s="1"/>
  <c r="A49" i="3" a="1"/>
  <c r="A49" i="3" s="1"/>
  <c r="A49" i="6" s="1"/>
  <c r="A50" i="3" a="1"/>
  <c r="A50" i="3" s="1"/>
  <c r="A50" i="6" s="1"/>
  <c r="A51" i="3" a="1"/>
  <c r="A51" i="3" s="1"/>
  <c r="A51" i="6" s="1"/>
  <c r="A52" i="3" a="1"/>
  <c r="A52" i="3" s="1"/>
  <c r="A52" i="6" s="1"/>
  <c r="A53" i="3" a="1"/>
  <c r="A53" i="3" s="1"/>
  <c r="A53" i="6" s="1"/>
  <c r="A54" i="3" a="1"/>
  <c r="A54" i="3" s="1"/>
  <c r="A54" i="6" s="1"/>
  <c r="A55" i="3" a="1"/>
  <c r="A55" i="3" s="1"/>
  <c r="A55" i="6" s="1"/>
  <c r="A56" i="3" a="1"/>
  <c r="A56" i="3" s="1"/>
  <c r="A56" i="6" s="1"/>
  <c r="A57" i="3" a="1"/>
  <c r="A57" i="3" s="1"/>
  <c r="A57" i="6" s="1"/>
  <c r="A58" i="3" a="1"/>
  <c r="A58" i="3" s="1"/>
  <c r="A58" i="6" s="1"/>
  <c r="A59" i="3" a="1"/>
  <c r="A59" i="3" s="1"/>
  <c r="A59" i="6" s="1"/>
  <c r="A60" i="3" a="1"/>
  <c r="A60" i="3" s="1"/>
  <c r="A60" i="6" s="1"/>
  <c r="A61" i="3" a="1"/>
  <c r="A61" i="3" s="1"/>
  <c r="A61" i="6" s="1"/>
  <c r="A62" i="3" a="1"/>
  <c r="A62" i="3" s="1"/>
  <c r="A62" i="6" s="1"/>
  <c r="A63" i="3" a="1"/>
  <c r="A63" i="3" s="1"/>
  <c r="A63" i="6" s="1"/>
  <c r="A64" i="3" a="1"/>
  <c r="A64" i="3" s="1"/>
  <c r="A64" i="6" s="1"/>
  <c r="A65" i="3" a="1"/>
  <c r="A65" i="3" s="1"/>
  <c r="A66" i="3" a="1"/>
  <c r="A66" i="3" s="1"/>
  <c r="A66" i="6" s="1"/>
  <c r="A67" i="3" a="1"/>
  <c r="A67" i="3" s="1"/>
  <c r="A67" i="6" s="1"/>
  <c r="A68" i="3" a="1"/>
  <c r="A68" i="3" s="1"/>
  <c r="A68" i="6" s="1"/>
  <c r="A69" i="3" a="1"/>
  <c r="A69" i="3" s="1"/>
  <c r="A69" i="6" s="1"/>
  <c r="A70" i="3" a="1"/>
  <c r="A70" i="3" s="1"/>
  <c r="A70" i="6" s="1"/>
  <c r="A71" i="3" a="1"/>
  <c r="A71" i="3" s="1"/>
  <c r="A71" i="6" s="1"/>
  <c r="A72" i="3" a="1"/>
  <c r="A72" i="3" s="1"/>
  <c r="A72" i="6" s="1"/>
  <c r="A73" i="3" a="1"/>
  <c r="A73" i="3" s="1"/>
  <c r="A73" i="6" s="1"/>
  <c r="A74" i="3" a="1"/>
  <c r="A74" i="3" s="1"/>
  <c r="A74" i="6" s="1"/>
  <c r="A75" i="3" a="1"/>
  <c r="A75" i="3" s="1"/>
  <c r="A75" i="6" s="1"/>
  <c r="A76" i="3" a="1"/>
  <c r="A76" i="3" s="1"/>
  <c r="A76" i="6" s="1"/>
  <c r="A77" i="3" a="1"/>
  <c r="A77" i="3" s="1"/>
  <c r="A78" i="3" a="1"/>
  <c r="A78" i="3" s="1"/>
  <c r="A78" i="6" s="1"/>
  <c r="A79" i="3" a="1"/>
  <c r="A79" i="3" s="1"/>
  <c r="A79" i="6" s="1"/>
  <c r="A80" i="3" a="1"/>
  <c r="A80" i="3" s="1"/>
  <c r="A81" i="3" a="1"/>
  <c r="A81" i="3" s="1"/>
  <c r="A81" i="6" s="1"/>
  <c r="A82" i="3" a="1"/>
  <c r="A82" i="3" s="1"/>
  <c r="A82" i="6" s="1"/>
  <c r="A83" i="3" a="1"/>
  <c r="A83" i="3" s="1"/>
  <c r="A83" i="6" s="1"/>
  <c r="A84" i="3" a="1"/>
  <c r="A84" i="3" s="1"/>
  <c r="A84" i="6" s="1"/>
  <c r="A85" i="3" a="1"/>
  <c r="A85" i="3" s="1"/>
  <c r="A85" i="6" s="1"/>
  <c r="A86" i="3" a="1"/>
  <c r="A86" i="3" s="1"/>
  <c r="A87" i="3" a="1"/>
  <c r="A87" i="3" s="1"/>
  <c r="A87" i="6" s="1"/>
  <c r="A88" i="3" a="1"/>
  <c r="A88" i="3" s="1"/>
  <c r="A88" i="6" s="1"/>
  <c r="A89" i="3" a="1"/>
  <c r="A89" i="3" s="1"/>
  <c r="A89" i="6" s="1"/>
  <c r="A90" i="3" a="1"/>
  <c r="A90" i="3" s="1"/>
  <c r="A90" i="6" s="1"/>
  <c r="A91" i="3" a="1"/>
  <c r="A91" i="3" s="1"/>
  <c r="A91" i="6" s="1"/>
  <c r="A92" i="3" a="1"/>
  <c r="A92" i="3" s="1"/>
  <c r="A92" i="6" s="1"/>
  <c r="A93" i="3" a="1"/>
  <c r="A93" i="3" s="1"/>
  <c r="A93" i="6" s="1"/>
  <c r="A94" i="3" a="1"/>
  <c r="A94" i="3" s="1"/>
  <c r="A94" i="6" s="1"/>
  <c r="A95" i="3" a="1"/>
  <c r="A95" i="3" s="1"/>
  <c r="A96" i="3" a="1"/>
  <c r="A96" i="3" s="1"/>
  <c r="A96" i="6" s="1"/>
  <c r="A97" i="3" a="1"/>
  <c r="A97" i="3" s="1"/>
  <c r="A97" i="6" s="1"/>
  <c r="A98" i="3" a="1"/>
  <c r="A98" i="3" s="1"/>
  <c r="A98" i="6" s="1"/>
  <c r="A99" i="3" a="1"/>
  <c r="A99" i="3" s="1"/>
  <c r="A99" i="6" s="1"/>
  <c r="A100" i="3" a="1"/>
  <c r="A100" i="3" s="1"/>
  <c r="A100" i="6" s="1"/>
  <c r="A101" i="3" a="1"/>
  <c r="A101" i="3" s="1"/>
  <c r="A101" i="6" s="1"/>
  <c r="A102" i="3" a="1"/>
  <c r="A102" i="3" s="1"/>
  <c r="A102" i="6" s="1"/>
  <c r="A103" i="3" a="1"/>
  <c r="A103" i="3" s="1"/>
  <c r="A103" i="6" s="1"/>
  <c r="A104" i="3" a="1"/>
  <c r="A104" i="3" s="1"/>
  <c r="A104" i="6" s="1"/>
  <c r="A105" i="3" a="1"/>
  <c r="A105" i="3" s="1"/>
  <c r="A105" i="6" s="1"/>
  <c r="A106" i="3" a="1"/>
  <c r="A106" i="3" s="1"/>
  <c r="A106" i="6" s="1"/>
  <c r="A107" i="3" a="1"/>
  <c r="A107" i="3" s="1"/>
  <c r="A107" i="6" s="1"/>
  <c r="A108" i="3" a="1"/>
  <c r="A108" i="3" s="1"/>
  <c r="A108" i="6" s="1"/>
  <c r="A109" i="3" a="1"/>
  <c r="A109" i="3" s="1"/>
  <c r="A109" i="6" s="1"/>
  <c r="A110" i="3" a="1"/>
  <c r="A110" i="3" s="1"/>
  <c r="A110" i="6" s="1"/>
  <c r="A111" i="3" a="1"/>
  <c r="A111" i="3" s="1"/>
  <c r="A112" i="3" a="1"/>
  <c r="A112" i="3" s="1"/>
  <c r="A112" i="6" s="1"/>
  <c r="A113" i="3" a="1"/>
  <c r="A113" i="3" s="1"/>
  <c r="A114" i="3" a="1"/>
  <c r="A114" i="3" s="1"/>
  <c r="A114" i="6" s="1"/>
  <c r="A115" i="3" a="1"/>
  <c r="A115" i="3" s="1"/>
  <c r="A115" i="6" s="1"/>
  <c r="A116" i="3" a="1"/>
  <c r="A116" i="3" s="1"/>
  <c r="A116" i="6" s="1"/>
  <c r="A117" i="3" a="1"/>
  <c r="A117" i="3" s="1"/>
  <c r="A117" i="6" s="1"/>
  <c r="A118" i="3" a="1"/>
  <c r="A118" i="3" s="1"/>
  <c r="A118" i="6" s="1"/>
  <c r="A119" i="3" a="1"/>
  <c r="A119" i="3" s="1"/>
  <c r="A119" i="6" s="1"/>
  <c r="A120" i="3" a="1"/>
  <c r="A120" i="3" s="1"/>
  <c r="A120" i="6" s="1"/>
  <c r="A121" i="3" a="1"/>
  <c r="A121" i="3" s="1"/>
  <c r="A121" i="6" s="1"/>
  <c r="A122" i="3" a="1"/>
  <c r="A122" i="3" s="1"/>
  <c r="A122" i="6" s="1"/>
  <c r="A123" i="3" a="1"/>
  <c r="A123" i="3" s="1"/>
  <c r="A123" i="6" s="1"/>
  <c r="A124" i="3" a="1"/>
  <c r="A124" i="3" s="1"/>
  <c r="A124" i="6" s="1"/>
  <c r="A125" i="3" a="1"/>
  <c r="A125" i="3" s="1"/>
  <c r="A125" i="6" s="1"/>
  <c r="A126" i="3" a="1"/>
  <c r="A126" i="3" s="1"/>
  <c r="A126" i="6" s="1"/>
  <c r="A127" i="3" a="1"/>
  <c r="A127" i="3" s="1"/>
  <c r="A127" i="6" s="1"/>
  <c r="A128" i="3" a="1"/>
  <c r="A128" i="3" s="1"/>
  <c r="A128" i="6" s="1"/>
  <c r="A129" i="3" a="1"/>
  <c r="A129" i="3" s="1"/>
  <c r="A129" i="6" s="1"/>
  <c r="A130" i="3" a="1"/>
  <c r="A130" i="3" s="1"/>
  <c r="A130" i="6" s="1"/>
  <c r="A131" i="3" a="1"/>
  <c r="A131" i="3" s="1"/>
  <c r="A131" i="6" s="1"/>
  <c r="A132" i="3" a="1"/>
  <c r="A132" i="3" s="1"/>
  <c r="A133" i="3" a="1"/>
  <c r="A133" i="3" s="1"/>
  <c r="A133" i="6" s="1"/>
  <c r="A134" i="3" a="1"/>
  <c r="A134" i="3" s="1"/>
  <c r="A134" i="6" s="1"/>
  <c r="A135" i="3" a="1"/>
  <c r="A135" i="3" s="1"/>
  <c r="A136" i="3" a="1"/>
  <c r="A136" i="3" s="1"/>
  <c r="A136" i="6" s="1"/>
  <c r="A137" i="3" a="1"/>
  <c r="A137" i="3" s="1"/>
  <c r="A138" i="3" a="1"/>
  <c r="A138" i="3" s="1"/>
  <c r="A138" i="6" s="1"/>
  <c r="A139" i="3" a="1"/>
  <c r="A139" i="3" s="1"/>
  <c r="A139" i="6" s="1"/>
  <c r="A140" i="3" a="1"/>
  <c r="A140" i="3" s="1"/>
  <c r="A140" i="6" s="1"/>
  <c r="A141" i="3" a="1"/>
  <c r="A141" i="3" s="1"/>
  <c r="A141" i="6" s="1"/>
  <c r="A142" i="3" a="1"/>
  <c r="A142" i="3" s="1"/>
  <c r="A142" i="6" s="1"/>
  <c r="A143" i="3" a="1"/>
  <c r="A143" i="3" s="1"/>
  <c r="A143" i="6" s="1"/>
  <c r="A144" i="3" a="1"/>
  <c r="A144" i="3" s="1"/>
  <c r="A144" i="6" s="1"/>
  <c r="A145" i="3" a="1"/>
  <c r="A145" i="3" s="1"/>
  <c r="A145" i="6" s="1"/>
  <c r="A146" i="3" a="1"/>
  <c r="A146" i="3" s="1"/>
  <c r="A146" i="6" s="1"/>
  <c r="A147" i="3" a="1"/>
  <c r="A147" i="3" s="1"/>
  <c r="A147" i="6" s="1"/>
  <c r="A148" i="3" a="1"/>
  <c r="A148" i="3" s="1"/>
  <c r="A148" i="6" s="1"/>
  <c r="A149" i="3" a="1"/>
  <c r="A149" i="3" s="1"/>
  <c r="A150" i="3" a="1"/>
  <c r="A150" i="3" s="1"/>
  <c r="A150" i="6" s="1"/>
  <c r="A151" i="3" a="1"/>
  <c r="A151" i="3" s="1"/>
  <c r="A151" i="6" s="1"/>
  <c r="A152" i="3" a="1"/>
  <c r="A152" i="3" s="1"/>
  <c r="A152" i="6" s="1"/>
  <c r="A153" i="3" a="1"/>
  <c r="A153" i="3" s="1"/>
  <c r="A154" i="3" a="1"/>
  <c r="A154" i="3" s="1"/>
  <c r="A154" i="6" s="1"/>
  <c r="A155" i="3" a="1"/>
  <c r="A155" i="3" s="1"/>
  <c r="A155" i="6" s="1"/>
  <c r="A156" i="3" a="1"/>
  <c r="A156" i="3" s="1"/>
  <c r="A156" i="6" s="1"/>
  <c r="A157" i="3" a="1"/>
  <c r="A157" i="3" s="1"/>
  <c r="A157" i="6" s="1"/>
  <c r="A158" i="3" a="1"/>
  <c r="A158" i="3" s="1"/>
  <c r="A158" i="6" s="1"/>
  <c r="A159" i="3" a="1"/>
  <c r="A159" i="3" s="1"/>
  <c r="A159" i="6" s="1"/>
  <c r="A160" i="3" a="1"/>
  <c r="A160" i="3" s="1"/>
  <c r="A160" i="6" s="1"/>
  <c r="A161" i="3" a="1"/>
  <c r="A161" i="3" s="1"/>
  <c r="A162" i="3" a="1"/>
  <c r="A162" i="3" s="1"/>
  <c r="A162" i="6" s="1"/>
  <c r="A163" i="3" a="1"/>
  <c r="A163" i="3" s="1"/>
  <c r="A163" i="6" s="1"/>
  <c r="A164" i="3" a="1"/>
  <c r="A164" i="3" s="1"/>
  <c r="A164" i="6" s="1"/>
  <c r="A165" i="3" a="1"/>
  <c r="A165" i="3" s="1"/>
  <c r="A166" i="3" a="1"/>
  <c r="A166" i="3" s="1"/>
  <c r="A166" i="6" s="1"/>
  <c r="A167" i="3" a="1"/>
  <c r="A167" i="3" s="1"/>
  <c r="A168" i="3" a="1"/>
  <c r="A168" i="3" s="1"/>
  <c r="A168" i="6" s="1"/>
  <c r="A169" i="3" a="1"/>
  <c r="A169" i="3" s="1"/>
  <c r="A169" i="6" s="1"/>
  <c r="A170" i="3" a="1"/>
  <c r="A170" i="3" s="1"/>
  <c r="A170" i="6" s="1"/>
  <c r="A171" i="3" a="1"/>
  <c r="A171" i="3" s="1"/>
  <c r="A171" i="6" s="1"/>
  <c r="A172" i="3" a="1"/>
  <c r="A172" i="3" s="1"/>
  <c r="A172" i="6" s="1"/>
  <c r="A173" i="3" a="1"/>
  <c r="A173" i="3" s="1"/>
  <c r="A173" i="6" s="1"/>
  <c r="A174" i="3" a="1"/>
  <c r="A174" i="3" s="1"/>
  <c r="A174" i="6" s="1"/>
  <c r="A175" i="3" a="1"/>
  <c r="A175" i="3" s="1"/>
  <c r="A175" i="6" s="1"/>
  <c r="A176" i="3" a="1"/>
  <c r="A176" i="3" s="1"/>
  <c r="A176" i="6" s="1"/>
  <c r="A177" i="3" a="1"/>
  <c r="A177" i="3" s="1"/>
  <c r="A177" i="6" s="1"/>
  <c r="A178" i="3" a="1"/>
  <c r="A178" i="3" s="1"/>
  <c r="A178" i="6" s="1"/>
  <c r="A179" i="3" a="1"/>
  <c r="A179" i="3" s="1"/>
  <c r="A179" i="6" s="1"/>
  <c r="A180" i="3" a="1"/>
  <c r="A180" i="3" s="1"/>
  <c r="A180" i="6" s="1"/>
  <c r="A181" i="3" a="1"/>
  <c r="A181" i="3" s="1"/>
  <c r="A181" i="6" s="1"/>
  <c r="A182" i="3" a="1"/>
  <c r="A182" i="3" s="1"/>
  <c r="A182" i="6" s="1"/>
  <c r="A183" i="3" a="1"/>
  <c r="A183" i="3" s="1"/>
  <c r="A183" i="6" s="1"/>
  <c r="A184" i="3" a="1"/>
  <c r="A184" i="3" s="1"/>
  <c r="A184" i="6" s="1"/>
  <c r="A185" i="3" a="1"/>
  <c r="A185" i="3" s="1"/>
  <c r="A185" i="6" s="1"/>
  <c r="A186" i="3" a="1"/>
  <c r="A186" i="3" s="1"/>
  <c r="A186" i="6" s="1"/>
  <c r="A187" i="3" a="1"/>
  <c r="A187" i="3" s="1"/>
  <c r="A187" i="6" s="1"/>
  <c r="A188" i="3" a="1"/>
  <c r="A188" i="3" s="1"/>
  <c r="A188" i="6" s="1"/>
  <c r="A189" i="3" a="1"/>
  <c r="A189" i="3" s="1"/>
  <c r="A189" i="6" s="1"/>
  <c r="A190" i="3" a="1"/>
  <c r="A190" i="3" s="1"/>
  <c r="A190" i="6" s="1"/>
  <c r="A191" i="3" a="1"/>
  <c r="A191" i="3" s="1"/>
  <c r="A191" i="6" s="1"/>
  <c r="A192" i="3" a="1"/>
  <c r="A192" i="3" s="1"/>
  <c r="A192" i="6" s="1"/>
  <c r="A193" i="3" a="1"/>
  <c r="A193" i="3" s="1"/>
  <c r="A193" i="6" s="1"/>
  <c r="A194" i="3" a="1"/>
  <c r="A194" i="3" s="1"/>
  <c r="A195" i="3" a="1"/>
  <c r="A195" i="3" s="1"/>
  <c r="A196" i="3" a="1"/>
  <c r="A196" i="3" s="1"/>
  <c r="A196" i="6" s="1"/>
  <c r="A197" i="3" a="1"/>
  <c r="A197" i="3" s="1"/>
  <c r="A197" i="6" s="1"/>
  <c r="A198" i="3" a="1"/>
  <c r="A198" i="3" s="1"/>
  <c r="A198" i="6" s="1"/>
  <c r="A199" i="3" a="1"/>
  <c r="A199" i="3" s="1"/>
  <c r="A199" i="6" s="1"/>
  <c r="A200" i="3" a="1"/>
  <c r="A200" i="3" s="1"/>
  <c r="A200" i="6" s="1"/>
  <c r="A201" i="3" a="1"/>
  <c r="A201" i="3" s="1"/>
  <c r="A201" i="6" s="1"/>
  <c r="A202" i="3" a="1"/>
  <c r="A202" i="3" s="1"/>
  <c r="A202" i="6" s="1"/>
  <c r="A203" i="3" a="1"/>
  <c r="A203" i="3" s="1"/>
  <c r="A203" i="6" s="1"/>
  <c r="A204" i="3" a="1"/>
  <c r="A204" i="3" s="1"/>
  <c r="A204" i="6" s="1"/>
  <c r="A205" i="3" a="1"/>
  <c r="A205" i="3" s="1"/>
  <c r="A205" i="6" s="1"/>
  <c r="A206" i="3" a="1"/>
  <c r="A206" i="3" s="1"/>
  <c r="A207" i="3" a="1"/>
  <c r="A207" i="3" s="1"/>
  <c r="A207" i="6" s="1"/>
  <c r="A208" i="3" a="1"/>
  <c r="A208" i="3" s="1"/>
  <c r="A208" i="6" s="1"/>
  <c r="A209" i="3" a="1"/>
  <c r="A209" i="3" s="1"/>
  <c r="A210" i="3" a="1"/>
  <c r="A210" i="3" s="1"/>
  <c r="A210" i="6" s="1"/>
  <c r="A211" i="3" a="1"/>
  <c r="A211" i="3" s="1"/>
  <c r="A211" i="6" s="1"/>
  <c r="A212" i="3" a="1"/>
  <c r="A212" i="3" s="1"/>
  <c r="A212" i="6" s="1"/>
  <c r="A213" i="3" a="1"/>
  <c r="A213" i="3" s="1"/>
  <c r="A213" i="6" s="1"/>
  <c r="A214" i="3" a="1"/>
  <c r="A214" i="3" s="1"/>
  <c r="A214" i="6" s="1"/>
  <c r="A215" i="3" a="1"/>
  <c r="A215" i="3" s="1"/>
  <c r="A216" i="3" a="1"/>
  <c r="A216" i="3" s="1"/>
  <c r="A216" i="6" s="1"/>
  <c r="A217" i="3" a="1"/>
  <c r="A217" i="3" s="1"/>
  <c r="A217" i="6" s="1"/>
  <c r="A218" i="3" a="1"/>
  <c r="A218" i="3" s="1"/>
  <c r="A218" i="6" s="1"/>
  <c r="A219" i="3" a="1"/>
  <c r="A219" i="3" s="1"/>
  <c r="A220" i="3" a="1"/>
  <c r="A220" i="3" s="1"/>
  <c r="A220" i="6" s="1"/>
  <c r="A221" i="3" a="1"/>
  <c r="A221" i="3" s="1"/>
  <c r="A222" i="3" a="1"/>
  <c r="A222" i="3" s="1"/>
  <c r="A222" i="6" s="1"/>
  <c r="A223" i="3" a="1"/>
  <c r="A223" i="3" s="1"/>
  <c r="A223" i="6" s="1"/>
  <c r="A224" i="3" a="1"/>
  <c r="A224" i="3" s="1"/>
  <c r="A224" i="6" s="1"/>
  <c r="A225" i="3" a="1"/>
  <c r="A225" i="3" s="1"/>
  <c r="A226" i="3" a="1"/>
  <c r="A226" i="3" s="1"/>
  <c r="A226" i="6" s="1"/>
  <c r="A227" i="3" a="1"/>
  <c r="A227" i="3" s="1"/>
  <c r="A228" i="3" a="1"/>
  <c r="A228" i="3" s="1"/>
  <c r="A228" i="6" s="1"/>
  <c r="A229" i="3" a="1"/>
  <c r="A229" i="3" s="1"/>
  <c r="A229" i="6" s="1"/>
  <c r="A230" i="3" a="1"/>
  <c r="A230" i="3" s="1"/>
  <c r="A230" i="6" s="1"/>
  <c r="A231" i="3" a="1"/>
  <c r="A231" i="3" s="1"/>
  <c r="A232" i="3" a="1"/>
  <c r="A232" i="3" s="1"/>
  <c r="A232" i="6" s="1"/>
  <c r="A233" i="3" a="1"/>
  <c r="A233" i="3" s="1"/>
  <c r="A233" i="6" s="1"/>
  <c r="A234" i="3" a="1"/>
  <c r="A234" i="3" s="1"/>
  <c r="A235" i="3" a="1"/>
  <c r="A235" i="3" s="1"/>
  <c r="A235" i="6" s="1"/>
  <c r="A236" i="3" a="1"/>
  <c r="A236" i="3" s="1"/>
  <c r="A236" i="6" s="1"/>
  <c r="A237" i="3" a="1"/>
  <c r="A237" i="3" s="1"/>
  <c r="A237" i="6" s="1"/>
  <c r="A238" i="3" a="1"/>
  <c r="A238" i="3" s="1"/>
  <c r="A238" i="6" s="1"/>
  <c r="A239" i="3" a="1"/>
  <c r="A239" i="3" s="1"/>
  <c r="A239" i="6" s="1"/>
  <c r="A240" i="3" a="1"/>
  <c r="A240" i="3" s="1"/>
  <c r="A240" i="6" s="1"/>
  <c r="A241" i="3" a="1"/>
  <c r="A241" i="3" s="1"/>
  <c r="A241" i="6" s="1"/>
  <c r="A242" i="3" a="1"/>
  <c r="A242" i="3" s="1"/>
  <c r="A242" i="6" s="1"/>
  <c r="A243" i="3" a="1"/>
  <c r="A243" i="3" s="1"/>
  <c r="A243" i="6" s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A13" i="1"/>
  <c r="B13" i="1" s="1"/>
  <c r="D13" i="15" s="1"/>
  <c r="A14" i="1"/>
  <c r="B14" i="1" s="1"/>
  <c r="D14" i="15" s="1"/>
  <c r="A15" i="1"/>
  <c r="A16" i="1"/>
  <c r="A17" i="1"/>
  <c r="A18" i="1"/>
  <c r="A19" i="1"/>
  <c r="A20" i="1"/>
  <c r="A21" i="1"/>
  <c r="A22" i="1"/>
  <c r="A23" i="1"/>
  <c r="A24" i="1"/>
  <c r="A25" i="1"/>
  <c r="A26" i="1"/>
  <c r="B26" i="1" s="1"/>
  <c r="D26" i="15" s="1"/>
  <c r="A27" i="1"/>
  <c r="A28" i="1"/>
  <c r="A29" i="1"/>
  <c r="A30" i="1"/>
  <c r="A31" i="1"/>
  <c r="B31" i="1" s="1"/>
  <c r="D31" i="15" s="1"/>
  <c r="A32" i="1"/>
  <c r="A33" i="1"/>
  <c r="A34" i="1"/>
  <c r="B34" i="1" s="1"/>
  <c r="D34" i="15" s="1"/>
  <c r="A35" i="1"/>
  <c r="A36" i="1"/>
  <c r="A37" i="1"/>
  <c r="B37" i="1" s="1"/>
  <c r="D37" i="15" s="1"/>
  <c r="A38" i="1"/>
  <c r="B38" i="1" s="1"/>
  <c r="D38" i="15" s="1"/>
  <c r="A39" i="1"/>
  <c r="A40" i="1"/>
  <c r="A41" i="1"/>
  <c r="A42" i="1"/>
  <c r="A43" i="1"/>
  <c r="B43" i="1" s="1"/>
  <c r="D43" i="15" s="1"/>
  <c r="A44" i="1"/>
  <c r="A45" i="1"/>
  <c r="A46" i="1"/>
  <c r="B46" i="1" s="1"/>
  <c r="D46" i="15" s="1"/>
  <c r="A47" i="1"/>
  <c r="A48" i="1"/>
  <c r="A49" i="1"/>
  <c r="A50" i="1"/>
  <c r="B50" i="1" s="1"/>
  <c r="D50" i="15" s="1"/>
  <c r="A51" i="1"/>
  <c r="A52" i="1"/>
  <c r="A53" i="1"/>
  <c r="A54" i="1"/>
  <c r="A55" i="1"/>
  <c r="A56" i="1"/>
  <c r="A57" i="1"/>
  <c r="A58" i="1"/>
  <c r="A59" i="1"/>
  <c r="A60" i="1"/>
  <c r="A61" i="1"/>
  <c r="B61" i="1" s="1"/>
  <c r="D61" i="15" s="1"/>
  <c r="A62" i="1"/>
  <c r="B62" i="1" s="1"/>
  <c r="D62" i="15" s="1"/>
  <c r="A63" i="1"/>
  <c r="A64" i="1"/>
  <c r="A65" i="1"/>
  <c r="A66" i="1"/>
  <c r="A67" i="1"/>
  <c r="B67" i="1" s="1"/>
  <c r="D67" i="15" s="1"/>
  <c r="A68" i="1"/>
  <c r="A69" i="1"/>
  <c r="A70" i="1"/>
  <c r="B70" i="1" s="1"/>
  <c r="D70" i="15" s="1"/>
  <c r="A71" i="1"/>
  <c r="A72" i="1"/>
  <c r="A73" i="1"/>
  <c r="A74" i="1"/>
  <c r="B74" i="1" s="1"/>
  <c r="D74" i="15" s="1"/>
  <c r="A75" i="1"/>
  <c r="A76" i="1"/>
  <c r="A77" i="1"/>
  <c r="A78" i="1"/>
  <c r="A79" i="1"/>
  <c r="B79" i="1" s="1"/>
  <c r="D79" i="15" s="1"/>
  <c r="A80" i="1"/>
  <c r="A81" i="1"/>
  <c r="A82" i="1"/>
  <c r="A83" i="1"/>
  <c r="A84" i="1"/>
  <c r="A85" i="1"/>
  <c r="A86" i="1"/>
  <c r="B86" i="1" s="1"/>
  <c r="D86" i="15" s="1"/>
  <c r="A87" i="1"/>
  <c r="A88" i="1"/>
  <c r="A89" i="1"/>
  <c r="A90" i="1"/>
  <c r="A91" i="1"/>
  <c r="B91" i="1" s="1"/>
  <c r="D91" i="15" s="1"/>
  <c r="A92" i="1"/>
  <c r="A93" i="1"/>
  <c r="A94" i="1"/>
  <c r="A95" i="1"/>
  <c r="A96" i="1"/>
  <c r="A97" i="1"/>
  <c r="B97" i="1" s="1"/>
  <c r="D97" i="15" s="1"/>
  <c r="A98" i="1"/>
  <c r="B98" i="1" s="1"/>
  <c r="D98" i="15" s="1"/>
  <c r="A99" i="1"/>
  <c r="A100" i="1"/>
  <c r="A101" i="1"/>
  <c r="A102" i="1"/>
  <c r="A103" i="1"/>
  <c r="B103" i="1" s="1"/>
  <c r="D103" i="15" s="1"/>
  <c r="A104" i="1"/>
  <c r="A105" i="1"/>
  <c r="A106" i="1"/>
  <c r="B106" i="1" s="1"/>
  <c r="D106" i="15" s="1"/>
  <c r="A107" i="1"/>
  <c r="A108" i="1"/>
  <c r="A109" i="1"/>
  <c r="A110" i="1"/>
  <c r="B110" i="1" s="1"/>
  <c r="D110" i="15" s="1"/>
  <c r="A111" i="1"/>
  <c r="A112" i="1"/>
  <c r="A113" i="1"/>
  <c r="A114" i="1"/>
  <c r="A115" i="1"/>
  <c r="B115" i="1" s="1"/>
  <c r="D115" i="15" s="1"/>
  <c r="A116" i="1"/>
  <c r="A117" i="1"/>
  <c r="A118" i="1"/>
  <c r="B118" i="1" s="1"/>
  <c r="D118" i="15" s="1"/>
  <c r="A119" i="1"/>
  <c r="A120" i="1"/>
  <c r="A121" i="1"/>
  <c r="A122" i="1"/>
  <c r="B122" i="1" s="1"/>
  <c r="A123" i="1"/>
  <c r="A124" i="1"/>
  <c r="A125" i="1"/>
  <c r="A126" i="1"/>
  <c r="A127" i="1"/>
  <c r="B127" i="1" s="1"/>
  <c r="D127" i="15" s="1"/>
  <c r="A128" i="1"/>
  <c r="A129" i="1"/>
  <c r="A130" i="1"/>
  <c r="B130" i="1" s="1"/>
  <c r="D130" i="15" s="1"/>
  <c r="A131" i="1"/>
  <c r="A132" i="1"/>
  <c r="A133" i="1"/>
  <c r="B133" i="1" s="1"/>
  <c r="D133" i="15" s="1"/>
  <c r="A134" i="1"/>
  <c r="B134" i="1" s="1"/>
  <c r="D134" i="15" s="1"/>
  <c r="A135" i="1"/>
  <c r="A136" i="1"/>
  <c r="A137" i="1"/>
  <c r="A138" i="1"/>
  <c r="A139" i="1"/>
  <c r="B139" i="1" s="1"/>
  <c r="D139" i="15" s="1"/>
  <c r="A140" i="1"/>
  <c r="A141" i="1"/>
  <c r="A142" i="1"/>
  <c r="B142" i="1" s="1"/>
  <c r="D142" i="15" s="1"/>
  <c r="A143" i="1"/>
  <c r="A144" i="1"/>
  <c r="A145" i="1"/>
  <c r="A146" i="1"/>
  <c r="B146" i="1" s="1"/>
  <c r="D146" i="15" s="1"/>
  <c r="A147" i="1"/>
  <c r="A148" i="1"/>
  <c r="A149" i="1"/>
  <c r="A150" i="1"/>
  <c r="A151" i="1"/>
  <c r="B151" i="1" s="1"/>
  <c r="D151" i="15" s="1"/>
  <c r="A152" i="1"/>
  <c r="A153" i="1"/>
  <c r="A154" i="1"/>
  <c r="B154" i="1" s="1"/>
  <c r="D154" i="15" s="1"/>
  <c r="A155" i="1"/>
  <c r="A156" i="1"/>
  <c r="A157" i="1"/>
  <c r="A158" i="1"/>
  <c r="B158" i="1" s="1"/>
  <c r="D158" i="15" s="1"/>
  <c r="A159" i="1"/>
  <c r="B159" i="1" s="1"/>
  <c r="D159" i="15" s="1"/>
  <c r="A160" i="1"/>
  <c r="A161" i="1"/>
  <c r="B161" i="1" s="1"/>
  <c r="D161" i="15" s="1"/>
  <c r="A162" i="1"/>
  <c r="B162" i="1" s="1"/>
  <c r="D162" i="15" s="1"/>
  <c r="A163" i="1"/>
  <c r="B163" i="1" s="1"/>
  <c r="D163" i="15" s="1"/>
  <c r="A164" i="1"/>
  <c r="A165" i="1"/>
  <c r="B165" i="1" s="1"/>
  <c r="D165" i="15" s="1"/>
  <c r="A166" i="1"/>
  <c r="B166" i="1" s="1"/>
  <c r="D166" i="15" s="1"/>
  <c r="A167" i="1"/>
  <c r="B167" i="1" s="1"/>
  <c r="D167" i="15" s="1"/>
  <c r="A168" i="1"/>
  <c r="A169" i="1"/>
  <c r="B169" i="1" s="1"/>
  <c r="D169" i="15" s="1"/>
  <c r="A11" i="1"/>
  <c r="A10" i="1"/>
  <c r="A3" i="1"/>
  <c r="A4" i="1"/>
  <c r="A5" i="1"/>
  <c r="B5" i="1" s="1"/>
  <c r="D5" i="15" s="1"/>
  <c r="A6" i="1"/>
  <c r="A7" i="1"/>
  <c r="A8" i="1"/>
  <c r="A9" i="1"/>
  <c r="B9" i="1" s="1"/>
  <c r="D9" i="15" s="1"/>
  <c r="A2" i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E192" i="1" s="1"/>
  <c r="S36" i="4"/>
  <c r="S37" i="4"/>
  <c r="S38" i="4"/>
  <c r="S39" i="4"/>
  <c r="S40" i="4"/>
  <c r="S41" i="4"/>
  <c r="S42" i="4"/>
  <c r="S43" i="4"/>
  <c r="T43" i="4" s="1" a="1"/>
  <c r="T43" i="4" s="1"/>
  <c r="S44" i="4"/>
  <c r="T44" i="4" s="1" a="1"/>
  <c r="T44" i="4" s="1"/>
  <c r="S45" i="4"/>
  <c r="S46" i="4"/>
  <c r="T46" i="4" s="1" a="1"/>
  <c r="T46" i="4" s="1"/>
  <c r="S26" i="4"/>
  <c r="S27" i="4"/>
  <c r="S28" i="4"/>
  <c r="S29" i="4"/>
  <c r="S30" i="4"/>
  <c r="S31" i="4"/>
  <c r="S32" i="4"/>
  <c r="S33" i="4"/>
  <c r="S34" i="4"/>
  <c r="S35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U26" i="4" a="1"/>
  <c r="U26" i="4" s="1"/>
  <c r="U27" i="4" a="1"/>
  <c r="U27" i="4" s="1"/>
  <c r="U28" i="4" a="1"/>
  <c r="U28" i="4" s="1"/>
  <c r="U29" i="4" a="1"/>
  <c r="U29" i="4" s="1"/>
  <c r="U30" i="4" a="1"/>
  <c r="U30" i="4" s="1"/>
  <c r="U31" i="4" a="1"/>
  <c r="U31" i="4" s="1"/>
  <c r="U32" i="4" a="1"/>
  <c r="U32" i="4" s="1"/>
  <c r="U33" i="4" a="1"/>
  <c r="U33" i="4" s="1"/>
  <c r="U34" i="4" a="1"/>
  <c r="U34" i="4" s="1"/>
  <c r="U35" i="4" a="1"/>
  <c r="U35" i="4" s="1"/>
  <c r="U36" i="4" a="1"/>
  <c r="U36" i="4" s="1"/>
  <c r="U37" i="4" a="1"/>
  <c r="U37" i="4" s="1"/>
  <c r="U38" i="4" a="1"/>
  <c r="U38" i="4" s="1"/>
  <c r="U39" i="4" a="1"/>
  <c r="U39" i="4" s="1"/>
  <c r="U40" i="4" a="1"/>
  <c r="U40" i="4" s="1"/>
  <c r="U41" i="4" a="1"/>
  <c r="U41" i="4" s="1"/>
  <c r="U42" i="4" a="1"/>
  <c r="U42" i="4" s="1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49" i="4" a="1"/>
  <c r="U49" i="4" s="1"/>
  <c r="U50" i="4" a="1"/>
  <c r="U50" i="4" s="1"/>
  <c r="U51" i="4" a="1"/>
  <c r="U51" i="4" s="1"/>
  <c r="U52" i="4" a="1"/>
  <c r="U52" i="4" s="1"/>
  <c r="U53" i="4" a="1"/>
  <c r="U53" i="4" s="1"/>
  <c r="U54" i="4" a="1"/>
  <c r="U54" i="4" s="1"/>
  <c r="U55" i="4" a="1"/>
  <c r="U55" i="4" s="1"/>
  <c r="U56" i="4" a="1"/>
  <c r="U56" i="4" s="1"/>
  <c r="U57" i="4" a="1"/>
  <c r="U57" i="4" s="1"/>
  <c r="U58" i="4" a="1"/>
  <c r="U58" i="4" s="1"/>
  <c r="U59" i="4" a="1"/>
  <c r="U59" i="4" s="1"/>
  <c r="U60" i="4" a="1"/>
  <c r="U60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68" i="4" a="1"/>
  <c r="U68" i="4" s="1"/>
  <c r="U69" i="4" a="1"/>
  <c r="U69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U251" i="4" a="1"/>
  <c r="U251" i="4" s="1"/>
  <c r="U252" i="4" a="1"/>
  <c r="U252" i="4" s="1"/>
  <c r="S47" i="4"/>
  <c r="S48" i="4"/>
  <c r="S49" i="4"/>
  <c r="S50" i="4"/>
  <c r="S51" i="4"/>
  <c r="B6" i="1"/>
  <c r="D6" i="15" s="1"/>
  <c r="B8" i="1"/>
  <c r="D8" i="15" s="1"/>
  <c r="B17" i="1"/>
  <c r="B18" i="1"/>
  <c r="D18" i="15" s="1"/>
  <c r="B21" i="1"/>
  <c r="D21" i="15" s="1"/>
  <c r="B22" i="1"/>
  <c r="D22" i="15" s="1"/>
  <c r="B23" i="1"/>
  <c r="D23" i="15" s="1"/>
  <c r="B27" i="1"/>
  <c r="D27" i="15" s="1"/>
  <c r="B29" i="1"/>
  <c r="D29" i="15" s="1"/>
  <c r="B30" i="1"/>
  <c r="D30" i="15" s="1"/>
  <c r="B33" i="1"/>
  <c r="B35" i="1"/>
  <c r="D35" i="15" s="1"/>
  <c r="B39" i="1"/>
  <c r="D39" i="15" s="1"/>
  <c r="B41" i="1"/>
  <c r="D41" i="15" s="1"/>
  <c r="B42" i="1"/>
  <c r="D42" i="15" s="1"/>
  <c r="B47" i="1"/>
  <c r="D47" i="15" s="1"/>
  <c r="B51" i="1"/>
  <c r="D51" i="15" s="1"/>
  <c r="B53" i="1"/>
  <c r="D53" i="15" s="1"/>
  <c r="B54" i="1"/>
  <c r="D54" i="15" s="1"/>
  <c r="B58" i="1"/>
  <c r="D58" i="15" s="1"/>
  <c r="B59" i="1"/>
  <c r="D59" i="15" s="1"/>
  <c r="B60" i="1"/>
  <c r="D60" i="15" s="1"/>
  <c r="B63" i="1"/>
  <c r="D63" i="15" s="1"/>
  <c r="B65" i="1"/>
  <c r="D65" i="15" s="1"/>
  <c r="B66" i="1"/>
  <c r="D66" i="15" s="1"/>
  <c r="B69" i="1"/>
  <c r="D69" i="15" s="1"/>
  <c r="B75" i="1"/>
  <c r="D75" i="15" s="1"/>
  <c r="B81" i="1"/>
  <c r="D81" i="15" s="1"/>
  <c r="B82" i="1"/>
  <c r="D82" i="15" s="1"/>
  <c r="B83" i="1"/>
  <c r="D83" i="15" s="1"/>
  <c r="B87" i="1"/>
  <c r="D87" i="15" s="1"/>
  <c r="B93" i="1"/>
  <c r="D93" i="15" s="1"/>
  <c r="B94" i="1"/>
  <c r="D94" i="15" s="1"/>
  <c r="B99" i="1"/>
  <c r="D99" i="15" s="1"/>
  <c r="B101" i="1"/>
  <c r="D101" i="15" s="1"/>
  <c r="B105" i="1"/>
  <c r="D105" i="15" s="1"/>
  <c r="B111" i="1"/>
  <c r="D111" i="15" s="1"/>
  <c r="B117" i="1"/>
  <c r="D117" i="15" s="1"/>
  <c r="B119" i="1"/>
  <c r="D119" i="15" s="1"/>
  <c r="B123" i="1"/>
  <c r="D123" i="15" s="1"/>
  <c r="B129" i="1"/>
  <c r="D129" i="15" s="1"/>
  <c r="B135" i="1"/>
  <c r="D135" i="15" s="1"/>
  <c r="B137" i="1"/>
  <c r="D137" i="15" s="1"/>
  <c r="B141" i="1"/>
  <c r="D141" i="15" s="1"/>
  <c r="B147" i="1"/>
  <c r="D147" i="15" s="1"/>
  <c r="B153" i="1"/>
  <c r="D153" i="15" s="1"/>
  <c r="B2" i="1"/>
  <c r="D2" i="15" s="1"/>
  <c r="P454" i="5"/>
  <c r="P455" i="5"/>
  <c r="B4" i="1"/>
  <c r="D4" i="15" s="1"/>
  <c r="B10" i="1"/>
  <c r="D10" i="15" s="1"/>
  <c r="B15" i="1"/>
  <c r="D15" i="15" s="1"/>
  <c r="B19" i="1"/>
  <c r="D19" i="15" s="1"/>
  <c r="B25" i="1"/>
  <c r="D25" i="15" s="1"/>
  <c r="B45" i="1"/>
  <c r="D45" i="15" s="1"/>
  <c r="B49" i="1"/>
  <c r="B55" i="1"/>
  <c r="D55" i="15" s="1"/>
  <c r="B57" i="1"/>
  <c r="D57" i="15" s="1"/>
  <c r="B71" i="1"/>
  <c r="D71" i="15" s="1"/>
  <c r="B73" i="1"/>
  <c r="D73" i="15" s="1"/>
  <c r="B77" i="1"/>
  <c r="D77" i="15" s="1"/>
  <c r="B78" i="1"/>
  <c r="D78" i="15" s="1"/>
  <c r="B85" i="1"/>
  <c r="D85" i="15" s="1"/>
  <c r="B89" i="1"/>
  <c r="D89" i="15" s="1"/>
  <c r="B90" i="1"/>
  <c r="D90" i="15" s="1"/>
  <c r="B95" i="1"/>
  <c r="D95" i="15" s="1"/>
  <c r="B102" i="1"/>
  <c r="D102" i="15" s="1"/>
  <c r="B107" i="1"/>
  <c r="D107" i="15" s="1"/>
  <c r="B109" i="1"/>
  <c r="D109" i="15" s="1"/>
  <c r="B113" i="1"/>
  <c r="D113" i="15" s="1"/>
  <c r="B114" i="1"/>
  <c r="D114" i="15" s="1"/>
  <c r="B121" i="1"/>
  <c r="D121" i="15" s="1"/>
  <c r="B125" i="1"/>
  <c r="D125" i="15" s="1"/>
  <c r="B126" i="1"/>
  <c r="D126" i="15" s="1"/>
  <c r="B131" i="1"/>
  <c r="D131" i="15" s="1"/>
  <c r="B138" i="1"/>
  <c r="D138" i="15" s="1"/>
  <c r="B143" i="1"/>
  <c r="D143" i="15" s="1"/>
  <c r="B145" i="1"/>
  <c r="D145" i="15" s="1"/>
  <c r="B149" i="1"/>
  <c r="D149" i="15" s="1"/>
  <c r="B150" i="1"/>
  <c r="D150" i="15" s="1"/>
  <c r="B155" i="1"/>
  <c r="D155" i="15" s="1"/>
  <c r="B157" i="1"/>
  <c r="D157" i="15" s="1"/>
  <c r="A43" i="4"/>
  <c r="C43" i="4"/>
  <c r="D43" i="4" s="1"/>
  <c r="G43" i="4"/>
  <c r="H43" i="4" s="1"/>
  <c r="F43" i="4" s="1"/>
  <c r="L43" i="4"/>
  <c r="N43" i="4" s="1"/>
  <c r="P43" i="4" s="1"/>
  <c r="M43" i="4"/>
  <c r="O43" i="4" s="1" a="1"/>
  <c r="O43" i="4" s="1"/>
  <c r="A44" i="4"/>
  <c r="C44" i="4"/>
  <c r="D44" i="4" s="1"/>
  <c r="G44" i="4"/>
  <c r="H44" i="4" s="1"/>
  <c r="F44" i="4" s="1"/>
  <c r="L44" i="4"/>
  <c r="N44" i="4" s="1"/>
  <c r="P44" i="4" s="1"/>
  <c r="M44" i="4"/>
  <c r="O44" i="4" s="1" a="1"/>
  <c r="O44" i="4" s="1"/>
  <c r="A45" i="4"/>
  <c r="C45" i="4"/>
  <c r="D45" i="4" s="1"/>
  <c r="G45" i="4"/>
  <c r="H45" i="4" s="1"/>
  <c r="F45" i="4" s="1"/>
  <c r="L45" i="4"/>
  <c r="N45" i="4" s="1"/>
  <c r="P45" i="4" s="1"/>
  <c r="M45" i="4"/>
  <c r="O45" i="4" s="1" a="1"/>
  <c r="O45" i="4" s="1"/>
  <c r="T45" i="4" a="1"/>
  <c r="T45" i="4" s="1"/>
  <c r="A46" i="4"/>
  <c r="C46" i="4"/>
  <c r="D46" i="4" s="1"/>
  <c r="G46" i="4"/>
  <c r="H46" i="4" s="1"/>
  <c r="F46" i="4" s="1"/>
  <c r="L46" i="4"/>
  <c r="N46" i="4" s="1"/>
  <c r="P46" i="4" s="1"/>
  <c r="M46" i="4"/>
  <c r="O46" i="4" s="1" a="1"/>
  <c r="O46" i="4" s="1"/>
  <c r="A47" i="4"/>
  <c r="C47" i="4"/>
  <c r="D47" i="4" s="1"/>
  <c r="G47" i="4"/>
  <c r="H47" i="4" s="1"/>
  <c r="F47" i="4" s="1"/>
  <c r="L47" i="4"/>
  <c r="N47" i="4" s="1"/>
  <c r="P47" i="4" s="1"/>
  <c r="M47" i="4"/>
  <c r="O47" i="4" s="1" a="1"/>
  <c r="O47" i="4" s="1"/>
  <c r="T47" i="4" a="1"/>
  <c r="T47" i="4" s="1"/>
  <c r="A48" i="4"/>
  <c r="C48" i="4"/>
  <c r="D48" i="4" s="1"/>
  <c r="G48" i="4"/>
  <c r="H48" i="4" s="1"/>
  <c r="F48" i="4" s="1"/>
  <c r="L48" i="4"/>
  <c r="N48" i="4" s="1"/>
  <c r="P48" i="4" s="1"/>
  <c r="M48" i="4"/>
  <c r="O48" i="4" s="1" a="1"/>
  <c r="O48" i="4" s="1"/>
  <c r="T48" i="4" a="1"/>
  <c r="T48" i="4" s="1"/>
  <c r="A49" i="4"/>
  <c r="C49" i="4"/>
  <c r="D49" i="4" s="1"/>
  <c r="G49" i="4"/>
  <c r="H49" i="4" s="1"/>
  <c r="F49" i="4" s="1"/>
  <c r="L49" i="4"/>
  <c r="N49" i="4" s="1"/>
  <c r="P49" i="4" s="1"/>
  <c r="M49" i="4"/>
  <c r="O49" i="4" s="1" a="1"/>
  <c r="O49" i="4" s="1"/>
  <c r="T49" i="4" a="1"/>
  <c r="T49" i="4" s="1"/>
  <c r="A50" i="4"/>
  <c r="C50" i="4"/>
  <c r="D50" i="4" s="1"/>
  <c r="G50" i="4"/>
  <c r="H50" i="4" s="1"/>
  <c r="F50" i="4" s="1"/>
  <c r="L50" i="4"/>
  <c r="N50" i="4" s="1"/>
  <c r="P50" i="4" s="1"/>
  <c r="M50" i="4"/>
  <c r="O50" i="4" s="1" a="1"/>
  <c r="O50" i="4" s="1"/>
  <c r="T50" i="4" a="1"/>
  <c r="T50" i="4" s="1"/>
  <c r="A51" i="4"/>
  <c r="C51" i="4"/>
  <c r="D51" i="4" s="1"/>
  <c r="G51" i="4"/>
  <c r="H51" i="4" s="1"/>
  <c r="F51" i="4" s="1"/>
  <c r="L51" i="4"/>
  <c r="N51" i="4" s="1"/>
  <c r="P51" i="4" s="1"/>
  <c r="M51" i="4"/>
  <c r="O51" i="4" s="1" a="1"/>
  <c r="O51" i="4" s="1"/>
  <c r="T51" i="4" a="1"/>
  <c r="T51" i="4" s="1"/>
  <c r="A52" i="4"/>
  <c r="C52" i="4"/>
  <c r="D52" i="4" s="1"/>
  <c r="G52" i="4"/>
  <c r="H52" i="4" s="1"/>
  <c r="F52" i="4" s="1"/>
  <c r="L52" i="4"/>
  <c r="N52" i="4" s="1"/>
  <c r="P52" i="4" s="1"/>
  <c r="M52" i="4"/>
  <c r="O52" i="4" s="1" a="1"/>
  <c r="O52" i="4" s="1"/>
  <c r="S52" i="4"/>
  <c r="T52" i="4" s="1" a="1"/>
  <c r="T52" i="4" s="1"/>
  <c r="A53" i="4"/>
  <c r="C53" i="4"/>
  <c r="D53" i="4" s="1"/>
  <c r="G53" i="4"/>
  <c r="H53" i="4" s="1"/>
  <c r="F53" i="4" s="1"/>
  <c r="L53" i="4"/>
  <c r="N53" i="4" s="1"/>
  <c r="P53" i="4" s="1"/>
  <c r="M53" i="4"/>
  <c r="O53" i="4" s="1" a="1"/>
  <c r="O53" i="4" s="1"/>
  <c r="S53" i="4"/>
  <c r="T53" i="4" s="1" a="1"/>
  <c r="T53" i="4" s="1"/>
  <c r="A54" i="4"/>
  <c r="C54" i="4"/>
  <c r="D54" i="4" s="1"/>
  <c r="G54" i="4"/>
  <c r="H54" i="4" s="1"/>
  <c r="F54" i="4" s="1"/>
  <c r="L54" i="4"/>
  <c r="N54" i="4" s="1"/>
  <c r="P54" i="4" s="1"/>
  <c r="M54" i="4"/>
  <c r="O54" i="4" s="1" a="1"/>
  <c r="O54" i="4" s="1"/>
  <c r="S54" i="4"/>
  <c r="T54" i="4" s="1" a="1"/>
  <c r="T54" i="4" s="1"/>
  <c r="A55" i="4"/>
  <c r="C55" i="4"/>
  <c r="D55" i="4" s="1"/>
  <c r="G55" i="4"/>
  <c r="H55" i="4" s="1"/>
  <c r="F55" i="4" s="1"/>
  <c r="L55" i="4"/>
  <c r="N55" i="4" s="1"/>
  <c r="P55" i="4" s="1"/>
  <c r="M55" i="4"/>
  <c r="O55" i="4" s="1" a="1"/>
  <c r="O55" i="4" s="1"/>
  <c r="S55" i="4"/>
  <c r="T55" i="4" s="1" a="1"/>
  <c r="T55" i="4" s="1"/>
  <c r="A56" i="4"/>
  <c r="C56" i="4"/>
  <c r="D56" i="4" s="1"/>
  <c r="G56" i="4"/>
  <c r="H56" i="4" s="1"/>
  <c r="F56" i="4" s="1"/>
  <c r="L56" i="4"/>
  <c r="N56" i="4" s="1"/>
  <c r="P56" i="4" s="1"/>
  <c r="M56" i="4"/>
  <c r="O56" i="4" s="1" a="1"/>
  <c r="O56" i="4" s="1"/>
  <c r="S56" i="4"/>
  <c r="T56" i="4" s="1" a="1"/>
  <c r="T56" i="4" s="1"/>
  <c r="A57" i="4"/>
  <c r="C57" i="4"/>
  <c r="D57" i="4" s="1"/>
  <c r="G57" i="4"/>
  <c r="H57" i="4" s="1"/>
  <c r="F57" i="4" s="1"/>
  <c r="L57" i="4"/>
  <c r="N57" i="4" s="1"/>
  <c r="P57" i="4" s="1"/>
  <c r="M57" i="4"/>
  <c r="O57" i="4" s="1" a="1"/>
  <c r="O57" i="4" s="1"/>
  <c r="S57" i="4"/>
  <c r="T57" i="4" s="1" a="1"/>
  <c r="T57" i="4" s="1"/>
  <c r="A58" i="4"/>
  <c r="C58" i="4"/>
  <c r="D58" i="4" s="1"/>
  <c r="G58" i="4"/>
  <c r="H58" i="4" s="1"/>
  <c r="F58" i="4" s="1"/>
  <c r="L58" i="4"/>
  <c r="N58" i="4" s="1"/>
  <c r="P58" i="4" s="1"/>
  <c r="M58" i="4"/>
  <c r="O58" i="4" s="1" a="1"/>
  <c r="O58" i="4" s="1"/>
  <c r="S58" i="4"/>
  <c r="T58" i="4" s="1" a="1"/>
  <c r="T58" i="4" s="1"/>
  <c r="A59" i="4"/>
  <c r="C59" i="4"/>
  <c r="D59" i="4" s="1"/>
  <c r="G59" i="4"/>
  <c r="H59" i="4" s="1"/>
  <c r="F59" i="4" s="1"/>
  <c r="L59" i="4"/>
  <c r="N59" i="4" s="1"/>
  <c r="P59" i="4" s="1"/>
  <c r="M59" i="4"/>
  <c r="O59" i="4" s="1" a="1"/>
  <c r="O59" i="4" s="1"/>
  <c r="S59" i="4"/>
  <c r="T59" i="4" s="1" a="1"/>
  <c r="T59" i="4" s="1"/>
  <c r="A60" i="4"/>
  <c r="C60" i="4"/>
  <c r="D60" i="4" s="1"/>
  <c r="G60" i="4"/>
  <c r="H60" i="4" s="1"/>
  <c r="F60" i="4" s="1"/>
  <c r="L60" i="4"/>
  <c r="N60" i="4" s="1"/>
  <c r="P60" i="4" s="1"/>
  <c r="M60" i="4"/>
  <c r="O60" i="4" s="1" a="1"/>
  <c r="O60" i="4" s="1"/>
  <c r="S60" i="4"/>
  <c r="T60" i="4" s="1" a="1"/>
  <c r="T60" i="4" s="1"/>
  <c r="A61" i="4"/>
  <c r="C61" i="4"/>
  <c r="D61" i="4" s="1"/>
  <c r="G61" i="4"/>
  <c r="H61" i="4" s="1"/>
  <c r="F61" i="4" s="1"/>
  <c r="L61" i="4"/>
  <c r="N61" i="4" s="1"/>
  <c r="P61" i="4" s="1"/>
  <c r="M61" i="4"/>
  <c r="O61" i="4" s="1" a="1"/>
  <c r="O61" i="4" s="1"/>
  <c r="S61" i="4"/>
  <c r="T61" i="4" s="1" a="1"/>
  <c r="T61" i="4" s="1"/>
  <c r="A62" i="4"/>
  <c r="C62" i="4"/>
  <c r="D62" i="4" s="1"/>
  <c r="G62" i="4"/>
  <c r="H62" i="4" s="1"/>
  <c r="F62" i="4" s="1"/>
  <c r="L62" i="4"/>
  <c r="N62" i="4" s="1"/>
  <c r="P62" i="4" s="1"/>
  <c r="M62" i="4"/>
  <c r="O62" i="4" s="1" a="1"/>
  <c r="O62" i="4" s="1"/>
  <c r="S62" i="4"/>
  <c r="T62" i="4" s="1" a="1"/>
  <c r="T62" i="4" s="1"/>
  <c r="A63" i="4"/>
  <c r="C63" i="4"/>
  <c r="D63" i="4" s="1"/>
  <c r="G63" i="4"/>
  <c r="H63" i="4" s="1"/>
  <c r="F63" i="4" s="1"/>
  <c r="L63" i="4"/>
  <c r="N63" i="4" s="1"/>
  <c r="P63" i="4" s="1"/>
  <c r="M63" i="4"/>
  <c r="O63" i="4" s="1" a="1"/>
  <c r="O63" i="4" s="1"/>
  <c r="S63" i="4"/>
  <c r="T63" i="4" s="1" a="1"/>
  <c r="T63" i="4" s="1"/>
  <c r="A64" i="4"/>
  <c r="C64" i="4"/>
  <c r="D64" i="4" s="1"/>
  <c r="G64" i="4"/>
  <c r="H64" i="4" s="1"/>
  <c r="F64" i="4" s="1"/>
  <c r="L64" i="4"/>
  <c r="N64" i="4" s="1"/>
  <c r="P64" i="4" s="1"/>
  <c r="M64" i="4"/>
  <c r="O64" i="4" s="1" a="1"/>
  <c r="O64" i="4" s="1"/>
  <c r="S64" i="4"/>
  <c r="T64" i="4" s="1" a="1"/>
  <c r="T64" i="4" s="1"/>
  <c r="A65" i="4"/>
  <c r="C65" i="4"/>
  <c r="D65" i="4" s="1"/>
  <c r="G65" i="4"/>
  <c r="H65" i="4" s="1"/>
  <c r="F65" i="4" s="1"/>
  <c r="L65" i="4"/>
  <c r="N65" i="4" s="1"/>
  <c r="P65" i="4" s="1"/>
  <c r="M65" i="4"/>
  <c r="O65" i="4" s="1" a="1"/>
  <c r="O65" i="4" s="1"/>
  <c r="S65" i="4"/>
  <c r="T65" i="4" s="1" a="1"/>
  <c r="T65" i="4" s="1"/>
  <c r="A66" i="4"/>
  <c r="C66" i="4"/>
  <c r="D66" i="4" s="1"/>
  <c r="G66" i="4"/>
  <c r="H66" i="4" s="1"/>
  <c r="F66" i="4" s="1"/>
  <c r="L66" i="4"/>
  <c r="N66" i="4" s="1"/>
  <c r="P66" i="4" s="1"/>
  <c r="M66" i="4"/>
  <c r="O66" i="4" s="1" a="1"/>
  <c r="O66" i="4" s="1"/>
  <c r="S66" i="4"/>
  <c r="T66" i="4" s="1" a="1"/>
  <c r="T66" i="4" s="1"/>
  <c r="A67" i="4"/>
  <c r="C67" i="4"/>
  <c r="D67" i="4" s="1"/>
  <c r="G67" i="4"/>
  <c r="H67" i="4" s="1"/>
  <c r="F67" i="4" s="1"/>
  <c r="L67" i="4"/>
  <c r="N67" i="4" s="1"/>
  <c r="P67" i="4" s="1"/>
  <c r="M67" i="4"/>
  <c r="O67" i="4" s="1" a="1"/>
  <c r="O67" i="4" s="1"/>
  <c r="S67" i="4"/>
  <c r="T67" i="4" s="1" a="1"/>
  <c r="T67" i="4" s="1"/>
  <c r="A68" i="4"/>
  <c r="C68" i="4"/>
  <c r="D68" i="4" s="1"/>
  <c r="G68" i="4"/>
  <c r="H68" i="4" s="1"/>
  <c r="F68" i="4" s="1"/>
  <c r="L68" i="4"/>
  <c r="N68" i="4" s="1"/>
  <c r="P68" i="4" s="1"/>
  <c r="M68" i="4"/>
  <c r="O68" i="4" s="1" a="1"/>
  <c r="O68" i="4" s="1"/>
  <c r="S68" i="4"/>
  <c r="T68" i="4" s="1" a="1"/>
  <c r="T68" i="4" s="1"/>
  <c r="A69" i="4"/>
  <c r="C69" i="4"/>
  <c r="D69" i="4" s="1"/>
  <c r="G69" i="4"/>
  <c r="H69" i="4" s="1"/>
  <c r="F69" i="4" s="1"/>
  <c r="L69" i="4"/>
  <c r="N69" i="4" s="1"/>
  <c r="P69" i="4" s="1"/>
  <c r="M69" i="4"/>
  <c r="O69" i="4" s="1" a="1"/>
  <c r="O69" i="4" s="1"/>
  <c r="S69" i="4"/>
  <c r="T69" i="4" s="1" a="1"/>
  <c r="T69" i="4" s="1"/>
  <c r="A70" i="4"/>
  <c r="C70" i="4"/>
  <c r="D70" i="4" s="1"/>
  <c r="G70" i="4"/>
  <c r="H70" i="4" s="1"/>
  <c r="F70" i="4" s="1"/>
  <c r="L70" i="4"/>
  <c r="N70" i="4" s="1"/>
  <c r="P70" i="4" s="1"/>
  <c r="M70" i="4"/>
  <c r="O70" i="4" s="1" a="1"/>
  <c r="O70" i="4" s="1"/>
  <c r="S70" i="4"/>
  <c r="T70" i="4" s="1" a="1"/>
  <c r="T70" i="4" s="1"/>
  <c r="A71" i="4"/>
  <c r="C71" i="4"/>
  <c r="D71" i="4" s="1"/>
  <c r="G71" i="4"/>
  <c r="H71" i="4" s="1"/>
  <c r="F71" i="4" s="1"/>
  <c r="L71" i="4"/>
  <c r="N71" i="4" s="1"/>
  <c r="P71" i="4" s="1"/>
  <c r="M71" i="4"/>
  <c r="O71" i="4" s="1" a="1"/>
  <c r="O71" i="4" s="1"/>
  <c r="S71" i="4"/>
  <c r="T71" i="4" s="1" a="1"/>
  <c r="T71" i="4" s="1"/>
  <c r="A72" i="4"/>
  <c r="C72" i="4"/>
  <c r="D72" i="4" s="1"/>
  <c r="G72" i="4"/>
  <c r="H72" i="4" s="1"/>
  <c r="F72" i="4" s="1"/>
  <c r="L72" i="4"/>
  <c r="N72" i="4" s="1"/>
  <c r="P72" i="4" s="1"/>
  <c r="M72" i="4"/>
  <c r="O72" i="4" s="1" a="1"/>
  <c r="O72" i="4" s="1"/>
  <c r="S72" i="4"/>
  <c r="T72" i="4" s="1" a="1"/>
  <c r="T72" i="4" s="1"/>
  <c r="A73" i="4"/>
  <c r="C73" i="4"/>
  <c r="D73" i="4" s="1"/>
  <c r="G73" i="4"/>
  <c r="H73" i="4" s="1"/>
  <c r="F73" i="4" s="1"/>
  <c r="L73" i="4"/>
  <c r="N73" i="4" s="1"/>
  <c r="P73" i="4" s="1"/>
  <c r="M73" i="4"/>
  <c r="O73" i="4" s="1" a="1"/>
  <c r="O73" i="4" s="1"/>
  <c r="S73" i="4"/>
  <c r="T73" i="4" s="1" a="1"/>
  <c r="T73" i="4" s="1"/>
  <c r="A74" i="4"/>
  <c r="C74" i="4"/>
  <c r="D74" i="4" s="1"/>
  <c r="G74" i="4"/>
  <c r="H74" i="4" s="1"/>
  <c r="F74" i="4" s="1"/>
  <c r="L74" i="4"/>
  <c r="N74" i="4" s="1"/>
  <c r="P74" i="4" s="1"/>
  <c r="M74" i="4"/>
  <c r="O74" i="4" s="1" a="1"/>
  <c r="O74" i="4" s="1"/>
  <c r="S74" i="4"/>
  <c r="T74" i="4" s="1" a="1"/>
  <c r="T74" i="4" s="1"/>
  <c r="A75" i="4"/>
  <c r="C75" i="4"/>
  <c r="D75" i="4" s="1"/>
  <c r="G75" i="4"/>
  <c r="H75" i="4" s="1"/>
  <c r="F75" i="4" s="1"/>
  <c r="L75" i="4"/>
  <c r="N75" i="4" s="1"/>
  <c r="P75" i="4" s="1"/>
  <c r="M75" i="4"/>
  <c r="O75" i="4" s="1" a="1"/>
  <c r="O75" i="4" s="1"/>
  <c r="S75" i="4"/>
  <c r="T75" i="4" s="1" a="1"/>
  <c r="T75" i="4" s="1"/>
  <c r="A76" i="4"/>
  <c r="C76" i="4"/>
  <c r="D76" i="4" s="1"/>
  <c r="G76" i="4"/>
  <c r="H76" i="4" s="1"/>
  <c r="F76" i="4" s="1"/>
  <c r="L76" i="4"/>
  <c r="N76" i="4" s="1"/>
  <c r="P76" i="4" s="1"/>
  <c r="M76" i="4"/>
  <c r="O76" i="4" s="1" a="1"/>
  <c r="O76" i="4" s="1"/>
  <c r="S76" i="4"/>
  <c r="T76" i="4" s="1" a="1"/>
  <c r="T76" i="4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S77" i="4"/>
  <c r="T77" i="4" s="1" a="1"/>
  <c r="T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S78" i="4"/>
  <c r="T78" i="4" s="1" a="1"/>
  <c r="T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S79" i="4"/>
  <c r="T79" i="4" s="1" a="1"/>
  <c r="T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S80" i="4"/>
  <c r="T80" i="4" s="1" a="1"/>
  <c r="T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S81" i="4"/>
  <c r="T81" i="4" s="1" a="1"/>
  <c r="T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S82" i="4"/>
  <c r="T82" i="4" s="1" a="1"/>
  <c r="T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S83" i="4"/>
  <c r="T83" i="4" s="1" a="1"/>
  <c r="T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S84" i="4"/>
  <c r="T84" i="4" s="1" a="1"/>
  <c r="T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S85" i="4"/>
  <c r="T85" i="4" s="1" a="1"/>
  <c r="T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S86" i="4"/>
  <c r="T86" i="4" s="1" a="1"/>
  <c r="T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S87" i="4"/>
  <c r="T87" i="4" s="1" a="1"/>
  <c r="T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S88" i="4"/>
  <c r="T88" i="4" s="1" a="1"/>
  <c r="T88" i="4" s="1"/>
  <c r="A89" i="4"/>
  <c r="F89" i="4"/>
  <c r="L89" i="4"/>
  <c r="N89" i="4" s="1"/>
  <c r="M89" i="4"/>
  <c r="S89" i="4"/>
  <c r="T89" i="4" s="1" a="1"/>
  <c r="T89" i="4" s="1"/>
  <c r="F90" i="4"/>
  <c r="L90" i="4"/>
  <c r="N90" i="4" s="1"/>
  <c r="M90" i="4"/>
  <c r="S90" i="4"/>
  <c r="T90" i="4" s="1" a="1"/>
  <c r="T90" i="4" s="1"/>
  <c r="F91" i="4"/>
  <c r="L91" i="4"/>
  <c r="N91" i="4" s="1"/>
  <c r="M91" i="4"/>
  <c r="S91" i="4"/>
  <c r="T91" i="4" s="1" a="1"/>
  <c r="T91" i="4" s="1"/>
  <c r="F92" i="4"/>
  <c r="L92" i="4"/>
  <c r="N92" i="4" s="1"/>
  <c r="M92" i="4"/>
  <c r="S92" i="4"/>
  <c r="T92" i="4" s="1" a="1"/>
  <c r="T92" i="4" s="1"/>
  <c r="F93" i="4"/>
  <c r="L93" i="4"/>
  <c r="N93" i="4" s="1"/>
  <c r="M93" i="4"/>
  <c r="S93" i="4"/>
  <c r="T93" i="4" s="1" a="1"/>
  <c r="T93" i="4" s="1"/>
  <c r="AC93" i="4" s="1"/>
  <c r="F94" i="4"/>
  <c r="L94" i="4"/>
  <c r="N94" i="4" s="1"/>
  <c r="M94" i="4"/>
  <c r="S94" i="4"/>
  <c r="T94" i="4" s="1" a="1"/>
  <c r="T94" i="4" s="1"/>
  <c r="F95" i="4"/>
  <c r="L95" i="4"/>
  <c r="N95" i="4" s="1"/>
  <c r="M95" i="4"/>
  <c r="S95" i="4"/>
  <c r="T95" i="4" s="1" a="1"/>
  <c r="T95" i="4" s="1"/>
  <c r="F96" i="4"/>
  <c r="L96" i="4"/>
  <c r="N96" i="4" s="1"/>
  <c r="M96" i="4"/>
  <c r="S96" i="4"/>
  <c r="T96" i="4" s="1" a="1"/>
  <c r="T96" i="4" s="1"/>
  <c r="F97" i="4"/>
  <c r="L97" i="4"/>
  <c r="N97" i="4" s="1"/>
  <c r="M97" i="4"/>
  <c r="S97" i="4"/>
  <c r="T97" i="4" s="1" a="1"/>
  <c r="T97" i="4" s="1"/>
  <c r="F98" i="4"/>
  <c r="L98" i="4"/>
  <c r="N98" i="4" s="1"/>
  <c r="M98" i="4"/>
  <c r="S98" i="4"/>
  <c r="T98" i="4" s="1" a="1"/>
  <c r="T98" i="4" s="1"/>
  <c r="F99" i="4"/>
  <c r="L99" i="4"/>
  <c r="N99" i="4" s="1"/>
  <c r="M99" i="4"/>
  <c r="S99" i="4"/>
  <c r="T99" i="4" s="1" a="1"/>
  <c r="T99" i="4" s="1"/>
  <c r="F100" i="4"/>
  <c r="L100" i="4"/>
  <c r="N100" i="4" s="1"/>
  <c r="M100" i="4"/>
  <c r="S100" i="4"/>
  <c r="T100" i="4" s="1" a="1"/>
  <c r="T100" i="4" s="1"/>
  <c r="F101" i="4"/>
  <c r="L101" i="4"/>
  <c r="N101" i="4" s="1"/>
  <c r="M101" i="4"/>
  <c r="S101" i="4"/>
  <c r="T101" i="4" s="1" a="1"/>
  <c r="T101" i="4" s="1"/>
  <c r="F102" i="4"/>
  <c r="L102" i="4"/>
  <c r="N102" i="4" s="1"/>
  <c r="M102" i="4"/>
  <c r="S102" i="4"/>
  <c r="T102" i="4" s="1" a="1"/>
  <c r="T102" i="4" s="1"/>
  <c r="F103" i="4"/>
  <c r="L103" i="4"/>
  <c r="N103" i="4" s="1"/>
  <c r="M103" i="4"/>
  <c r="S103" i="4"/>
  <c r="T103" i="4" s="1" a="1"/>
  <c r="T103" i="4" s="1"/>
  <c r="F104" i="4"/>
  <c r="L104" i="4"/>
  <c r="N104" i="4" s="1"/>
  <c r="M104" i="4"/>
  <c r="S104" i="4"/>
  <c r="T104" i="4" s="1" a="1"/>
  <c r="T104" i="4" s="1"/>
  <c r="F105" i="4"/>
  <c r="L105" i="4"/>
  <c r="N105" i="4" s="1"/>
  <c r="M105" i="4"/>
  <c r="S105" i="4"/>
  <c r="T105" i="4" s="1" a="1"/>
  <c r="T105" i="4" s="1"/>
  <c r="AC105" i="4" s="1"/>
  <c r="F106" i="4"/>
  <c r="L106" i="4"/>
  <c r="N106" i="4" s="1"/>
  <c r="M106" i="4"/>
  <c r="S106" i="4"/>
  <c r="T106" i="4" s="1" a="1"/>
  <c r="T106" i="4" s="1"/>
  <c r="F107" i="4"/>
  <c r="L107" i="4"/>
  <c r="N107" i="4" s="1"/>
  <c r="M107" i="4"/>
  <c r="S107" i="4"/>
  <c r="T107" i="4" s="1" a="1"/>
  <c r="T107" i="4" s="1"/>
  <c r="F108" i="4"/>
  <c r="L108" i="4"/>
  <c r="N108" i="4" s="1"/>
  <c r="M108" i="4"/>
  <c r="S108" i="4"/>
  <c r="T108" i="4" s="1" a="1"/>
  <c r="T108" i="4" s="1"/>
  <c r="F109" i="4"/>
  <c r="L109" i="4"/>
  <c r="N109" i="4" s="1"/>
  <c r="M109" i="4"/>
  <c r="S109" i="4"/>
  <c r="T109" i="4" s="1" a="1"/>
  <c r="T109" i="4" s="1"/>
  <c r="F110" i="4"/>
  <c r="L110" i="4"/>
  <c r="N110" i="4" s="1"/>
  <c r="M110" i="4"/>
  <c r="S110" i="4"/>
  <c r="T110" i="4" s="1" a="1"/>
  <c r="T110" i="4" s="1"/>
  <c r="F111" i="4"/>
  <c r="L111" i="4"/>
  <c r="N111" i="4" s="1"/>
  <c r="M111" i="4"/>
  <c r="S111" i="4"/>
  <c r="T111" i="4" s="1" a="1"/>
  <c r="T111" i="4" s="1"/>
  <c r="F112" i="4"/>
  <c r="L112" i="4"/>
  <c r="N112" i="4" s="1"/>
  <c r="M112" i="4"/>
  <c r="S112" i="4"/>
  <c r="T112" i="4" s="1" a="1"/>
  <c r="T112" i="4" s="1"/>
  <c r="F113" i="4"/>
  <c r="L113" i="4"/>
  <c r="N113" i="4" s="1"/>
  <c r="M113" i="4"/>
  <c r="S113" i="4"/>
  <c r="T113" i="4" s="1" a="1"/>
  <c r="T113" i="4" s="1"/>
  <c r="F114" i="4"/>
  <c r="L114" i="4"/>
  <c r="N114" i="4" s="1"/>
  <c r="M114" i="4"/>
  <c r="S114" i="4"/>
  <c r="T114" i="4" s="1" a="1"/>
  <c r="T114" i="4" s="1"/>
  <c r="F115" i="4"/>
  <c r="L115" i="4"/>
  <c r="N115" i="4" s="1"/>
  <c r="M115" i="4"/>
  <c r="S115" i="4"/>
  <c r="T115" i="4" s="1" a="1"/>
  <c r="T115" i="4" s="1"/>
  <c r="F116" i="4"/>
  <c r="L116" i="4"/>
  <c r="N116" i="4" s="1"/>
  <c r="M116" i="4"/>
  <c r="S116" i="4"/>
  <c r="T116" i="4" s="1" a="1"/>
  <c r="T116" i="4" s="1"/>
  <c r="F117" i="4"/>
  <c r="L117" i="4"/>
  <c r="N117" i="4" s="1"/>
  <c r="M117" i="4"/>
  <c r="S117" i="4"/>
  <c r="T117" i="4" s="1" a="1"/>
  <c r="T117" i="4" s="1"/>
  <c r="AC117" i="4" s="1"/>
  <c r="F118" i="4"/>
  <c r="L118" i="4"/>
  <c r="N118" i="4" s="1"/>
  <c r="M118" i="4"/>
  <c r="S118" i="4"/>
  <c r="T118" i="4" s="1" a="1"/>
  <c r="T118" i="4" s="1"/>
  <c r="F119" i="4"/>
  <c r="L119" i="4"/>
  <c r="N119" i="4" s="1"/>
  <c r="M119" i="4"/>
  <c r="S119" i="4"/>
  <c r="T119" i="4" s="1" a="1"/>
  <c r="T119" i="4" s="1"/>
  <c r="F120" i="4"/>
  <c r="L120" i="4"/>
  <c r="N120" i="4" s="1"/>
  <c r="M120" i="4"/>
  <c r="S120" i="4"/>
  <c r="T120" i="4" s="1" a="1"/>
  <c r="T120" i="4" s="1"/>
  <c r="F121" i="4"/>
  <c r="L121" i="4"/>
  <c r="N121" i="4" s="1"/>
  <c r="M121" i="4"/>
  <c r="S121" i="4"/>
  <c r="T121" i="4" s="1" a="1"/>
  <c r="T121" i="4" s="1"/>
  <c r="F122" i="4"/>
  <c r="L122" i="4"/>
  <c r="N122" i="4" s="1"/>
  <c r="M122" i="4"/>
  <c r="S122" i="4"/>
  <c r="T122" i="4" s="1" a="1"/>
  <c r="T122" i="4" s="1"/>
  <c r="F123" i="4"/>
  <c r="L123" i="4"/>
  <c r="N123" i="4" s="1"/>
  <c r="M123" i="4"/>
  <c r="S123" i="4"/>
  <c r="T123" i="4" s="1" a="1"/>
  <c r="T123" i="4" s="1"/>
  <c r="F124" i="4"/>
  <c r="L124" i="4"/>
  <c r="N124" i="4" s="1"/>
  <c r="M124" i="4"/>
  <c r="S124" i="4"/>
  <c r="T124" i="4" s="1" a="1"/>
  <c r="T124" i="4" s="1"/>
  <c r="F125" i="4"/>
  <c r="L125" i="4"/>
  <c r="N125" i="4" s="1"/>
  <c r="M125" i="4"/>
  <c r="S125" i="4"/>
  <c r="T125" i="4" s="1" a="1"/>
  <c r="T125" i="4" s="1"/>
  <c r="F126" i="4"/>
  <c r="L126" i="4"/>
  <c r="N126" i="4" s="1"/>
  <c r="M126" i="4"/>
  <c r="S126" i="4"/>
  <c r="T126" i="4" s="1" a="1"/>
  <c r="T126" i="4" s="1"/>
  <c r="F127" i="4"/>
  <c r="L127" i="4"/>
  <c r="N127" i="4" s="1"/>
  <c r="M127" i="4"/>
  <c r="S127" i="4"/>
  <c r="T127" i="4" s="1" a="1"/>
  <c r="T127" i="4" s="1"/>
  <c r="F128" i="4"/>
  <c r="L128" i="4"/>
  <c r="N128" i="4" s="1"/>
  <c r="M128" i="4"/>
  <c r="S128" i="4"/>
  <c r="T128" i="4" s="1" a="1"/>
  <c r="T128" i="4" s="1"/>
  <c r="F129" i="4"/>
  <c r="L129" i="4"/>
  <c r="N129" i="4" s="1"/>
  <c r="M129" i="4"/>
  <c r="S129" i="4"/>
  <c r="T129" i="4" s="1" a="1"/>
  <c r="T129" i="4" s="1"/>
  <c r="AC129" i="4" s="1"/>
  <c r="F130" i="4"/>
  <c r="L130" i="4"/>
  <c r="N130" i="4" s="1"/>
  <c r="M130" i="4"/>
  <c r="S130" i="4"/>
  <c r="T130" i="4" s="1" a="1"/>
  <c r="T130" i="4" s="1"/>
  <c r="F131" i="4"/>
  <c r="L131" i="4"/>
  <c r="N131" i="4" s="1"/>
  <c r="M131" i="4"/>
  <c r="S131" i="4"/>
  <c r="T131" i="4" s="1" a="1"/>
  <c r="T131" i="4" s="1"/>
  <c r="F132" i="4"/>
  <c r="L132" i="4"/>
  <c r="N132" i="4" s="1"/>
  <c r="M132" i="4"/>
  <c r="S132" i="4"/>
  <c r="T132" i="4" s="1" a="1"/>
  <c r="T132" i="4" s="1"/>
  <c r="F133" i="4"/>
  <c r="L133" i="4"/>
  <c r="N133" i="4" s="1"/>
  <c r="M133" i="4"/>
  <c r="S133" i="4"/>
  <c r="T133" i="4" s="1" a="1"/>
  <c r="T133" i="4" s="1"/>
  <c r="F134" i="4"/>
  <c r="L134" i="4"/>
  <c r="N134" i="4" s="1"/>
  <c r="M134" i="4"/>
  <c r="S134" i="4"/>
  <c r="T134" i="4" s="1" a="1"/>
  <c r="T134" i="4" s="1"/>
  <c r="F135" i="4"/>
  <c r="L135" i="4"/>
  <c r="N135" i="4" s="1"/>
  <c r="M135" i="4"/>
  <c r="S135" i="4"/>
  <c r="T135" i="4" s="1" a="1"/>
  <c r="T135" i="4" s="1"/>
  <c r="F136" i="4"/>
  <c r="L136" i="4"/>
  <c r="N136" i="4" s="1"/>
  <c r="M136" i="4"/>
  <c r="S136" i="4"/>
  <c r="T136" i="4" s="1" a="1"/>
  <c r="T136" i="4" s="1"/>
  <c r="F137" i="4"/>
  <c r="L137" i="4"/>
  <c r="N137" i="4" s="1"/>
  <c r="M137" i="4"/>
  <c r="S137" i="4"/>
  <c r="T137" i="4" s="1" a="1"/>
  <c r="T137" i="4" s="1"/>
  <c r="F138" i="4"/>
  <c r="L138" i="4"/>
  <c r="N138" i="4" s="1"/>
  <c r="M138" i="4"/>
  <c r="S138" i="4"/>
  <c r="T138" i="4" s="1" a="1"/>
  <c r="T138" i="4" s="1"/>
  <c r="F139" i="4"/>
  <c r="L139" i="4"/>
  <c r="N139" i="4" s="1"/>
  <c r="M139" i="4"/>
  <c r="S139" i="4"/>
  <c r="T139" i="4" s="1" a="1"/>
  <c r="T139" i="4" s="1"/>
  <c r="F140" i="4"/>
  <c r="L140" i="4"/>
  <c r="N140" i="4" s="1"/>
  <c r="M140" i="4"/>
  <c r="S140" i="4"/>
  <c r="T140" i="4" s="1" a="1"/>
  <c r="T140" i="4" s="1"/>
  <c r="F141" i="4"/>
  <c r="L141" i="4"/>
  <c r="N141" i="4" s="1"/>
  <c r="M141" i="4"/>
  <c r="S141" i="4"/>
  <c r="T141" i="4" s="1" a="1"/>
  <c r="T141" i="4" s="1"/>
  <c r="AC141" i="4" s="1"/>
  <c r="F142" i="4"/>
  <c r="L142" i="4"/>
  <c r="N142" i="4" s="1"/>
  <c r="M142" i="4"/>
  <c r="S142" i="4"/>
  <c r="T142" i="4" s="1" a="1"/>
  <c r="T142" i="4" s="1"/>
  <c r="F143" i="4"/>
  <c r="L143" i="4"/>
  <c r="N143" i="4" s="1"/>
  <c r="M143" i="4"/>
  <c r="S143" i="4"/>
  <c r="T143" i="4" s="1" a="1"/>
  <c r="T143" i="4" s="1"/>
  <c r="F144" i="4"/>
  <c r="L144" i="4"/>
  <c r="N144" i="4" s="1"/>
  <c r="M144" i="4"/>
  <c r="S144" i="4"/>
  <c r="T144" i="4" s="1" a="1"/>
  <c r="T144" i="4" s="1"/>
  <c r="F145" i="4"/>
  <c r="L145" i="4"/>
  <c r="N145" i="4" s="1"/>
  <c r="M145" i="4"/>
  <c r="S145" i="4"/>
  <c r="T145" i="4" s="1" a="1"/>
  <c r="T145" i="4" s="1"/>
  <c r="F146" i="4"/>
  <c r="L146" i="4"/>
  <c r="N146" i="4" s="1"/>
  <c r="M146" i="4"/>
  <c r="S146" i="4"/>
  <c r="T146" i="4" s="1" a="1"/>
  <c r="T146" i="4" s="1"/>
  <c r="F147" i="4"/>
  <c r="L147" i="4"/>
  <c r="N147" i="4" s="1"/>
  <c r="M147" i="4"/>
  <c r="S147" i="4"/>
  <c r="T147" i="4" s="1" a="1"/>
  <c r="T147" i="4" s="1"/>
  <c r="F148" i="4"/>
  <c r="L148" i="4"/>
  <c r="N148" i="4" s="1"/>
  <c r="M148" i="4"/>
  <c r="S148" i="4"/>
  <c r="T148" i="4" s="1" a="1"/>
  <c r="T148" i="4" s="1"/>
  <c r="F149" i="4"/>
  <c r="L149" i="4"/>
  <c r="N149" i="4" s="1"/>
  <c r="M149" i="4"/>
  <c r="S149" i="4"/>
  <c r="T149" i="4" s="1" a="1"/>
  <c r="T149" i="4" s="1"/>
  <c r="F150" i="4"/>
  <c r="L150" i="4"/>
  <c r="N150" i="4" s="1"/>
  <c r="M150" i="4"/>
  <c r="S150" i="4"/>
  <c r="T150" i="4" s="1" a="1"/>
  <c r="T150" i="4" s="1"/>
  <c r="F151" i="4"/>
  <c r="L151" i="4"/>
  <c r="N151" i="4" s="1"/>
  <c r="M151" i="4"/>
  <c r="S151" i="4"/>
  <c r="T151" i="4" s="1" a="1"/>
  <c r="T151" i="4" s="1"/>
  <c r="F152" i="4"/>
  <c r="L152" i="4"/>
  <c r="N152" i="4" s="1"/>
  <c r="M152" i="4"/>
  <c r="S152" i="4"/>
  <c r="T152" i="4" s="1" a="1"/>
  <c r="T152" i="4" s="1"/>
  <c r="F153" i="4"/>
  <c r="L153" i="4"/>
  <c r="N153" i="4" s="1"/>
  <c r="M153" i="4"/>
  <c r="S153" i="4"/>
  <c r="T153" i="4" s="1" a="1"/>
  <c r="T153" i="4" s="1"/>
  <c r="AC153" i="4" s="1"/>
  <c r="F154" i="4"/>
  <c r="L154" i="4"/>
  <c r="N154" i="4" s="1"/>
  <c r="M154" i="4"/>
  <c r="S154" i="4"/>
  <c r="T154" i="4" s="1" a="1"/>
  <c r="T154" i="4" s="1"/>
  <c r="F155" i="4"/>
  <c r="L155" i="4"/>
  <c r="N155" i="4" s="1"/>
  <c r="M155" i="4"/>
  <c r="S155" i="4"/>
  <c r="T155" i="4" s="1" a="1"/>
  <c r="T155" i="4" s="1"/>
  <c r="F156" i="4"/>
  <c r="L156" i="4"/>
  <c r="N156" i="4" s="1"/>
  <c r="M156" i="4"/>
  <c r="S156" i="4"/>
  <c r="T156" i="4" s="1" a="1"/>
  <c r="T156" i="4" s="1"/>
  <c r="F157" i="4"/>
  <c r="L157" i="4"/>
  <c r="N157" i="4" s="1"/>
  <c r="M157" i="4"/>
  <c r="S157" i="4"/>
  <c r="T157" i="4" s="1" a="1"/>
  <c r="T157" i="4" s="1"/>
  <c r="F158" i="4"/>
  <c r="L158" i="4"/>
  <c r="N158" i="4" s="1"/>
  <c r="M158" i="4"/>
  <c r="S158" i="4"/>
  <c r="T158" i="4" s="1" a="1"/>
  <c r="T158" i="4" s="1"/>
  <c r="F159" i="4"/>
  <c r="L159" i="4"/>
  <c r="N159" i="4" s="1"/>
  <c r="M159" i="4"/>
  <c r="S159" i="4"/>
  <c r="T159" i="4" s="1" a="1"/>
  <c r="T159" i="4" s="1"/>
  <c r="F160" i="4"/>
  <c r="L160" i="4"/>
  <c r="N160" i="4" s="1"/>
  <c r="M160" i="4"/>
  <c r="S160" i="4"/>
  <c r="T160" i="4" s="1" a="1"/>
  <c r="T160" i="4" s="1"/>
  <c r="F161" i="4"/>
  <c r="L161" i="4"/>
  <c r="N161" i="4" s="1"/>
  <c r="M161" i="4"/>
  <c r="S161" i="4"/>
  <c r="T161" i="4" s="1" a="1"/>
  <c r="T161" i="4" s="1"/>
  <c r="F162" i="4"/>
  <c r="L162" i="4"/>
  <c r="N162" i="4" s="1"/>
  <c r="M162" i="4"/>
  <c r="S162" i="4"/>
  <c r="T162" i="4" s="1" a="1"/>
  <c r="T162" i="4" s="1"/>
  <c r="F163" i="4"/>
  <c r="L163" i="4"/>
  <c r="N163" i="4" s="1"/>
  <c r="M163" i="4"/>
  <c r="S163" i="4"/>
  <c r="T163" i="4" s="1" a="1"/>
  <c r="T163" i="4" s="1"/>
  <c r="F164" i="4"/>
  <c r="L164" i="4"/>
  <c r="N164" i="4" s="1"/>
  <c r="M164" i="4"/>
  <c r="S164" i="4"/>
  <c r="T164" i="4" s="1" a="1"/>
  <c r="T164" i="4" s="1"/>
  <c r="F165" i="4"/>
  <c r="L165" i="4"/>
  <c r="N165" i="4" s="1"/>
  <c r="M165" i="4"/>
  <c r="S165" i="4"/>
  <c r="T165" i="4" s="1" a="1"/>
  <c r="T165" i="4" s="1"/>
  <c r="AC165" i="4" s="1"/>
  <c r="F166" i="4"/>
  <c r="L166" i="4"/>
  <c r="N166" i="4" s="1"/>
  <c r="M166" i="4"/>
  <c r="S166" i="4"/>
  <c r="T166" i="4" s="1" a="1"/>
  <c r="T166" i="4" s="1"/>
  <c r="F167" i="4"/>
  <c r="L167" i="4"/>
  <c r="N167" i="4" s="1"/>
  <c r="M167" i="4"/>
  <c r="S167" i="4"/>
  <c r="T167" i="4" s="1" a="1"/>
  <c r="T167" i="4" s="1"/>
  <c r="F168" i="4"/>
  <c r="L168" i="4"/>
  <c r="N168" i="4" s="1"/>
  <c r="M168" i="4"/>
  <c r="S168" i="4"/>
  <c r="T168" i="4" s="1" a="1"/>
  <c r="T168" i="4" s="1"/>
  <c r="F169" i="4"/>
  <c r="L169" i="4"/>
  <c r="N169" i="4" s="1"/>
  <c r="M169" i="4"/>
  <c r="S169" i="4"/>
  <c r="T169" i="4" s="1" a="1"/>
  <c r="T169" i="4" s="1"/>
  <c r="F170" i="4"/>
  <c r="L170" i="4"/>
  <c r="N170" i="4" s="1"/>
  <c r="M170" i="4"/>
  <c r="S170" i="4"/>
  <c r="T170" i="4" s="1" a="1"/>
  <c r="T170" i="4" s="1"/>
  <c r="F171" i="4"/>
  <c r="L171" i="4"/>
  <c r="N171" i="4" s="1"/>
  <c r="M171" i="4"/>
  <c r="S171" i="4"/>
  <c r="T171" i="4" s="1" a="1"/>
  <c r="T171" i="4" s="1"/>
  <c r="F172" i="4"/>
  <c r="L172" i="4"/>
  <c r="N172" i="4" s="1"/>
  <c r="M172" i="4"/>
  <c r="S172" i="4"/>
  <c r="T172" i="4" s="1" a="1"/>
  <c r="T172" i="4" s="1"/>
  <c r="F173" i="4"/>
  <c r="L173" i="4"/>
  <c r="N173" i="4" s="1"/>
  <c r="M173" i="4"/>
  <c r="S173" i="4"/>
  <c r="T173" i="4" s="1" a="1"/>
  <c r="T173" i="4" s="1"/>
  <c r="F174" i="4"/>
  <c r="L174" i="4"/>
  <c r="N174" i="4" s="1"/>
  <c r="M174" i="4"/>
  <c r="S174" i="4"/>
  <c r="T174" i="4" s="1" a="1"/>
  <c r="T174" i="4" s="1"/>
  <c r="F175" i="4"/>
  <c r="L175" i="4"/>
  <c r="N175" i="4" s="1"/>
  <c r="M175" i="4"/>
  <c r="S175" i="4"/>
  <c r="T175" i="4" s="1" a="1"/>
  <c r="T175" i="4" s="1"/>
  <c r="F176" i="4"/>
  <c r="L176" i="4"/>
  <c r="N176" i="4" s="1"/>
  <c r="M176" i="4"/>
  <c r="S176" i="4"/>
  <c r="T176" i="4" s="1" a="1"/>
  <c r="T176" i="4" s="1"/>
  <c r="F177" i="4"/>
  <c r="L177" i="4"/>
  <c r="N177" i="4" s="1"/>
  <c r="M177" i="4"/>
  <c r="S177" i="4"/>
  <c r="T177" i="4" s="1" a="1"/>
  <c r="T177" i="4" s="1"/>
  <c r="AC177" i="4" s="1"/>
  <c r="F178" i="4"/>
  <c r="L178" i="4"/>
  <c r="N178" i="4" s="1"/>
  <c r="M178" i="4"/>
  <c r="S178" i="4"/>
  <c r="T178" i="4" s="1" a="1"/>
  <c r="T178" i="4" s="1"/>
  <c r="F179" i="4"/>
  <c r="L179" i="4"/>
  <c r="N179" i="4" s="1"/>
  <c r="M179" i="4"/>
  <c r="S179" i="4"/>
  <c r="T179" i="4" s="1" a="1"/>
  <c r="T179" i="4" s="1"/>
  <c r="F180" i="4"/>
  <c r="L180" i="4"/>
  <c r="N180" i="4" s="1"/>
  <c r="M180" i="4"/>
  <c r="S180" i="4"/>
  <c r="T180" i="4" s="1" a="1"/>
  <c r="T180" i="4" s="1"/>
  <c r="F181" i="4"/>
  <c r="L181" i="4"/>
  <c r="N181" i="4" s="1"/>
  <c r="M181" i="4"/>
  <c r="S181" i="4"/>
  <c r="T181" i="4" s="1" a="1"/>
  <c r="T181" i="4" s="1"/>
  <c r="F182" i="4"/>
  <c r="L182" i="4"/>
  <c r="N182" i="4" s="1"/>
  <c r="M182" i="4"/>
  <c r="S182" i="4"/>
  <c r="T182" i="4" s="1" a="1"/>
  <c r="T182" i="4" s="1"/>
  <c r="F183" i="4"/>
  <c r="L183" i="4"/>
  <c r="N183" i="4" s="1"/>
  <c r="M183" i="4"/>
  <c r="S183" i="4"/>
  <c r="T183" i="4" s="1" a="1"/>
  <c r="T183" i="4" s="1"/>
  <c r="F184" i="4"/>
  <c r="L184" i="4"/>
  <c r="N184" i="4" s="1"/>
  <c r="M184" i="4"/>
  <c r="S184" i="4"/>
  <c r="T184" i="4" s="1" a="1"/>
  <c r="T184" i="4" s="1"/>
  <c r="F185" i="4"/>
  <c r="L185" i="4"/>
  <c r="N185" i="4" s="1"/>
  <c r="M185" i="4"/>
  <c r="S185" i="4"/>
  <c r="T185" i="4" s="1" a="1"/>
  <c r="T185" i="4" s="1"/>
  <c r="F186" i="4"/>
  <c r="L186" i="4"/>
  <c r="N186" i="4" s="1"/>
  <c r="M186" i="4"/>
  <c r="S186" i="4"/>
  <c r="T186" i="4" s="1" a="1"/>
  <c r="T186" i="4" s="1"/>
  <c r="F187" i="4"/>
  <c r="L187" i="4"/>
  <c r="N187" i="4" s="1"/>
  <c r="M187" i="4"/>
  <c r="S187" i="4"/>
  <c r="T187" i="4" s="1" a="1"/>
  <c r="T187" i="4" s="1"/>
  <c r="F188" i="4"/>
  <c r="L188" i="4"/>
  <c r="N188" i="4" s="1"/>
  <c r="M188" i="4"/>
  <c r="S188" i="4"/>
  <c r="T188" i="4" s="1" a="1"/>
  <c r="T188" i="4" s="1"/>
  <c r="F189" i="4"/>
  <c r="L189" i="4"/>
  <c r="N189" i="4" s="1"/>
  <c r="M189" i="4"/>
  <c r="S189" i="4"/>
  <c r="T189" i="4" s="1" a="1"/>
  <c r="T189" i="4" s="1"/>
  <c r="AC189" i="4" s="1"/>
  <c r="F190" i="4"/>
  <c r="L190" i="4"/>
  <c r="N190" i="4" s="1"/>
  <c r="M190" i="4"/>
  <c r="S190" i="4"/>
  <c r="T190" i="4" s="1" a="1"/>
  <c r="T190" i="4" s="1"/>
  <c r="F191" i="4"/>
  <c r="L191" i="4"/>
  <c r="N191" i="4" s="1"/>
  <c r="M191" i="4"/>
  <c r="S191" i="4"/>
  <c r="T191" i="4" s="1" a="1"/>
  <c r="T191" i="4" s="1"/>
  <c r="F192" i="4"/>
  <c r="L192" i="4"/>
  <c r="N192" i="4" s="1"/>
  <c r="M192" i="4"/>
  <c r="S192" i="4"/>
  <c r="T192" i="4" s="1" a="1"/>
  <c r="T192" i="4" s="1"/>
  <c r="F193" i="4"/>
  <c r="L193" i="4"/>
  <c r="N193" i="4" s="1"/>
  <c r="M193" i="4"/>
  <c r="S193" i="4"/>
  <c r="T193" i="4" s="1" a="1"/>
  <c r="T193" i="4" s="1"/>
  <c r="F194" i="4"/>
  <c r="L194" i="4"/>
  <c r="N194" i="4" s="1"/>
  <c r="M194" i="4"/>
  <c r="S194" i="4"/>
  <c r="T194" i="4" s="1" a="1"/>
  <c r="T194" i="4" s="1"/>
  <c r="F195" i="4"/>
  <c r="L195" i="4"/>
  <c r="N195" i="4" s="1"/>
  <c r="M195" i="4"/>
  <c r="S195" i="4"/>
  <c r="T195" i="4" s="1" a="1"/>
  <c r="T195" i="4" s="1"/>
  <c r="F196" i="4"/>
  <c r="L196" i="4"/>
  <c r="N196" i="4" s="1"/>
  <c r="M196" i="4"/>
  <c r="S196" i="4"/>
  <c r="T196" i="4" s="1" a="1"/>
  <c r="T196" i="4" s="1"/>
  <c r="F197" i="4"/>
  <c r="L197" i="4"/>
  <c r="N197" i="4" s="1"/>
  <c r="M197" i="4"/>
  <c r="S197" i="4"/>
  <c r="T197" i="4" s="1" a="1"/>
  <c r="T197" i="4" s="1"/>
  <c r="F198" i="4"/>
  <c r="L198" i="4"/>
  <c r="N198" i="4" s="1"/>
  <c r="M198" i="4"/>
  <c r="S198" i="4"/>
  <c r="T198" i="4" s="1" a="1"/>
  <c r="T198" i="4" s="1"/>
  <c r="F199" i="4"/>
  <c r="L199" i="4"/>
  <c r="N199" i="4" s="1"/>
  <c r="M199" i="4"/>
  <c r="S199" i="4"/>
  <c r="T199" i="4" s="1" a="1"/>
  <c r="T199" i="4" s="1"/>
  <c r="F200" i="4"/>
  <c r="L200" i="4"/>
  <c r="N200" i="4" s="1"/>
  <c r="M200" i="4"/>
  <c r="S200" i="4"/>
  <c r="T200" i="4" s="1" a="1"/>
  <c r="T200" i="4" s="1"/>
  <c r="F201" i="4"/>
  <c r="L201" i="4"/>
  <c r="N201" i="4" s="1"/>
  <c r="M201" i="4"/>
  <c r="S201" i="4"/>
  <c r="T201" i="4" s="1" a="1"/>
  <c r="T201" i="4" s="1"/>
  <c r="AC201" i="4" s="1"/>
  <c r="F202" i="4"/>
  <c r="L202" i="4"/>
  <c r="N202" i="4" s="1"/>
  <c r="M202" i="4"/>
  <c r="S202" i="4"/>
  <c r="T202" i="4" s="1" a="1"/>
  <c r="T202" i="4" s="1"/>
  <c r="F203" i="4"/>
  <c r="L203" i="4"/>
  <c r="N203" i="4" s="1"/>
  <c r="M203" i="4"/>
  <c r="S203" i="4"/>
  <c r="T203" i="4" s="1" a="1"/>
  <c r="T203" i="4" s="1"/>
  <c r="F204" i="4"/>
  <c r="L204" i="4"/>
  <c r="N204" i="4" s="1"/>
  <c r="M204" i="4"/>
  <c r="S204" i="4"/>
  <c r="T204" i="4" s="1" a="1"/>
  <c r="T204" i="4" s="1"/>
  <c r="F205" i="4"/>
  <c r="L205" i="4"/>
  <c r="N205" i="4" s="1"/>
  <c r="M205" i="4"/>
  <c r="S205" i="4"/>
  <c r="T205" i="4" s="1" a="1"/>
  <c r="T205" i="4" s="1"/>
  <c r="F206" i="4"/>
  <c r="L206" i="4"/>
  <c r="N206" i="4" s="1"/>
  <c r="M206" i="4"/>
  <c r="S206" i="4"/>
  <c r="T206" i="4" s="1" a="1"/>
  <c r="T206" i="4" s="1"/>
  <c r="F207" i="4"/>
  <c r="L207" i="4"/>
  <c r="N207" i="4" s="1"/>
  <c r="M207" i="4"/>
  <c r="S207" i="4"/>
  <c r="T207" i="4" s="1" a="1"/>
  <c r="T207" i="4" s="1"/>
  <c r="F208" i="4"/>
  <c r="L208" i="4"/>
  <c r="N208" i="4" s="1"/>
  <c r="M208" i="4"/>
  <c r="S208" i="4"/>
  <c r="T208" i="4" s="1" a="1"/>
  <c r="T208" i="4" s="1"/>
  <c r="F209" i="4"/>
  <c r="L209" i="4"/>
  <c r="N209" i="4" s="1"/>
  <c r="M209" i="4"/>
  <c r="S209" i="4"/>
  <c r="T209" i="4" s="1" a="1"/>
  <c r="T209" i="4" s="1"/>
  <c r="F210" i="4"/>
  <c r="L210" i="4"/>
  <c r="N210" i="4" s="1"/>
  <c r="M210" i="4"/>
  <c r="S210" i="4"/>
  <c r="T210" i="4" s="1" a="1"/>
  <c r="T210" i="4" s="1"/>
  <c r="F211" i="4"/>
  <c r="L211" i="4"/>
  <c r="N211" i="4" s="1"/>
  <c r="M211" i="4"/>
  <c r="S211" i="4"/>
  <c r="T211" i="4" s="1" a="1"/>
  <c r="T211" i="4" s="1"/>
  <c r="F212" i="4"/>
  <c r="L212" i="4"/>
  <c r="N212" i="4" s="1"/>
  <c r="M212" i="4"/>
  <c r="S212" i="4"/>
  <c r="T212" i="4" s="1" a="1"/>
  <c r="T212" i="4" s="1"/>
  <c r="F213" i="4"/>
  <c r="L213" i="4"/>
  <c r="N213" i="4" s="1"/>
  <c r="M213" i="4"/>
  <c r="S213" i="4"/>
  <c r="T213" i="4" s="1" a="1"/>
  <c r="T213" i="4" s="1"/>
  <c r="AC213" i="4" s="1"/>
  <c r="F214" i="4"/>
  <c r="L214" i="4"/>
  <c r="N214" i="4" s="1"/>
  <c r="M214" i="4"/>
  <c r="S214" i="4"/>
  <c r="T214" i="4" s="1" a="1"/>
  <c r="T214" i="4" s="1"/>
  <c r="F215" i="4"/>
  <c r="L215" i="4"/>
  <c r="N215" i="4" s="1"/>
  <c r="M215" i="4"/>
  <c r="S215" i="4"/>
  <c r="T215" i="4" s="1" a="1"/>
  <c r="T215" i="4" s="1"/>
  <c r="F216" i="4"/>
  <c r="L216" i="4"/>
  <c r="N216" i="4" s="1"/>
  <c r="M216" i="4"/>
  <c r="S216" i="4"/>
  <c r="T216" i="4" s="1" a="1"/>
  <c r="T216" i="4" s="1"/>
  <c r="F217" i="4"/>
  <c r="L217" i="4"/>
  <c r="N217" i="4" s="1"/>
  <c r="M217" i="4"/>
  <c r="S217" i="4"/>
  <c r="T217" i="4" s="1" a="1"/>
  <c r="T217" i="4" s="1"/>
  <c r="F218" i="4"/>
  <c r="L218" i="4"/>
  <c r="N218" i="4" s="1"/>
  <c r="M218" i="4"/>
  <c r="S218" i="4"/>
  <c r="T218" i="4" s="1" a="1"/>
  <c r="T218" i="4" s="1"/>
  <c r="F219" i="4"/>
  <c r="L219" i="4"/>
  <c r="N219" i="4" s="1"/>
  <c r="M219" i="4"/>
  <c r="S219" i="4"/>
  <c r="T219" i="4" s="1" a="1"/>
  <c r="T219" i="4" s="1"/>
  <c r="F220" i="4"/>
  <c r="L220" i="4"/>
  <c r="N220" i="4" s="1"/>
  <c r="M220" i="4"/>
  <c r="S220" i="4"/>
  <c r="T220" i="4" s="1" a="1"/>
  <c r="T220" i="4" s="1"/>
  <c r="F221" i="4"/>
  <c r="L221" i="4"/>
  <c r="N221" i="4" s="1"/>
  <c r="M221" i="4"/>
  <c r="S221" i="4"/>
  <c r="T221" i="4" s="1" a="1"/>
  <c r="T221" i="4" s="1"/>
  <c r="F222" i="4"/>
  <c r="L222" i="4"/>
  <c r="N222" i="4" s="1"/>
  <c r="M222" i="4"/>
  <c r="S222" i="4"/>
  <c r="T222" i="4" s="1" a="1"/>
  <c r="T222" i="4" s="1"/>
  <c r="F223" i="4"/>
  <c r="L223" i="4"/>
  <c r="N223" i="4" s="1"/>
  <c r="M223" i="4"/>
  <c r="S223" i="4"/>
  <c r="T223" i="4" s="1" a="1"/>
  <c r="T223" i="4" s="1"/>
  <c r="F224" i="4"/>
  <c r="L224" i="4"/>
  <c r="N224" i="4" s="1"/>
  <c r="M224" i="4"/>
  <c r="S224" i="4"/>
  <c r="T224" i="4" s="1" a="1"/>
  <c r="T224" i="4" s="1"/>
  <c r="F225" i="4"/>
  <c r="L225" i="4"/>
  <c r="N225" i="4" s="1"/>
  <c r="M225" i="4"/>
  <c r="S225" i="4"/>
  <c r="T225" i="4" s="1" a="1"/>
  <c r="T225" i="4" s="1"/>
  <c r="AC225" i="4" s="1"/>
  <c r="F226" i="4"/>
  <c r="L226" i="4"/>
  <c r="N226" i="4" s="1"/>
  <c r="M226" i="4"/>
  <c r="S226" i="4"/>
  <c r="T226" i="4" s="1" a="1"/>
  <c r="T226" i="4" s="1"/>
  <c r="F227" i="4"/>
  <c r="L227" i="4"/>
  <c r="N227" i="4" s="1"/>
  <c r="M227" i="4"/>
  <c r="S227" i="4"/>
  <c r="T227" i="4" s="1" a="1"/>
  <c r="T227" i="4" s="1"/>
  <c r="F228" i="4"/>
  <c r="L228" i="4"/>
  <c r="N228" i="4" s="1"/>
  <c r="M228" i="4"/>
  <c r="S228" i="4"/>
  <c r="T228" i="4" s="1" a="1"/>
  <c r="T228" i="4" s="1"/>
  <c r="F229" i="4"/>
  <c r="L229" i="4"/>
  <c r="N229" i="4" s="1"/>
  <c r="M229" i="4"/>
  <c r="S229" i="4"/>
  <c r="T229" i="4" s="1" a="1"/>
  <c r="T229" i="4" s="1"/>
  <c r="F230" i="4"/>
  <c r="L230" i="4"/>
  <c r="N230" i="4" s="1"/>
  <c r="M230" i="4"/>
  <c r="S230" i="4"/>
  <c r="T230" i="4" s="1" a="1"/>
  <c r="T230" i="4" s="1"/>
  <c r="F231" i="4"/>
  <c r="L231" i="4"/>
  <c r="N231" i="4" s="1"/>
  <c r="M231" i="4"/>
  <c r="S231" i="4"/>
  <c r="T231" i="4" s="1" a="1"/>
  <c r="T231" i="4" s="1"/>
  <c r="F232" i="4"/>
  <c r="L232" i="4"/>
  <c r="N232" i="4" s="1"/>
  <c r="M232" i="4"/>
  <c r="S232" i="4"/>
  <c r="T232" i="4" s="1" a="1"/>
  <c r="T232" i="4" s="1"/>
  <c r="F233" i="4"/>
  <c r="L233" i="4"/>
  <c r="N233" i="4" s="1"/>
  <c r="M233" i="4"/>
  <c r="S233" i="4"/>
  <c r="T233" i="4" s="1" a="1"/>
  <c r="T233" i="4" s="1"/>
  <c r="F234" i="4"/>
  <c r="L234" i="4"/>
  <c r="N234" i="4" s="1"/>
  <c r="M234" i="4"/>
  <c r="S234" i="4"/>
  <c r="T234" i="4" s="1" a="1"/>
  <c r="T234" i="4" s="1"/>
  <c r="F235" i="4"/>
  <c r="L235" i="4"/>
  <c r="N235" i="4" s="1"/>
  <c r="M235" i="4"/>
  <c r="S235" i="4"/>
  <c r="T235" i="4" s="1" a="1"/>
  <c r="T235" i="4" s="1"/>
  <c r="F236" i="4"/>
  <c r="L236" i="4"/>
  <c r="N236" i="4" s="1"/>
  <c r="M236" i="4"/>
  <c r="S236" i="4"/>
  <c r="T236" i="4" s="1" a="1"/>
  <c r="T236" i="4" s="1"/>
  <c r="F237" i="4"/>
  <c r="L237" i="4"/>
  <c r="N237" i="4" s="1"/>
  <c r="M237" i="4"/>
  <c r="S237" i="4"/>
  <c r="T237" i="4" s="1" a="1"/>
  <c r="T237" i="4" s="1"/>
  <c r="AC237" i="4" s="1"/>
  <c r="F238" i="4"/>
  <c r="L238" i="4"/>
  <c r="N238" i="4" s="1"/>
  <c r="M238" i="4"/>
  <c r="S238" i="4"/>
  <c r="T238" i="4" s="1" a="1"/>
  <c r="T238" i="4" s="1"/>
  <c r="F239" i="4"/>
  <c r="L239" i="4"/>
  <c r="N239" i="4" s="1"/>
  <c r="M239" i="4"/>
  <c r="S239" i="4"/>
  <c r="T239" i="4" s="1" a="1"/>
  <c r="T239" i="4" s="1"/>
  <c r="F240" i="4"/>
  <c r="L240" i="4"/>
  <c r="N240" i="4" s="1"/>
  <c r="M240" i="4"/>
  <c r="S240" i="4"/>
  <c r="T240" i="4" s="1" a="1"/>
  <c r="T240" i="4" s="1"/>
  <c r="F241" i="4"/>
  <c r="L241" i="4"/>
  <c r="N241" i="4" s="1"/>
  <c r="M241" i="4"/>
  <c r="S241" i="4"/>
  <c r="T241" i="4" s="1" a="1"/>
  <c r="T241" i="4" s="1"/>
  <c r="F242" i="4"/>
  <c r="L242" i="4"/>
  <c r="N242" i="4" s="1"/>
  <c r="M242" i="4"/>
  <c r="S242" i="4"/>
  <c r="T242" i="4" s="1" a="1"/>
  <c r="T242" i="4" s="1"/>
  <c r="F243" i="4"/>
  <c r="L243" i="4"/>
  <c r="N243" i="4" s="1"/>
  <c r="M243" i="4"/>
  <c r="S243" i="4"/>
  <c r="T243" i="4" s="1" a="1"/>
  <c r="T243" i="4" s="1"/>
  <c r="F244" i="4"/>
  <c r="L244" i="4"/>
  <c r="N244" i="4" s="1"/>
  <c r="M244" i="4"/>
  <c r="S244" i="4"/>
  <c r="T244" i="4" s="1" a="1"/>
  <c r="T244" i="4" s="1"/>
  <c r="F245" i="4"/>
  <c r="L245" i="4"/>
  <c r="N245" i="4" s="1"/>
  <c r="M245" i="4"/>
  <c r="S245" i="4"/>
  <c r="T245" i="4" s="1" a="1"/>
  <c r="T245" i="4" s="1"/>
  <c r="F246" i="4"/>
  <c r="L246" i="4"/>
  <c r="N246" i="4" s="1"/>
  <c r="M246" i="4"/>
  <c r="S246" i="4"/>
  <c r="T246" i="4" s="1" a="1"/>
  <c r="T246" i="4" s="1"/>
  <c r="F247" i="4"/>
  <c r="L247" i="4"/>
  <c r="N247" i="4" s="1"/>
  <c r="M247" i="4"/>
  <c r="S247" i="4"/>
  <c r="T247" i="4" s="1" a="1"/>
  <c r="T247" i="4" s="1"/>
  <c r="F248" i="4"/>
  <c r="L248" i="4"/>
  <c r="N248" i="4" s="1"/>
  <c r="M248" i="4"/>
  <c r="S248" i="4"/>
  <c r="T248" i="4" s="1" a="1"/>
  <c r="T248" i="4" s="1"/>
  <c r="F249" i="4"/>
  <c r="L249" i="4"/>
  <c r="N249" i="4" s="1"/>
  <c r="M249" i="4"/>
  <c r="S249" i="4"/>
  <c r="T249" i="4" s="1" a="1"/>
  <c r="T249" i="4" s="1"/>
  <c r="AC249" i="4" s="1"/>
  <c r="F250" i="4"/>
  <c r="L250" i="4"/>
  <c r="N250" i="4" s="1"/>
  <c r="M250" i="4"/>
  <c r="S250" i="4"/>
  <c r="T250" i="4" s="1" a="1"/>
  <c r="T250" i="4" s="1"/>
  <c r="F251" i="4"/>
  <c r="L251" i="4"/>
  <c r="N251" i="4" s="1"/>
  <c r="M251" i="4"/>
  <c r="S251" i="4"/>
  <c r="T251" i="4" s="1" a="1"/>
  <c r="T251" i="4" s="1"/>
  <c r="F252" i="4"/>
  <c r="L252" i="4"/>
  <c r="N252" i="4" s="1"/>
  <c r="M252" i="4"/>
  <c r="S252" i="4"/>
  <c r="T252" i="4" s="1" a="1"/>
  <c r="T252" i="4" s="1"/>
  <c r="L253" i="4"/>
  <c r="N253" i="4" s="1"/>
  <c r="M253" i="4"/>
  <c r="L254" i="4"/>
  <c r="N254" i="4" s="1"/>
  <c r="M254" i="4"/>
  <c r="A1" i="10" a="1"/>
  <c r="AC18" i="10" s="1"/>
  <c r="F253" i="4"/>
  <c r="F254" i="4"/>
  <c r="S253" i="4"/>
  <c r="T253" i="4" s="1" a="1"/>
  <c r="T253" i="4" s="1"/>
  <c r="S254" i="4"/>
  <c r="T254" i="4" s="1" a="1"/>
  <c r="T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2" i="3" a="1"/>
  <c r="A33" i="3" a="1"/>
  <c r="A33" i="3" s="1"/>
  <c r="A33" i="6" s="1"/>
  <c r="A34" i="3" a="1"/>
  <c r="A2" i="3" a="1"/>
  <c r="C2" i="6" s="1"/>
  <c r="AC243" i="4" l="1"/>
  <c r="AC231" i="4"/>
  <c r="AC219" i="4"/>
  <c r="AC207" i="4"/>
  <c r="AC195" i="4"/>
  <c r="AC183" i="4"/>
  <c r="AC171" i="4"/>
  <c r="AC159" i="4"/>
  <c r="AC147" i="4"/>
  <c r="AC135" i="4"/>
  <c r="AC123" i="4"/>
  <c r="AC111" i="4"/>
  <c r="AC99" i="4"/>
  <c r="E150" i="1"/>
  <c r="E138" i="1"/>
  <c r="E126" i="1"/>
  <c r="E114" i="1"/>
  <c r="E102" i="1"/>
  <c r="E94" i="1"/>
  <c r="E90" i="1"/>
  <c r="E82" i="1"/>
  <c r="E78" i="1"/>
  <c r="E66" i="1"/>
  <c r="E58" i="1"/>
  <c r="E54" i="1"/>
  <c r="E42" i="1"/>
  <c r="E30" i="1"/>
  <c r="E22" i="1"/>
  <c r="E18" i="1"/>
  <c r="E500" i="1"/>
  <c r="E484" i="1"/>
  <c r="E468" i="1"/>
  <c r="E452" i="1"/>
  <c r="E436" i="1"/>
  <c r="E420" i="1"/>
  <c r="E404" i="1"/>
  <c r="E388" i="1"/>
  <c r="E372" i="1"/>
  <c r="E356" i="1"/>
  <c r="E340" i="1"/>
  <c r="E324" i="1"/>
  <c r="E308" i="1"/>
  <c r="E292" i="1"/>
  <c r="E276" i="1"/>
  <c r="E260" i="1"/>
  <c r="E244" i="1"/>
  <c r="E228" i="1"/>
  <c r="E212" i="1"/>
  <c r="E196" i="1"/>
  <c r="E8" i="1"/>
  <c r="E4" i="1"/>
  <c r="E157" i="1"/>
  <c r="E153" i="1"/>
  <c r="E149" i="1"/>
  <c r="E145" i="1"/>
  <c r="E141" i="1"/>
  <c r="E137" i="1"/>
  <c r="E129" i="1"/>
  <c r="E125" i="1"/>
  <c r="E121" i="1"/>
  <c r="E117" i="1"/>
  <c r="E113" i="1"/>
  <c r="E109" i="1"/>
  <c r="E105" i="1"/>
  <c r="E101" i="1"/>
  <c r="E93" i="1"/>
  <c r="E89" i="1"/>
  <c r="E85" i="1"/>
  <c r="E81" i="1"/>
  <c r="E77" i="1"/>
  <c r="E73" i="1"/>
  <c r="E69" i="1"/>
  <c r="E65" i="1"/>
  <c r="E57" i="1"/>
  <c r="E53" i="1"/>
  <c r="E49" i="1"/>
  <c r="E45" i="1"/>
  <c r="E41" i="1"/>
  <c r="E33" i="1"/>
  <c r="E29" i="1"/>
  <c r="E25" i="1"/>
  <c r="E21" i="1"/>
  <c r="E17" i="1"/>
  <c r="E511" i="1"/>
  <c r="E507" i="1"/>
  <c r="E503" i="1"/>
  <c r="E499" i="1"/>
  <c r="E495" i="1"/>
  <c r="E491" i="1"/>
  <c r="E487" i="1"/>
  <c r="E483" i="1"/>
  <c r="E479" i="1"/>
  <c r="E475" i="1"/>
  <c r="E471" i="1"/>
  <c r="E467" i="1"/>
  <c r="E463" i="1"/>
  <c r="E459" i="1"/>
  <c r="E455" i="1"/>
  <c r="E451" i="1"/>
  <c r="E447" i="1"/>
  <c r="E443" i="1"/>
  <c r="E439" i="1"/>
  <c r="E435" i="1"/>
  <c r="E431" i="1"/>
  <c r="E427" i="1"/>
  <c r="E423" i="1"/>
  <c r="E419" i="1"/>
  <c r="E415" i="1"/>
  <c r="E411" i="1"/>
  <c r="E407" i="1"/>
  <c r="E403" i="1"/>
  <c r="E399" i="1"/>
  <c r="E395" i="1"/>
  <c r="E391" i="1"/>
  <c r="E387" i="1"/>
  <c r="E383" i="1"/>
  <c r="E379" i="1"/>
  <c r="E375" i="1"/>
  <c r="E371" i="1"/>
  <c r="E367" i="1"/>
  <c r="E363" i="1"/>
  <c r="E359" i="1"/>
  <c r="E355" i="1"/>
  <c r="E351" i="1"/>
  <c r="E347" i="1"/>
  <c r="E343" i="1"/>
  <c r="E339" i="1"/>
  <c r="E335" i="1"/>
  <c r="E331" i="1"/>
  <c r="E327" i="1"/>
  <c r="E323" i="1"/>
  <c r="E319" i="1"/>
  <c r="E315" i="1"/>
  <c r="E311" i="1"/>
  <c r="E307" i="1"/>
  <c r="E303" i="1"/>
  <c r="E299" i="1"/>
  <c r="E295" i="1"/>
  <c r="E291" i="1"/>
  <c r="E287" i="1"/>
  <c r="E283" i="1"/>
  <c r="E279" i="1"/>
  <c r="E275" i="1"/>
  <c r="E271" i="1"/>
  <c r="E267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512" i="1"/>
  <c r="E496" i="1"/>
  <c r="E480" i="1"/>
  <c r="E464" i="1"/>
  <c r="E448" i="1"/>
  <c r="E432" i="1"/>
  <c r="E416" i="1"/>
  <c r="E400" i="1"/>
  <c r="E384" i="1"/>
  <c r="E368" i="1"/>
  <c r="E352" i="1"/>
  <c r="E336" i="1"/>
  <c r="E320" i="1"/>
  <c r="E304" i="1"/>
  <c r="E288" i="1"/>
  <c r="E272" i="1"/>
  <c r="E256" i="1"/>
  <c r="E240" i="1"/>
  <c r="E224" i="1"/>
  <c r="E208" i="1"/>
  <c r="E6" i="1"/>
  <c r="E172" i="1"/>
  <c r="E176" i="1"/>
  <c r="E180" i="1"/>
  <c r="B7" i="1"/>
  <c r="D7" i="15" s="1"/>
  <c r="E7" i="1"/>
  <c r="B3" i="1"/>
  <c r="D3" i="15" s="1"/>
  <c r="E3" i="1"/>
  <c r="B168" i="1"/>
  <c r="D168" i="15" s="1"/>
  <c r="E168" i="1"/>
  <c r="B164" i="1"/>
  <c r="D164" i="15" s="1"/>
  <c r="E164" i="1"/>
  <c r="B160" i="1"/>
  <c r="D160" i="15" s="1"/>
  <c r="E160" i="1"/>
  <c r="B156" i="1"/>
  <c r="D156" i="15" s="1"/>
  <c r="E156" i="1"/>
  <c r="B152" i="1"/>
  <c r="D152" i="15" s="1"/>
  <c r="E152" i="1"/>
  <c r="B148" i="1"/>
  <c r="D148" i="15" s="1"/>
  <c r="E148" i="1"/>
  <c r="B144" i="1"/>
  <c r="D144" i="15" s="1"/>
  <c r="E144" i="1"/>
  <c r="B140" i="1"/>
  <c r="D140" i="15" s="1"/>
  <c r="E140" i="1"/>
  <c r="B136" i="1"/>
  <c r="D136" i="15" s="1"/>
  <c r="E136" i="1"/>
  <c r="B132" i="1"/>
  <c r="D132" i="15" s="1"/>
  <c r="E132" i="1"/>
  <c r="B128" i="1"/>
  <c r="D128" i="15" s="1"/>
  <c r="E128" i="1"/>
  <c r="B124" i="1"/>
  <c r="D124" i="15" s="1"/>
  <c r="E124" i="1"/>
  <c r="B120" i="1"/>
  <c r="D120" i="15" s="1"/>
  <c r="E120" i="1"/>
  <c r="B116" i="1"/>
  <c r="D116" i="15" s="1"/>
  <c r="E116" i="1"/>
  <c r="B112" i="1"/>
  <c r="D112" i="15" s="1"/>
  <c r="E112" i="1"/>
  <c r="B108" i="1"/>
  <c r="D108" i="15" s="1"/>
  <c r="E108" i="1"/>
  <c r="B104" i="1"/>
  <c r="D104" i="15" s="1"/>
  <c r="E104" i="1"/>
  <c r="B100" i="1"/>
  <c r="D100" i="15" s="1"/>
  <c r="E100" i="1"/>
  <c r="B96" i="1"/>
  <c r="D96" i="15" s="1"/>
  <c r="E96" i="1"/>
  <c r="B92" i="1"/>
  <c r="D92" i="15" s="1"/>
  <c r="E92" i="1"/>
  <c r="B88" i="1"/>
  <c r="D88" i="15" s="1"/>
  <c r="E88" i="1"/>
  <c r="B84" i="1"/>
  <c r="D84" i="15" s="1"/>
  <c r="E84" i="1"/>
  <c r="B80" i="1"/>
  <c r="D80" i="15" s="1"/>
  <c r="E80" i="1"/>
  <c r="B76" i="1"/>
  <c r="D76" i="15" s="1"/>
  <c r="E76" i="1"/>
  <c r="B72" i="1"/>
  <c r="D72" i="15" s="1"/>
  <c r="E72" i="1"/>
  <c r="B68" i="1"/>
  <c r="D68" i="15" s="1"/>
  <c r="E68" i="1"/>
  <c r="B64" i="1"/>
  <c r="D64" i="15" s="1"/>
  <c r="E64" i="1"/>
  <c r="E60" i="1"/>
  <c r="B56" i="1"/>
  <c r="D56" i="15" s="1"/>
  <c r="E56" i="1"/>
  <c r="B52" i="1"/>
  <c r="D52" i="15" s="1"/>
  <c r="E52" i="1"/>
  <c r="B48" i="1"/>
  <c r="D48" i="15" s="1"/>
  <c r="E48" i="1"/>
  <c r="B44" i="1"/>
  <c r="D44" i="15" s="1"/>
  <c r="E44" i="1"/>
  <c r="B40" i="1"/>
  <c r="D40" i="15" s="1"/>
  <c r="E40" i="1"/>
  <c r="B36" i="1"/>
  <c r="D36" i="15" s="1"/>
  <c r="E36" i="1"/>
  <c r="B32" i="1"/>
  <c r="D32" i="15" s="1"/>
  <c r="E32" i="1"/>
  <c r="B28" i="1"/>
  <c r="D28" i="15" s="1"/>
  <c r="E28" i="1"/>
  <c r="B24" i="1"/>
  <c r="D24" i="15" s="1"/>
  <c r="E24" i="1"/>
  <c r="B20" i="1"/>
  <c r="D20" i="15" s="1"/>
  <c r="E20" i="1"/>
  <c r="B16" i="1"/>
  <c r="D16" i="15" s="1"/>
  <c r="E16" i="1"/>
  <c r="B12" i="1"/>
  <c r="D12" i="15" s="1"/>
  <c r="E12" i="1"/>
  <c r="E510" i="1"/>
  <c r="E506" i="1"/>
  <c r="E502" i="1"/>
  <c r="E498" i="1"/>
  <c r="E494" i="1"/>
  <c r="E490" i="1"/>
  <c r="E486" i="1"/>
  <c r="E482" i="1"/>
  <c r="E478" i="1"/>
  <c r="E474" i="1"/>
  <c r="E470" i="1"/>
  <c r="E466" i="1"/>
  <c r="E462" i="1"/>
  <c r="E458" i="1"/>
  <c r="E454" i="1"/>
  <c r="E450" i="1"/>
  <c r="E446" i="1"/>
  <c r="E442" i="1"/>
  <c r="E438" i="1"/>
  <c r="E434" i="1"/>
  <c r="E430" i="1"/>
  <c r="E426" i="1"/>
  <c r="E422" i="1"/>
  <c r="E418" i="1"/>
  <c r="E414" i="1"/>
  <c r="E410" i="1"/>
  <c r="E406" i="1"/>
  <c r="E402" i="1"/>
  <c r="E398" i="1"/>
  <c r="E394" i="1"/>
  <c r="E390" i="1"/>
  <c r="E386" i="1"/>
  <c r="E382" i="1"/>
  <c r="E378" i="1"/>
  <c r="E374" i="1"/>
  <c r="E370" i="1"/>
  <c r="E366" i="1"/>
  <c r="E362" i="1"/>
  <c r="E358" i="1"/>
  <c r="E354" i="1"/>
  <c r="E350" i="1"/>
  <c r="E346" i="1"/>
  <c r="E342" i="1"/>
  <c r="E338" i="1"/>
  <c r="E334" i="1"/>
  <c r="E330" i="1"/>
  <c r="E326" i="1"/>
  <c r="E322" i="1"/>
  <c r="E318" i="1"/>
  <c r="E314" i="1"/>
  <c r="E310" i="1"/>
  <c r="E306" i="1"/>
  <c r="E302" i="1"/>
  <c r="E298" i="1"/>
  <c r="E294" i="1"/>
  <c r="E290" i="1"/>
  <c r="E286" i="1"/>
  <c r="E282" i="1"/>
  <c r="E278" i="1"/>
  <c r="E274" i="1"/>
  <c r="E270" i="1"/>
  <c r="E266" i="1"/>
  <c r="E262" i="1"/>
  <c r="E258" i="1"/>
  <c r="E254" i="1"/>
  <c r="E250" i="1"/>
  <c r="E246" i="1"/>
  <c r="E242" i="1"/>
  <c r="E238" i="1"/>
  <c r="E234" i="1"/>
  <c r="E230" i="1"/>
  <c r="E226" i="1"/>
  <c r="E222" i="1"/>
  <c r="E218" i="1"/>
  <c r="E214" i="1"/>
  <c r="E210" i="1"/>
  <c r="E206" i="1"/>
  <c r="E202" i="1"/>
  <c r="E198" i="1"/>
  <c r="E194" i="1"/>
  <c r="E190" i="1"/>
  <c r="E186" i="1"/>
  <c r="E182" i="1"/>
  <c r="E178" i="1"/>
  <c r="E174" i="1"/>
  <c r="E170" i="1"/>
  <c r="E508" i="1"/>
  <c r="E492" i="1"/>
  <c r="E476" i="1"/>
  <c r="E460" i="1"/>
  <c r="E444" i="1"/>
  <c r="E428" i="1"/>
  <c r="E412" i="1"/>
  <c r="E396" i="1"/>
  <c r="E380" i="1"/>
  <c r="E364" i="1"/>
  <c r="E348" i="1"/>
  <c r="E332" i="1"/>
  <c r="E316" i="1"/>
  <c r="E300" i="1"/>
  <c r="E284" i="1"/>
  <c r="E268" i="1"/>
  <c r="E252" i="1"/>
  <c r="E236" i="1"/>
  <c r="E220" i="1"/>
  <c r="E204" i="1"/>
  <c r="E188" i="1"/>
  <c r="E2" i="1"/>
  <c r="E10" i="1"/>
  <c r="E155" i="1"/>
  <c r="E147" i="1"/>
  <c r="E143" i="1"/>
  <c r="E135" i="1"/>
  <c r="E131" i="1"/>
  <c r="E123" i="1"/>
  <c r="E119" i="1"/>
  <c r="E111" i="1"/>
  <c r="E107" i="1"/>
  <c r="E99" i="1"/>
  <c r="E95" i="1"/>
  <c r="E87" i="1"/>
  <c r="E83" i="1"/>
  <c r="E75" i="1"/>
  <c r="E71" i="1"/>
  <c r="E63" i="1"/>
  <c r="E59" i="1"/>
  <c r="E55" i="1"/>
  <c r="E51" i="1"/>
  <c r="E47" i="1"/>
  <c r="E39" i="1"/>
  <c r="E35" i="1"/>
  <c r="E27" i="1"/>
  <c r="E23" i="1"/>
  <c r="E19" i="1"/>
  <c r="E15" i="1"/>
  <c r="E513" i="1"/>
  <c r="E509" i="1"/>
  <c r="E505" i="1"/>
  <c r="E501" i="1"/>
  <c r="E497" i="1"/>
  <c r="E493" i="1"/>
  <c r="E489" i="1"/>
  <c r="E485" i="1"/>
  <c r="E481" i="1"/>
  <c r="E477" i="1"/>
  <c r="E473" i="1"/>
  <c r="E469" i="1"/>
  <c r="E465" i="1"/>
  <c r="E461" i="1"/>
  <c r="E457" i="1"/>
  <c r="E453" i="1"/>
  <c r="E449" i="1"/>
  <c r="E445" i="1"/>
  <c r="E441" i="1"/>
  <c r="E437" i="1"/>
  <c r="E433" i="1"/>
  <c r="E429" i="1"/>
  <c r="E425" i="1"/>
  <c r="E421" i="1"/>
  <c r="E417" i="1"/>
  <c r="E413" i="1"/>
  <c r="E409" i="1"/>
  <c r="E405" i="1"/>
  <c r="E401" i="1"/>
  <c r="E397" i="1"/>
  <c r="E393" i="1"/>
  <c r="E389" i="1"/>
  <c r="E385" i="1"/>
  <c r="E381" i="1"/>
  <c r="E377" i="1"/>
  <c r="E373" i="1"/>
  <c r="E369" i="1"/>
  <c r="E365" i="1"/>
  <c r="E361" i="1"/>
  <c r="E357" i="1"/>
  <c r="E353" i="1"/>
  <c r="E349" i="1"/>
  <c r="E345" i="1"/>
  <c r="E341" i="1"/>
  <c r="E337" i="1"/>
  <c r="E333" i="1"/>
  <c r="E329" i="1"/>
  <c r="E325" i="1"/>
  <c r="E321" i="1"/>
  <c r="E317" i="1"/>
  <c r="E313" i="1"/>
  <c r="E309" i="1"/>
  <c r="E305" i="1"/>
  <c r="E301" i="1"/>
  <c r="E297" i="1"/>
  <c r="E293" i="1"/>
  <c r="E289" i="1"/>
  <c r="E285" i="1"/>
  <c r="E281" i="1"/>
  <c r="E277" i="1"/>
  <c r="E273" i="1"/>
  <c r="E269" i="1"/>
  <c r="E265" i="1"/>
  <c r="E261" i="1"/>
  <c r="E257" i="1"/>
  <c r="E253" i="1"/>
  <c r="E249" i="1"/>
  <c r="E245" i="1"/>
  <c r="E241" i="1"/>
  <c r="E237" i="1"/>
  <c r="E233" i="1"/>
  <c r="E229" i="1"/>
  <c r="E225" i="1"/>
  <c r="E221" i="1"/>
  <c r="E217" i="1"/>
  <c r="E213" i="1"/>
  <c r="E209" i="1"/>
  <c r="E205" i="1"/>
  <c r="E201" i="1"/>
  <c r="E197" i="1"/>
  <c r="E193" i="1"/>
  <c r="E189" i="1"/>
  <c r="E185" i="1"/>
  <c r="E181" i="1"/>
  <c r="E177" i="1"/>
  <c r="E173" i="1"/>
  <c r="E504" i="1"/>
  <c r="E488" i="1"/>
  <c r="E472" i="1"/>
  <c r="E456" i="1"/>
  <c r="E440" i="1"/>
  <c r="E424" i="1"/>
  <c r="E408" i="1"/>
  <c r="E392" i="1"/>
  <c r="E376" i="1"/>
  <c r="E360" i="1"/>
  <c r="E344" i="1"/>
  <c r="E328" i="1"/>
  <c r="E312" i="1"/>
  <c r="E296" i="1"/>
  <c r="E280" i="1"/>
  <c r="E264" i="1"/>
  <c r="E248" i="1"/>
  <c r="E232" i="1"/>
  <c r="E216" i="1"/>
  <c r="E200" i="1"/>
  <c r="E184" i="1"/>
  <c r="E167" i="1"/>
  <c r="E163" i="1"/>
  <c r="E159" i="1"/>
  <c r="E151" i="1"/>
  <c r="E139" i="1"/>
  <c r="E127" i="1"/>
  <c r="E115" i="1"/>
  <c r="E103" i="1"/>
  <c r="E91" i="1"/>
  <c r="E79" i="1"/>
  <c r="E67" i="1"/>
  <c r="E43" i="1"/>
  <c r="E31" i="1"/>
  <c r="E5" i="1"/>
  <c r="B11" i="1"/>
  <c r="D11" i="15" s="1"/>
  <c r="E11" i="1"/>
  <c r="E166" i="1"/>
  <c r="E162" i="1"/>
  <c r="E158" i="1"/>
  <c r="E154" i="1"/>
  <c r="E146" i="1"/>
  <c r="E142" i="1"/>
  <c r="E134" i="1"/>
  <c r="E130" i="1"/>
  <c r="E122" i="1"/>
  <c r="E118" i="1"/>
  <c r="E110" i="1"/>
  <c r="E106" i="1"/>
  <c r="E98" i="1"/>
  <c r="E86" i="1"/>
  <c r="E74" i="1"/>
  <c r="E70" i="1"/>
  <c r="E62" i="1"/>
  <c r="E50" i="1"/>
  <c r="E46" i="1"/>
  <c r="E38" i="1"/>
  <c r="E34" i="1"/>
  <c r="E26" i="1"/>
  <c r="E14" i="1"/>
  <c r="E9" i="1"/>
  <c r="E169" i="1"/>
  <c r="E165" i="1"/>
  <c r="E161" i="1"/>
  <c r="E133" i="1"/>
  <c r="E97" i="1"/>
  <c r="E61" i="1"/>
  <c r="E37" i="1"/>
  <c r="E13" i="1"/>
  <c r="AC981" i="10"/>
  <c r="AC967" i="10"/>
  <c r="AC938" i="10"/>
  <c r="AC920" i="10"/>
  <c r="AC893" i="10"/>
  <c r="AC866" i="10"/>
  <c r="AC848" i="10"/>
  <c r="AC816" i="10"/>
  <c r="AC773" i="10"/>
  <c r="AC739" i="10"/>
  <c r="AC675" i="10"/>
  <c r="AC611" i="10"/>
  <c r="AC546" i="10"/>
  <c r="AC428" i="10"/>
  <c r="AC235" i="10"/>
  <c r="AC104" i="10"/>
  <c r="AC987" i="10"/>
  <c r="AC965" i="10"/>
  <c r="AC944" i="10"/>
  <c r="AC919" i="10"/>
  <c r="AC901" i="10"/>
  <c r="AC883" i="10"/>
  <c r="AC856" i="10"/>
  <c r="AC825" i="10"/>
  <c r="AC793" i="10"/>
  <c r="AC761" i="10"/>
  <c r="AC721" i="10"/>
  <c r="AC674" i="10"/>
  <c r="AC609" i="10"/>
  <c r="AC545" i="10"/>
  <c r="AC523" i="10"/>
  <c r="AC361" i="10"/>
  <c r="AC164" i="10"/>
  <c r="AC993" i="10"/>
  <c r="AC986" i="10"/>
  <c r="AC979" i="10"/>
  <c r="AC971" i="10"/>
  <c r="AC964" i="10"/>
  <c r="AC957" i="10"/>
  <c r="AC950" i="10"/>
  <c r="AC943" i="10"/>
  <c r="AC935" i="10"/>
  <c r="AC926" i="10"/>
  <c r="AC917" i="10"/>
  <c r="AC908" i="10"/>
  <c r="AC899" i="10"/>
  <c r="AC890" i="10"/>
  <c r="AC881" i="10"/>
  <c r="AC872" i="10"/>
  <c r="AC863" i="10"/>
  <c r="AC854" i="10"/>
  <c r="AC845" i="10"/>
  <c r="AC834" i="10"/>
  <c r="AC823" i="10"/>
  <c r="AC812" i="10"/>
  <c r="AC801" i="10"/>
  <c r="AC791" i="10"/>
  <c r="AC780" i="10"/>
  <c r="AC769" i="10"/>
  <c r="AC758" i="10"/>
  <c r="AC747" i="10"/>
  <c r="AC733" i="10"/>
  <c r="AC719" i="10"/>
  <c r="AC704" i="10"/>
  <c r="AC690" i="10"/>
  <c r="AC668" i="10"/>
  <c r="AC647" i="10"/>
  <c r="AC625" i="10"/>
  <c r="AC603" i="10"/>
  <c r="AC582" i="10"/>
  <c r="AC560" i="10"/>
  <c r="AC539" i="10"/>
  <c r="AC517" i="10"/>
  <c r="AC470" i="10"/>
  <c r="AC409" i="10"/>
  <c r="AC343" i="10"/>
  <c r="AC278" i="10"/>
  <c r="AC212" i="10"/>
  <c r="AC146" i="10"/>
  <c r="AC85" i="10"/>
  <c r="A1" i="10"/>
  <c r="AC8" i="10"/>
  <c r="AC14" i="10"/>
  <c r="AC20" i="10"/>
  <c r="AC27" i="10"/>
  <c r="AC33" i="10"/>
  <c r="AC39" i="10"/>
  <c r="AC45" i="10"/>
  <c r="AC51" i="10"/>
  <c r="AC57" i="10"/>
  <c r="AC63" i="10"/>
  <c r="AC69" i="10"/>
  <c r="AC75" i="10"/>
  <c r="AC81" i="10"/>
  <c r="AC87" i="10"/>
  <c r="AC93" i="10"/>
  <c r="AC99" i="10"/>
  <c r="AC105" i="10"/>
  <c r="AC111" i="10"/>
  <c r="AC117" i="10"/>
  <c r="AC123" i="10"/>
  <c r="AC129" i="10"/>
  <c r="AC135" i="10"/>
  <c r="AC141" i="10"/>
  <c r="AC147" i="10"/>
  <c r="AC153" i="10"/>
  <c r="AC159" i="10"/>
  <c r="AC165" i="10"/>
  <c r="AC171" i="10"/>
  <c r="AC177" i="10"/>
  <c r="AC183" i="10"/>
  <c r="AC189" i="10"/>
  <c r="AC195" i="10"/>
  <c r="AC201" i="10"/>
  <c r="AC207" i="10"/>
  <c r="AC213" i="10"/>
  <c r="AC219" i="10"/>
  <c r="AC225" i="10"/>
  <c r="AC231" i="10"/>
  <c r="AC237" i="10"/>
  <c r="AC243" i="10"/>
  <c r="AC249" i="10"/>
  <c r="AC255" i="10"/>
  <c r="AC261" i="10"/>
  <c r="AC267" i="10"/>
  <c r="AC273" i="10"/>
  <c r="AC279" i="10"/>
  <c r="AC285" i="10"/>
  <c r="AC291" i="10"/>
  <c r="AC297" i="10"/>
  <c r="AC303" i="10"/>
  <c r="AC309" i="10"/>
  <c r="AC315" i="10"/>
  <c r="AC321" i="10"/>
  <c r="AC327" i="10"/>
  <c r="AC333" i="10"/>
  <c r="AC339" i="10"/>
  <c r="AC345" i="10"/>
  <c r="AC351" i="10"/>
  <c r="AC357" i="10"/>
  <c r="AC363" i="10"/>
  <c r="AC369" i="10"/>
  <c r="AC375" i="10"/>
  <c r="AC381" i="10"/>
  <c r="AC387" i="10"/>
  <c r="AC393" i="10"/>
  <c r="AC399" i="10"/>
  <c r="AC405" i="10"/>
  <c r="AC411" i="10"/>
  <c r="AC417" i="10"/>
  <c r="AC423" i="10"/>
  <c r="AC429" i="10"/>
  <c r="AC435" i="10"/>
  <c r="AC441" i="10"/>
  <c r="AC447" i="10"/>
  <c r="AC453" i="10"/>
  <c r="AC459" i="10"/>
  <c r="AC465" i="10"/>
  <c r="AC471" i="10"/>
  <c r="AC477" i="10"/>
  <c r="AC483" i="10"/>
  <c r="AC489" i="10"/>
  <c r="AC495" i="10"/>
  <c r="AC501" i="10"/>
  <c r="AC507" i="10"/>
  <c r="AC513" i="10"/>
  <c r="AC3" i="10"/>
  <c r="AC9" i="10"/>
  <c r="AC15" i="10"/>
  <c r="AC21" i="10"/>
  <c r="AC28" i="10"/>
  <c r="AC34" i="10"/>
  <c r="AC40" i="10"/>
  <c r="AC46" i="10"/>
  <c r="AC52" i="10"/>
  <c r="AC58" i="10"/>
  <c r="AC64" i="10"/>
  <c r="AC70" i="10"/>
  <c r="AC76" i="10"/>
  <c r="AC82" i="10"/>
  <c r="AC88" i="10"/>
  <c r="AC94" i="10"/>
  <c r="AC100" i="10"/>
  <c r="AC106" i="10"/>
  <c r="AC112" i="10"/>
  <c r="AC118" i="10"/>
  <c r="AC124" i="10"/>
  <c r="AC130" i="10"/>
  <c r="AC136" i="10"/>
  <c r="AC142" i="10"/>
  <c r="AC148" i="10"/>
  <c r="AC154" i="10"/>
  <c r="AC160" i="10"/>
  <c r="AC166" i="10"/>
  <c r="AC172" i="10"/>
  <c r="AC178" i="10"/>
  <c r="AC184" i="10"/>
  <c r="AC190" i="10"/>
  <c r="AC196" i="10"/>
  <c r="AC202" i="10"/>
  <c r="AC208" i="10"/>
  <c r="AC214" i="10"/>
  <c r="AC220" i="10"/>
  <c r="AC226" i="10"/>
  <c r="AC232" i="10"/>
  <c r="AC238" i="10"/>
  <c r="AC244" i="10"/>
  <c r="AC250" i="10"/>
  <c r="AC256" i="10"/>
  <c r="AC262" i="10"/>
  <c r="AC268" i="10"/>
  <c r="AC274" i="10"/>
  <c r="AC280" i="10"/>
  <c r="AC286" i="10"/>
  <c r="AC292" i="10"/>
  <c r="AC298" i="10"/>
  <c r="AC304" i="10"/>
  <c r="AC310" i="10"/>
  <c r="AC316" i="10"/>
  <c r="AC322" i="10"/>
  <c r="AC328" i="10"/>
  <c r="AC334" i="10"/>
  <c r="AC340" i="10"/>
  <c r="AC346" i="10"/>
  <c r="AC352" i="10"/>
  <c r="AC358" i="10"/>
  <c r="AC364" i="10"/>
  <c r="AC370" i="10"/>
  <c r="AC376" i="10"/>
  <c r="AC382" i="10"/>
  <c r="AC388" i="10"/>
  <c r="AC394" i="10"/>
  <c r="AC400" i="10"/>
  <c r="AC406" i="10"/>
  <c r="AC412" i="10"/>
  <c r="AC418" i="10"/>
  <c r="AC424" i="10"/>
  <c r="AC430" i="10"/>
  <c r="AC436" i="10"/>
  <c r="AC442" i="10"/>
  <c r="AC448" i="10"/>
  <c r="AC454" i="10"/>
  <c r="AC460" i="10"/>
  <c r="AC466" i="10"/>
  <c r="AC472" i="10"/>
  <c r="AC478" i="10"/>
  <c r="AC484" i="10"/>
  <c r="AC490" i="10"/>
  <c r="AC496" i="10"/>
  <c r="AC502" i="10"/>
  <c r="AC4" i="10"/>
  <c r="AC10" i="10"/>
  <c r="AC16" i="10"/>
  <c r="AC22" i="10"/>
  <c r="AC29" i="10"/>
  <c r="AC35" i="10"/>
  <c r="AC41" i="10"/>
  <c r="AC47" i="10"/>
  <c r="AC53" i="10"/>
  <c r="AC59" i="10"/>
  <c r="AC65" i="10"/>
  <c r="AC71" i="10"/>
  <c r="AC77" i="10"/>
  <c r="AC83" i="10"/>
  <c r="AC89" i="10"/>
  <c r="AC95" i="10"/>
  <c r="AC101" i="10"/>
  <c r="AC107" i="10"/>
  <c r="AC113" i="10"/>
  <c r="AC119" i="10"/>
  <c r="AC125" i="10"/>
  <c r="AC131" i="10"/>
  <c r="AC137" i="10"/>
  <c r="AC143" i="10"/>
  <c r="AC149" i="10"/>
  <c r="AC155" i="10"/>
  <c r="AC161" i="10"/>
  <c r="AC167" i="10"/>
  <c r="AC173" i="10"/>
  <c r="AC179" i="10"/>
  <c r="AC185" i="10"/>
  <c r="AC191" i="10"/>
  <c r="AC197" i="10"/>
  <c r="AC203" i="10"/>
  <c r="AC209" i="10"/>
  <c r="AC215" i="10"/>
  <c r="AC221" i="10"/>
  <c r="AC227" i="10"/>
  <c r="AC233" i="10"/>
  <c r="AC239" i="10"/>
  <c r="AC245" i="10"/>
  <c r="AC251" i="10"/>
  <c r="AC257" i="10"/>
  <c r="AC263" i="10"/>
  <c r="AC269" i="10"/>
  <c r="AC275" i="10"/>
  <c r="AC281" i="10"/>
  <c r="AC287" i="10"/>
  <c r="AC293" i="10"/>
  <c r="AC299" i="10"/>
  <c r="AC305" i="10"/>
  <c r="AC311" i="10"/>
  <c r="AC317" i="10"/>
  <c r="AC323" i="10"/>
  <c r="AC329" i="10"/>
  <c r="AC335" i="10"/>
  <c r="AC341" i="10"/>
  <c r="AC347" i="10"/>
  <c r="AC353" i="10"/>
  <c r="AC359" i="10"/>
  <c r="AC365" i="10"/>
  <c r="AC371" i="10"/>
  <c r="AC377" i="10"/>
  <c r="AC383" i="10"/>
  <c r="AC389" i="10"/>
  <c r="AC395" i="10"/>
  <c r="AC401" i="10"/>
  <c r="AC407" i="10"/>
  <c r="AC413" i="10"/>
  <c r="AC419" i="10"/>
  <c r="AC425" i="10"/>
  <c r="AC431" i="10"/>
  <c r="AC437" i="10"/>
  <c r="AC443" i="10"/>
  <c r="AC449" i="10"/>
  <c r="AC455" i="10"/>
  <c r="AC461" i="10"/>
  <c r="AC467" i="10"/>
  <c r="AC473" i="10"/>
  <c r="AC479" i="10"/>
  <c r="AC485" i="10"/>
  <c r="AC491" i="10"/>
  <c r="AC497" i="10"/>
  <c r="AC503" i="10"/>
  <c r="AC5" i="10"/>
  <c r="AC11" i="10"/>
  <c r="AC17" i="10"/>
  <c r="AC23" i="10"/>
  <c r="AC30" i="10"/>
  <c r="AC36" i="10"/>
  <c r="AC42" i="10"/>
  <c r="AC48" i="10"/>
  <c r="AC54" i="10"/>
  <c r="AC60" i="10"/>
  <c r="AC66" i="10"/>
  <c r="AC72" i="10"/>
  <c r="AC78" i="10"/>
  <c r="AC84" i="10"/>
  <c r="AC90" i="10"/>
  <c r="AC96" i="10"/>
  <c r="AC102" i="10"/>
  <c r="AC108" i="10"/>
  <c r="AC114" i="10"/>
  <c r="AC120" i="10"/>
  <c r="AC126" i="10"/>
  <c r="AC132" i="10"/>
  <c r="AC138" i="10"/>
  <c r="AC144" i="10"/>
  <c r="AC150" i="10"/>
  <c r="AC156" i="10"/>
  <c r="AC162" i="10"/>
  <c r="AC168" i="10"/>
  <c r="AC174" i="10"/>
  <c r="AC180" i="10"/>
  <c r="AC186" i="10"/>
  <c r="AC192" i="10"/>
  <c r="AC198" i="10"/>
  <c r="AC204" i="10"/>
  <c r="AC210" i="10"/>
  <c r="AC216" i="10"/>
  <c r="AC222" i="10"/>
  <c r="AC228" i="10"/>
  <c r="AC234" i="10"/>
  <c r="AC240" i="10"/>
  <c r="AC246" i="10"/>
  <c r="AC252" i="10"/>
  <c r="AC258" i="10"/>
  <c r="AC264" i="10"/>
  <c r="AC270" i="10"/>
  <c r="AC276" i="10"/>
  <c r="AC282" i="10"/>
  <c r="AC288" i="10"/>
  <c r="AC294" i="10"/>
  <c r="AC300" i="10"/>
  <c r="AC306" i="10"/>
  <c r="AC312" i="10"/>
  <c r="AC318" i="10"/>
  <c r="AC324" i="10"/>
  <c r="AC330" i="10"/>
  <c r="AC336" i="10"/>
  <c r="AC342" i="10"/>
  <c r="AC348" i="10"/>
  <c r="AC354" i="10"/>
  <c r="AC360" i="10"/>
  <c r="AC366" i="10"/>
  <c r="AC372" i="10"/>
  <c r="AC378" i="10"/>
  <c r="AC384" i="10"/>
  <c r="AC390" i="10"/>
  <c r="AC396" i="10"/>
  <c r="AC402" i="10"/>
  <c r="AC408" i="10"/>
  <c r="AC414" i="10"/>
  <c r="AC420" i="10"/>
  <c r="AC426" i="10"/>
  <c r="AC432" i="10"/>
  <c r="AC438" i="10"/>
  <c r="AC444" i="10"/>
  <c r="AC450" i="10"/>
  <c r="AC456" i="10"/>
  <c r="AC462" i="10"/>
  <c r="AC468" i="10"/>
  <c r="AC474" i="10"/>
  <c r="AC480" i="10"/>
  <c r="AC486" i="10"/>
  <c r="AC492" i="10"/>
  <c r="AC498" i="10"/>
  <c r="AC24" i="10"/>
  <c r="AC6" i="10"/>
  <c r="AC25" i="10"/>
  <c r="AC43" i="10"/>
  <c r="AC61" i="10"/>
  <c r="AC79" i="10"/>
  <c r="AC97" i="10"/>
  <c r="AC115" i="10"/>
  <c r="AC133" i="10"/>
  <c r="AC151" i="10"/>
  <c r="AC169" i="10"/>
  <c r="AC187" i="10"/>
  <c r="AC205" i="10"/>
  <c r="AC223" i="10"/>
  <c r="AC241" i="10"/>
  <c r="AC259" i="10"/>
  <c r="AC277" i="10"/>
  <c r="AC295" i="10"/>
  <c r="AC313" i="10"/>
  <c r="AC331" i="10"/>
  <c r="AC349" i="10"/>
  <c r="AC367" i="10"/>
  <c r="AC385" i="10"/>
  <c r="AC403" i="10"/>
  <c r="AC421" i="10"/>
  <c r="AC439" i="10"/>
  <c r="AC457" i="10"/>
  <c r="AC475" i="10"/>
  <c r="AC493" i="10"/>
  <c r="AC506" i="10"/>
  <c r="AC514" i="10"/>
  <c r="AC520" i="10"/>
  <c r="AC526" i="10"/>
  <c r="AC532" i="10"/>
  <c r="AC538" i="10"/>
  <c r="AC544" i="10"/>
  <c r="AC550" i="10"/>
  <c r="AC556" i="10"/>
  <c r="AC562" i="10"/>
  <c r="AC568" i="10"/>
  <c r="AC574" i="10"/>
  <c r="AC580" i="10"/>
  <c r="AC586" i="10"/>
  <c r="AC592" i="10"/>
  <c r="AC598" i="10"/>
  <c r="AC604" i="10"/>
  <c r="AC610" i="10"/>
  <c r="AC616" i="10"/>
  <c r="AC622" i="10"/>
  <c r="AC628" i="10"/>
  <c r="AC634" i="10"/>
  <c r="AC640" i="10"/>
  <c r="AC646" i="10"/>
  <c r="AC652" i="10"/>
  <c r="AC658" i="10"/>
  <c r="AC664" i="10"/>
  <c r="AC670" i="10"/>
  <c r="AC676" i="10"/>
  <c r="AC682" i="10"/>
  <c r="AC688" i="10"/>
  <c r="AC694" i="10"/>
  <c r="AC700" i="10"/>
  <c r="AC706" i="10"/>
  <c r="AC712" i="10"/>
  <c r="AC718" i="10"/>
  <c r="AC724" i="10"/>
  <c r="AC730" i="10"/>
  <c r="AC736" i="10"/>
  <c r="AC742" i="10"/>
  <c r="AC748" i="10"/>
  <c r="AC754" i="10"/>
  <c r="AC760" i="10"/>
  <c r="AC766" i="10"/>
  <c r="AC772" i="10"/>
  <c r="AC778" i="10"/>
  <c r="AC784" i="10"/>
  <c r="AC790" i="10"/>
  <c r="AC796" i="10"/>
  <c r="AC802" i="10"/>
  <c r="AC808" i="10"/>
  <c r="AC814" i="10"/>
  <c r="AC820" i="10"/>
  <c r="AC826" i="10"/>
  <c r="AC832" i="10"/>
  <c r="AC838" i="10"/>
  <c r="AC844" i="10"/>
  <c r="AC19" i="10"/>
  <c r="AC44" i="10"/>
  <c r="AC67" i="10"/>
  <c r="AC86" i="10"/>
  <c r="AC109" i="10"/>
  <c r="AC128" i="10"/>
  <c r="AC152" i="10"/>
  <c r="AC175" i="10"/>
  <c r="AC194" i="10"/>
  <c r="AC217" i="10"/>
  <c r="AC236" i="10"/>
  <c r="AC260" i="10"/>
  <c r="AC283" i="10"/>
  <c r="AC302" i="10"/>
  <c r="AC325" i="10"/>
  <c r="AC344" i="10"/>
  <c r="AC368" i="10"/>
  <c r="AC391" i="10"/>
  <c r="AC410" i="10"/>
  <c r="AC433" i="10"/>
  <c r="AC452" i="10"/>
  <c r="AC476" i="10"/>
  <c r="AC499" i="10"/>
  <c r="AC510" i="10"/>
  <c r="AC518" i="10"/>
  <c r="AC525" i="10"/>
  <c r="AC533" i="10"/>
  <c r="AC540" i="10"/>
  <c r="AC547" i="10"/>
  <c r="AC554" i="10"/>
  <c r="AC561" i="10"/>
  <c r="AC569" i="10"/>
  <c r="AC576" i="10"/>
  <c r="AC583" i="10"/>
  <c r="AC590" i="10"/>
  <c r="AC597" i="10"/>
  <c r="AC605" i="10"/>
  <c r="AC612" i="10"/>
  <c r="AC619" i="10"/>
  <c r="AC626" i="10"/>
  <c r="AC633" i="10"/>
  <c r="AC641" i="10"/>
  <c r="AC648" i="10"/>
  <c r="AC655" i="10"/>
  <c r="AC662" i="10"/>
  <c r="AC669" i="10"/>
  <c r="AC677" i="10"/>
  <c r="AC684" i="10"/>
  <c r="AC691" i="10"/>
  <c r="AC698" i="10"/>
  <c r="AC705" i="10"/>
  <c r="AC713" i="10"/>
  <c r="AC720" i="10"/>
  <c r="AC727" i="10"/>
  <c r="AC734" i="10"/>
  <c r="AC741" i="10"/>
  <c r="AC749" i="10"/>
  <c r="AC756" i="10"/>
  <c r="AC763" i="10"/>
  <c r="AC770" i="10"/>
  <c r="AC777" i="10"/>
  <c r="AC785" i="10"/>
  <c r="AC792" i="10"/>
  <c r="AC799" i="10"/>
  <c r="AC806" i="10"/>
  <c r="AC813" i="10"/>
  <c r="AC821" i="10"/>
  <c r="AC828" i="10"/>
  <c r="AC835" i="10"/>
  <c r="AC842" i="10"/>
  <c r="AC849" i="10"/>
  <c r="AC855" i="10"/>
  <c r="AC861" i="10"/>
  <c r="AC867" i="10"/>
  <c r="AC873" i="10"/>
  <c r="AC879" i="10"/>
  <c r="AC885" i="10"/>
  <c r="AC891" i="10"/>
  <c r="AC897" i="10"/>
  <c r="AC903" i="10"/>
  <c r="AC909" i="10"/>
  <c r="AC915" i="10"/>
  <c r="AC921" i="10"/>
  <c r="AC927" i="10"/>
  <c r="AC933" i="10"/>
  <c r="AC26" i="10"/>
  <c r="AC49" i="10"/>
  <c r="AC68" i="10"/>
  <c r="AC91" i="10"/>
  <c r="AC110" i="10"/>
  <c r="AC134" i="10"/>
  <c r="AC157" i="10"/>
  <c r="AC176" i="10"/>
  <c r="AC199" i="10"/>
  <c r="AC218" i="10"/>
  <c r="AC242" i="10"/>
  <c r="AC265" i="10"/>
  <c r="AC284" i="10"/>
  <c r="AC307" i="10"/>
  <c r="AC326" i="10"/>
  <c r="AC350" i="10"/>
  <c r="AC373" i="10"/>
  <c r="AC392" i="10"/>
  <c r="AC415" i="10"/>
  <c r="AC434" i="10"/>
  <c r="AC458" i="10"/>
  <c r="AC481" i="10"/>
  <c r="AC500" i="10"/>
  <c r="AC511" i="10"/>
  <c r="AC519" i="10"/>
  <c r="AC527" i="10"/>
  <c r="AC534" i="10"/>
  <c r="AC541" i="10"/>
  <c r="AC548" i="10"/>
  <c r="AC555" i="10"/>
  <c r="AC563" i="10"/>
  <c r="AC570" i="10"/>
  <c r="AC577" i="10"/>
  <c r="AC584" i="10"/>
  <c r="AC591" i="10"/>
  <c r="AC599" i="10"/>
  <c r="AC606" i="10"/>
  <c r="AC613" i="10"/>
  <c r="AC620" i="10"/>
  <c r="AC627" i="10"/>
  <c r="AC635" i="10"/>
  <c r="AC642" i="10"/>
  <c r="AC649" i="10"/>
  <c r="AC656" i="10"/>
  <c r="AC663" i="10"/>
  <c r="AC671" i="10"/>
  <c r="AC678" i="10"/>
  <c r="AC685" i="10"/>
  <c r="AC7" i="10"/>
  <c r="AC31" i="10"/>
  <c r="AC50" i="10"/>
  <c r="AC73" i="10"/>
  <c r="AC92" i="10"/>
  <c r="AC116" i="10"/>
  <c r="AC139" i="10"/>
  <c r="AC158" i="10"/>
  <c r="AC181" i="10"/>
  <c r="AC200" i="10"/>
  <c r="AC224" i="10"/>
  <c r="AC247" i="10"/>
  <c r="AC266" i="10"/>
  <c r="AC289" i="10"/>
  <c r="AC308" i="10"/>
  <c r="AC332" i="10"/>
  <c r="AC355" i="10"/>
  <c r="AC374" i="10"/>
  <c r="AC397" i="10"/>
  <c r="AC416" i="10"/>
  <c r="AC440" i="10"/>
  <c r="AC463" i="10"/>
  <c r="AC482" i="10"/>
  <c r="AC504" i="10"/>
  <c r="AC512" i="10"/>
  <c r="AC521" i="10"/>
  <c r="AC528" i="10"/>
  <c r="AC535" i="10"/>
  <c r="AC542" i="10"/>
  <c r="AC549" i="10"/>
  <c r="AC557" i="10"/>
  <c r="AC564" i="10"/>
  <c r="AC571" i="10"/>
  <c r="AC578" i="10"/>
  <c r="AC585" i="10"/>
  <c r="AC593" i="10"/>
  <c r="AC600" i="10"/>
  <c r="AC607" i="10"/>
  <c r="AC614" i="10"/>
  <c r="AC621" i="10"/>
  <c r="AC629" i="10"/>
  <c r="AC636" i="10"/>
  <c r="AC643" i="10"/>
  <c r="AC650" i="10"/>
  <c r="AC657" i="10"/>
  <c r="AC665" i="10"/>
  <c r="AC672" i="10"/>
  <c r="AC679" i="10"/>
  <c r="AC686" i="10"/>
  <c r="AC693" i="10"/>
  <c r="AC701" i="10"/>
  <c r="AC708" i="10"/>
  <c r="AC715" i="10"/>
  <c r="AC722" i="10"/>
  <c r="AC729" i="10"/>
  <c r="AC737" i="10"/>
  <c r="AC744" i="10"/>
  <c r="AC12" i="10"/>
  <c r="AC32" i="10"/>
  <c r="AC55" i="10"/>
  <c r="AC74" i="10"/>
  <c r="AC98" i="10"/>
  <c r="AC121" i="10"/>
  <c r="AC140" i="10"/>
  <c r="AC163" i="10"/>
  <c r="AC182" i="10"/>
  <c r="AC206" i="10"/>
  <c r="AC229" i="10"/>
  <c r="AC248" i="10"/>
  <c r="AC271" i="10"/>
  <c r="AC290" i="10"/>
  <c r="AC314" i="10"/>
  <c r="AC337" i="10"/>
  <c r="AC356" i="10"/>
  <c r="AC379" i="10"/>
  <c r="AC398" i="10"/>
  <c r="AC422" i="10"/>
  <c r="AC445" i="10"/>
  <c r="AC464" i="10"/>
  <c r="AC487" i="10"/>
  <c r="AC505" i="10"/>
  <c r="AC515" i="10"/>
  <c r="AC522" i="10"/>
  <c r="AC529" i="10"/>
  <c r="AC536" i="10"/>
  <c r="AC543" i="10"/>
  <c r="AC551" i="10"/>
  <c r="AC558" i="10"/>
  <c r="AC565" i="10"/>
  <c r="AC572" i="10"/>
  <c r="AC579" i="10"/>
  <c r="AC587" i="10"/>
  <c r="AC594" i="10"/>
  <c r="AC601" i="10"/>
  <c r="AC608" i="10"/>
  <c r="AC615" i="10"/>
  <c r="AC623" i="10"/>
  <c r="AC630" i="10"/>
  <c r="AC637" i="10"/>
  <c r="AC644" i="10"/>
  <c r="AC651" i="10"/>
  <c r="AC659" i="10"/>
  <c r="AC666" i="10"/>
  <c r="AC673" i="10"/>
  <c r="AC680" i="10"/>
  <c r="AC687" i="10"/>
  <c r="AC695" i="10"/>
  <c r="AC702" i="10"/>
  <c r="AC709" i="10"/>
  <c r="AC716" i="10"/>
  <c r="AC723" i="10"/>
  <c r="AC731" i="10"/>
  <c r="AC738" i="10"/>
  <c r="AC745" i="10"/>
  <c r="AC752" i="10"/>
  <c r="AC759" i="10"/>
  <c r="AC767" i="10"/>
  <c r="AC774" i="10"/>
  <c r="AC781" i="10"/>
  <c r="AC788" i="10"/>
  <c r="AC795" i="10"/>
  <c r="AC803" i="10"/>
  <c r="AC810" i="10"/>
  <c r="AC817" i="10"/>
  <c r="AC824" i="10"/>
  <c r="AC831" i="10"/>
  <c r="AC839" i="10"/>
  <c r="AC846" i="10"/>
  <c r="AC852" i="10"/>
  <c r="AC858" i="10"/>
  <c r="AC864" i="10"/>
  <c r="AC870" i="10"/>
  <c r="AC876" i="10"/>
  <c r="AC882" i="10"/>
  <c r="AC888" i="10"/>
  <c r="AC894" i="10"/>
  <c r="AC900" i="10"/>
  <c r="AC906" i="10"/>
  <c r="AC912" i="10"/>
  <c r="AC918" i="10"/>
  <c r="AC924" i="10"/>
  <c r="AC930" i="10"/>
  <c r="AC936" i="10"/>
  <c r="AC942" i="10"/>
  <c r="AC948" i="10"/>
  <c r="AC954" i="10"/>
  <c r="AC960" i="10"/>
  <c r="AC966" i="10"/>
  <c r="AC972" i="10"/>
  <c r="AC978" i="10"/>
  <c r="AC984" i="10"/>
  <c r="AC990" i="10"/>
  <c r="AC996" i="10"/>
  <c r="AC988" i="10"/>
  <c r="AC959" i="10"/>
  <c r="AC945" i="10"/>
  <c r="AC911" i="10"/>
  <c r="AC875" i="10"/>
  <c r="AC837" i="10"/>
  <c r="AC805" i="10"/>
  <c r="AC783" i="10"/>
  <c r="AC751" i="10"/>
  <c r="AC710" i="10"/>
  <c r="AC632" i="10"/>
  <c r="AC589" i="10"/>
  <c r="AC524" i="10"/>
  <c r="AC362" i="10"/>
  <c r="AC170" i="10"/>
  <c r="AC994" i="10"/>
  <c r="AC973" i="10"/>
  <c r="AC951" i="10"/>
  <c r="AC937" i="10"/>
  <c r="AC910" i="10"/>
  <c r="AC874" i="10"/>
  <c r="AC836" i="10"/>
  <c r="AC804" i="10"/>
  <c r="AC771" i="10"/>
  <c r="AC735" i="10"/>
  <c r="AC707" i="10"/>
  <c r="AC653" i="10"/>
  <c r="AC588" i="10"/>
  <c r="AC488" i="10"/>
  <c r="AC296" i="10"/>
  <c r="AC103" i="10"/>
  <c r="AC992" i="10"/>
  <c r="AC985" i="10"/>
  <c r="AC977" i="10"/>
  <c r="AC970" i="10"/>
  <c r="AC963" i="10"/>
  <c r="AC956" i="10"/>
  <c r="AC949" i="10"/>
  <c r="AC941" i="10"/>
  <c r="AC934" i="10"/>
  <c r="AC925" i="10"/>
  <c r="AC916" i="10"/>
  <c r="AC907" i="10"/>
  <c r="AC898" i="10"/>
  <c r="AC889" i="10"/>
  <c r="AC880" i="10"/>
  <c r="AC871" i="10"/>
  <c r="AC862" i="10"/>
  <c r="AC853" i="10"/>
  <c r="AC843" i="10"/>
  <c r="AC833" i="10"/>
  <c r="AC822" i="10"/>
  <c r="AC811" i="10"/>
  <c r="AC800" i="10"/>
  <c r="AC789" i="10"/>
  <c r="AC779" i="10"/>
  <c r="AC768" i="10"/>
  <c r="AC757" i="10"/>
  <c r="AC746" i="10"/>
  <c r="AC732" i="10"/>
  <c r="AC717" i="10"/>
  <c r="AC703" i="10"/>
  <c r="AC689" i="10"/>
  <c r="AC667" i="10"/>
  <c r="AC645" i="10"/>
  <c r="AC624" i="10"/>
  <c r="AC602" i="10"/>
  <c r="AC581" i="10"/>
  <c r="AC559" i="10"/>
  <c r="AC537" i="10"/>
  <c r="AC516" i="10"/>
  <c r="AC469" i="10"/>
  <c r="AC404" i="10"/>
  <c r="AC338" i="10"/>
  <c r="AC272" i="10"/>
  <c r="AC211" i="10"/>
  <c r="AC145" i="10"/>
  <c r="AC80" i="10"/>
  <c r="AC13" i="10"/>
  <c r="AC995" i="10"/>
  <c r="AC974" i="10"/>
  <c r="AC952" i="10"/>
  <c r="AC929" i="10"/>
  <c r="AC902" i="10"/>
  <c r="AC884" i="10"/>
  <c r="AC857" i="10"/>
  <c r="AC827" i="10"/>
  <c r="AC794" i="10"/>
  <c r="AC762" i="10"/>
  <c r="AC725" i="10"/>
  <c r="AC696" i="10"/>
  <c r="AC654" i="10"/>
  <c r="AC567" i="10"/>
  <c r="AC494" i="10"/>
  <c r="AC301" i="10"/>
  <c r="AC38" i="10"/>
  <c r="AC980" i="10"/>
  <c r="AC958" i="10"/>
  <c r="AC928" i="10"/>
  <c r="AC892" i="10"/>
  <c r="AC865" i="10"/>
  <c r="AC847" i="10"/>
  <c r="AC815" i="10"/>
  <c r="AC782" i="10"/>
  <c r="AC750" i="10"/>
  <c r="AC692" i="10"/>
  <c r="AC631" i="10"/>
  <c r="AC566" i="10"/>
  <c r="AC427" i="10"/>
  <c r="AC230" i="10"/>
  <c r="AC37" i="10"/>
  <c r="AC991" i="10"/>
  <c r="AC983" i="10"/>
  <c r="AC976" i="10"/>
  <c r="AC969" i="10"/>
  <c r="AC962" i="10"/>
  <c r="AC955" i="10"/>
  <c r="AC947" i="10"/>
  <c r="AC940" i="10"/>
  <c r="AC932" i="10"/>
  <c r="AC923" i="10"/>
  <c r="AC914" i="10"/>
  <c r="AC905" i="10"/>
  <c r="AC896" i="10"/>
  <c r="AC887" i="10"/>
  <c r="AC878" i="10"/>
  <c r="AC869" i="10"/>
  <c r="AC860" i="10"/>
  <c r="AC851" i="10"/>
  <c r="AC841" i="10"/>
  <c r="AC830" i="10"/>
  <c r="AC819" i="10"/>
  <c r="AC809" i="10"/>
  <c r="AC798" i="10"/>
  <c r="AC787" i="10"/>
  <c r="AC776" i="10"/>
  <c r="AC765" i="10"/>
  <c r="AC755" i="10"/>
  <c r="AC743" i="10"/>
  <c r="AC728" i="10"/>
  <c r="AC714" i="10"/>
  <c r="AC699" i="10"/>
  <c r="AC683" i="10"/>
  <c r="AC661" i="10"/>
  <c r="AC639" i="10"/>
  <c r="AC618" i="10"/>
  <c r="AC596" i="10"/>
  <c r="AC575" i="10"/>
  <c r="AC553" i="10"/>
  <c r="AC531" i="10"/>
  <c r="AC509" i="10"/>
  <c r="AC451" i="10"/>
  <c r="AC386" i="10"/>
  <c r="AC320" i="10"/>
  <c r="AC254" i="10"/>
  <c r="AC193" i="10"/>
  <c r="AC127" i="10"/>
  <c r="AC62" i="10"/>
  <c r="AC2" i="10"/>
  <c r="AC989" i="10"/>
  <c r="AC982" i="10"/>
  <c r="AC975" i="10"/>
  <c r="AC968" i="10"/>
  <c r="AC961" i="10"/>
  <c r="AC953" i="10"/>
  <c r="AC946" i="10"/>
  <c r="AC939" i="10"/>
  <c r="AC931" i="10"/>
  <c r="AC922" i="10"/>
  <c r="AC913" i="10"/>
  <c r="AC904" i="10"/>
  <c r="AC895" i="10"/>
  <c r="AC886" i="10"/>
  <c r="AC877" i="10"/>
  <c r="AC868" i="10"/>
  <c r="AC859" i="10"/>
  <c r="AC850" i="10"/>
  <c r="AC840" i="10"/>
  <c r="AC829" i="10"/>
  <c r="AC818" i="10"/>
  <c r="AC807" i="10"/>
  <c r="AC797" i="10"/>
  <c r="AC786" i="10"/>
  <c r="AC775" i="10"/>
  <c r="AC764" i="10"/>
  <c r="AC753" i="10"/>
  <c r="AC740" i="10"/>
  <c r="AC726" i="10"/>
  <c r="AC711" i="10"/>
  <c r="AC697" i="10"/>
  <c r="AC681" i="10"/>
  <c r="AC660" i="10"/>
  <c r="AC638" i="10"/>
  <c r="AC617" i="10"/>
  <c r="AC595" i="10"/>
  <c r="AC573" i="10"/>
  <c r="AC552" i="10"/>
  <c r="AC530" i="10"/>
  <c r="AC508" i="10"/>
  <c r="AC446" i="10"/>
  <c r="AC380" i="10"/>
  <c r="AC319" i="10"/>
  <c r="AC253" i="10"/>
  <c r="AC188" i="10"/>
  <c r="AC122" i="10"/>
  <c r="AC56" i="10"/>
  <c r="E301" i="6"/>
  <c r="J301" i="6"/>
  <c r="E292" i="6"/>
  <c r="H292" i="6"/>
  <c r="E286" i="6"/>
  <c r="J286" i="6"/>
  <c r="E273" i="6"/>
  <c r="I273" i="6"/>
  <c r="E271" i="6"/>
  <c r="J271" i="6"/>
  <c r="E253" i="6"/>
  <c r="I253" i="6"/>
  <c r="E215" i="6"/>
  <c r="J215" i="6"/>
  <c r="H206" i="6"/>
  <c r="J206" i="6"/>
  <c r="E154" i="6"/>
  <c r="I154" i="6"/>
  <c r="H108" i="6"/>
  <c r="E108" i="6"/>
  <c r="I108" i="6"/>
  <c r="E101" i="6"/>
  <c r="H101" i="6"/>
  <c r="I101" i="6"/>
  <c r="J101" i="6"/>
  <c r="E387" i="6"/>
  <c r="H380" i="6"/>
  <c r="E378" i="6"/>
  <c r="H374" i="6"/>
  <c r="E372" i="6"/>
  <c r="E363" i="6"/>
  <c r="H358" i="6"/>
  <c r="E355" i="6"/>
  <c r="I354" i="6"/>
  <c r="H351" i="6"/>
  <c r="H346" i="6"/>
  <c r="E344" i="6"/>
  <c r="E340" i="6"/>
  <c r="E336" i="6"/>
  <c r="E247" i="6"/>
  <c r="H247" i="6"/>
  <c r="I239" i="6"/>
  <c r="H239" i="6"/>
  <c r="H235" i="6"/>
  <c r="H216" i="6"/>
  <c r="J214" i="6"/>
  <c r="J213" i="6"/>
  <c r="E213" i="6"/>
  <c r="J208" i="6"/>
  <c r="I207" i="6"/>
  <c r="E206" i="6"/>
  <c r="H198" i="6"/>
  <c r="J195" i="6"/>
  <c r="H194" i="6"/>
  <c r="E192" i="6"/>
  <c r="J189" i="6"/>
  <c r="H188" i="6"/>
  <c r="H184" i="6"/>
  <c r="H181" i="6"/>
  <c r="E181" i="6"/>
  <c r="I174" i="6"/>
  <c r="E173" i="6"/>
  <c r="I173" i="6"/>
  <c r="I170" i="6"/>
  <c r="E169" i="6"/>
  <c r="J166" i="6"/>
  <c r="E166" i="6"/>
  <c r="I163" i="6"/>
  <c r="H163" i="6"/>
  <c r="J161" i="6"/>
  <c r="H151" i="6"/>
  <c r="I148" i="6"/>
  <c r="H147" i="6"/>
  <c r="E145" i="6"/>
  <c r="J142" i="6"/>
  <c r="E142" i="6"/>
  <c r="J129" i="6"/>
  <c r="E129" i="6"/>
  <c r="H129" i="6"/>
  <c r="E316" i="6"/>
  <c r="I316" i="6"/>
  <c r="E274" i="6"/>
  <c r="J274" i="6"/>
  <c r="E261" i="6"/>
  <c r="J261" i="6"/>
  <c r="I214" i="6"/>
  <c r="I211" i="6"/>
  <c r="J211" i="6"/>
  <c r="I208" i="6"/>
  <c r="H195" i="6"/>
  <c r="H189" i="6"/>
  <c r="H170" i="6"/>
  <c r="I161" i="6"/>
  <c r="I140" i="6"/>
  <c r="J140" i="6"/>
  <c r="E131" i="6"/>
  <c r="J131" i="6"/>
  <c r="I127" i="6"/>
  <c r="J127" i="6"/>
  <c r="J110" i="6"/>
  <c r="E110" i="6"/>
  <c r="H110" i="6"/>
  <c r="E100" i="6"/>
  <c r="H100" i="6"/>
  <c r="I100" i="6"/>
  <c r="J100" i="6"/>
  <c r="I94" i="6"/>
  <c r="E94" i="6"/>
  <c r="H94" i="6"/>
  <c r="J94" i="6"/>
  <c r="E362" i="6"/>
  <c r="E358" i="6"/>
  <c r="J355" i="6"/>
  <c r="E354" i="6"/>
  <c r="E346" i="6"/>
  <c r="J340" i="6"/>
  <c r="E335" i="6"/>
  <c r="E325" i="6"/>
  <c r="I325" i="6"/>
  <c r="E298" i="6"/>
  <c r="H298" i="6"/>
  <c r="E295" i="6"/>
  <c r="I295" i="6"/>
  <c r="E285" i="6"/>
  <c r="H285" i="6"/>
  <c r="E283" i="6"/>
  <c r="I283" i="6"/>
  <c r="J277" i="6"/>
  <c r="E268" i="6"/>
  <c r="I268" i="6"/>
  <c r="E250" i="6"/>
  <c r="I250" i="6"/>
  <c r="E244" i="6"/>
  <c r="H244" i="6"/>
  <c r="I240" i="6"/>
  <c r="J240" i="6"/>
  <c r="E235" i="6"/>
  <c r="I182" i="6"/>
  <c r="H182" i="6"/>
  <c r="E174" i="6"/>
  <c r="J174" i="6"/>
  <c r="J168" i="6"/>
  <c r="H168" i="6"/>
  <c r="E147" i="6"/>
  <c r="J144" i="6"/>
  <c r="H144" i="6"/>
  <c r="E140" i="6"/>
  <c r="E127" i="6"/>
  <c r="H125" i="6"/>
  <c r="E125" i="6"/>
  <c r="I125" i="6"/>
  <c r="E103" i="6"/>
  <c r="H103" i="6"/>
  <c r="J103" i="6"/>
  <c r="J387" i="6"/>
  <c r="H383" i="6"/>
  <c r="E381" i="6"/>
  <c r="J378" i="6"/>
  <c r="H377" i="6"/>
  <c r="E375" i="6"/>
  <c r="J372" i="6"/>
  <c r="H371" i="6"/>
  <c r="I366" i="6"/>
  <c r="H364" i="6"/>
  <c r="J361" i="6"/>
  <c r="I360" i="6"/>
  <c r="I355" i="6"/>
  <c r="I340" i="6"/>
  <c r="H328" i="6"/>
  <c r="J320" i="6"/>
  <c r="I301" i="6"/>
  <c r="J292" i="6"/>
  <c r="I286" i="6"/>
  <c r="J284" i="6"/>
  <c r="I277" i="6"/>
  <c r="J273" i="6"/>
  <c r="I271" i="6"/>
  <c r="J253" i="6"/>
  <c r="J245" i="6"/>
  <c r="H245" i="6"/>
  <c r="J241" i="6"/>
  <c r="E240" i="6"/>
  <c r="E236" i="6"/>
  <c r="I215" i="6"/>
  <c r="E214" i="6"/>
  <c r="H212" i="6"/>
  <c r="E208" i="6"/>
  <c r="H205" i="6"/>
  <c r="I205" i="6"/>
  <c r="E195" i="6"/>
  <c r="J192" i="6"/>
  <c r="H191" i="6"/>
  <c r="E189" i="6"/>
  <c r="J185" i="6"/>
  <c r="E185" i="6"/>
  <c r="E182" i="6"/>
  <c r="I169" i="6"/>
  <c r="E168" i="6"/>
  <c r="H165" i="6"/>
  <c r="E161" i="6"/>
  <c r="J154" i="6"/>
  <c r="E153" i="6"/>
  <c r="H153" i="6"/>
  <c r="H150" i="6"/>
  <c r="E148" i="6"/>
  <c r="I145" i="6"/>
  <c r="E144" i="6"/>
  <c r="H130" i="6"/>
  <c r="J130" i="6"/>
  <c r="E114" i="6"/>
  <c r="J114" i="6"/>
  <c r="H114" i="6"/>
  <c r="I109" i="6"/>
  <c r="H109" i="6"/>
  <c r="E109" i="6"/>
  <c r="E102" i="6"/>
  <c r="H102" i="6"/>
  <c r="I102" i="6"/>
  <c r="J102" i="6"/>
  <c r="I387" i="6"/>
  <c r="J384" i="6"/>
  <c r="J380" i="6"/>
  <c r="I378" i="6"/>
  <c r="J374" i="6"/>
  <c r="I372" i="6"/>
  <c r="I363" i="6"/>
  <c r="H360" i="6"/>
  <c r="I336" i="6"/>
  <c r="J314" i="6"/>
  <c r="H308" i="6"/>
  <c r="H301" i="6"/>
  <c r="I292" i="6"/>
  <c r="H286" i="6"/>
  <c r="H277" i="6"/>
  <c r="H273" i="6"/>
  <c r="H271" i="6"/>
  <c r="H253" i="6"/>
  <c r="J247" i="6"/>
  <c r="I241" i="6"/>
  <c r="I237" i="6"/>
  <c r="E237" i="6"/>
  <c r="H234" i="6"/>
  <c r="I234" i="6"/>
  <c r="J216" i="6"/>
  <c r="H215" i="6"/>
  <c r="I213" i="6"/>
  <c r="H209" i="6"/>
  <c r="E209" i="6"/>
  <c r="I206" i="6"/>
  <c r="J198" i="6"/>
  <c r="H192" i="6"/>
  <c r="I183" i="6"/>
  <c r="J183" i="6"/>
  <c r="E172" i="6"/>
  <c r="H172" i="6"/>
  <c r="H169" i="6"/>
  <c r="H162" i="6"/>
  <c r="E162" i="6"/>
  <c r="H154" i="6"/>
  <c r="J151" i="6"/>
  <c r="H145" i="6"/>
  <c r="E130" i="6"/>
  <c r="J108" i="6"/>
  <c r="I106" i="6"/>
  <c r="I98" i="6"/>
  <c r="J98" i="6"/>
  <c r="E97" i="6"/>
  <c r="J93" i="6"/>
  <c r="E93" i="6"/>
  <c r="E79" i="6"/>
  <c r="I76" i="6"/>
  <c r="H56" i="6"/>
  <c r="J56" i="6"/>
  <c r="I56" i="6"/>
  <c r="J91" i="6"/>
  <c r="J90" i="6"/>
  <c r="H69" i="6"/>
  <c r="I69" i="6"/>
  <c r="J66" i="6"/>
  <c r="J126" i="6"/>
  <c r="E106" i="6"/>
  <c r="H96" i="6"/>
  <c r="E96" i="6"/>
  <c r="J92" i="6"/>
  <c r="J78" i="6"/>
  <c r="I73" i="6"/>
  <c r="E73" i="6"/>
  <c r="E69" i="6"/>
  <c r="H66" i="6"/>
  <c r="E66" i="6"/>
  <c r="H97" i="6"/>
  <c r="H75" i="6"/>
  <c r="I75" i="6"/>
  <c r="I70" i="6"/>
  <c r="J79" i="6"/>
  <c r="H79" i="6"/>
  <c r="I53" i="6"/>
  <c r="I50" i="6"/>
  <c r="I62" i="6"/>
  <c r="E57" i="6"/>
  <c r="I55" i="6"/>
  <c r="E54" i="6"/>
  <c r="I52" i="6"/>
  <c r="E51" i="6"/>
  <c r="I49" i="6"/>
  <c r="J53" i="6"/>
  <c r="J50" i="6"/>
  <c r="J48" i="6"/>
  <c r="A46" i="3"/>
  <c r="A46" i="6" s="1"/>
  <c r="B46" i="6"/>
  <c r="M46" i="6" a="1"/>
  <c r="M46" i="6" s="1"/>
  <c r="R46" i="6"/>
  <c r="C46" i="6"/>
  <c r="N46" i="6" a="1"/>
  <c r="N46" i="6" s="1"/>
  <c r="L46" i="6"/>
  <c r="P46" i="6"/>
  <c r="K46" i="6"/>
  <c r="Q46" i="6"/>
  <c r="O46" i="6"/>
  <c r="G46" i="6"/>
  <c r="J46" i="6" s="1"/>
  <c r="A44" i="3"/>
  <c r="A44" i="6" s="1"/>
  <c r="M44" i="6" a="1"/>
  <c r="M44" i="6" s="1"/>
  <c r="R44" i="6"/>
  <c r="A42" i="3"/>
  <c r="A42" i="6" s="1"/>
  <c r="M42" i="6" a="1"/>
  <c r="M42" i="6" s="1"/>
  <c r="C42" i="6"/>
  <c r="N42" i="6" a="1"/>
  <c r="N42" i="6" s="1"/>
  <c r="R42" i="6"/>
  <c r="A36" i="3"/>
  <c r="A36" i="6" s="1"/>
  <c r="M36" i="6" a="1"/>
  <c r="M36" i="6" s="1"/>
  <c r="Q36" i="6"/>
  <c r="R36" i="6"/>
  <c r="A31" i="3"/>
  <c r="A31" i="6" s="1"/>
  <c r="Q31" i="3"/>
  <c r="A41" i="3"/>
  <c r="A41" i="6" s="1"/>
  <c r="C41" i="6"/>
  <c r="A35" i="3"/>
  <c r="A35" i="6" s="1"/>
  <c r="K35" i="6"/>
  <c r="A40" i="3"/>
  <c r="A40" i="6" s="1"/>
  <c r="R40" i="6"/>
  <c r="A34" i="3"/>
  <c r="A34" i="6" s="1"/>
  <c r="B34" i="6"/>
  <c r="Q34" i="3"/>
  <c r="K34" i="6"/>
  <c r="A32" i="3"/>
  <c r="A32" i="6" s="1"/>
  <c r="Q32" i="3"/>
  <c r="A26" i="3"/>
  <c r="A26" i="6" s="1"/>
  <c r="Q26" i="3"/>
  <c r="A45" i="3"/>
  <c r="A45" i="6" s="1"/>
  <c r="C45" i="6"/>
  <c r="A39" i="3"/>
  <c r="A39" i="6" s="1"/>
  <c r="M39" i="6" a="1"/>
  <c r="M39" i="6" s="1"/>
  <c r="Q39" i="6"/>
  <c r="R39" i="6"/>
  <c r="B39" i="6"/>
  <c r="N45" i="6" a="1"/>
  <c r="N45" i="6" s="1"/>
  <c r="L39" i="6"/>
  <c r="Q28" i="3"/>
  <c r="Q34" i="6"/>
  <c r="R45" i="6"/>
  <c r="M45" i="6" a="1"/>
  <c r="M45" i="6" s="1"/>
  <c r="B42" i="6"/>
  <c r="M40" i="6" a="1"/>
  <c r="M40" i="6" s="1"/>
  <c r="C39" i="6"/>
  <c r="C36" i="6"/>
  <c r="L36" i="6"/>
  <c r="O34" i="6"/>
  <c r="Q45" i="6"/>
  <c r="S45" i="6" s="1"/>
  <c r="L45" i="6"/>
  <c r="Q41" i="6"/>
  <c r="C40" i="6"/>
  <c r="B36" i="6"/>
  <c r="F36" i="6" s="1"/>
  <c r="B45" i="6"/>
  <c r="L34" i="6"/>
  <c r="P45" i="6"/>
  <c r="K45" i="6"/>
  <c r="L41" i="6"/>
  <c r="P35" i="6"/>
  <c r="R34" i="6"/>
  <c r="N40" i="6" a="1"/>
  <c r="N40" i="6" s="1"/>
  <c r="Q33" i="3"/>
  <c r="O45" i="6"/>
  <c r="G45" i="6"/>
  <c r="J45" i="6" s="1"/>
  <c r="P34" i="6"/>
  <c r="G34" i="6"/>
  <c r="H34" i="6" s="1"/>
  <c r="F385" i="6"/>
  <c r="F358" i="6"/>
  <c r="F347" i="6"/>
  <c r="F246" i="6"/>
  <c r="F239" i="6"/>
  <c r="F219" i="6"/>
  <c r="F198" i="6"/>
  <c r="F195" i="6"/>
  <c r="F123" i="6"/>
  <c r="F76" i="6"/>
  <c r="Q44" i="6"/>
  <c r="AB44" i="6" s="1"/>
  <c r="L44" i="6"/>
  <c r="C44" i="6"/>
  <c r="R43" i="6"/>
  <c r="M43" i="6" a="1"/>
  <c r="M43" i="6" s="1"/>
  <c r="C43" i="6"/>
  <c r="Q42" i="6"/>
  <c r="L42" i="6"/>
  <c r="P41" i="6"/>
  <c r="K41" i="6"/>
  <c r="B41" i="6"/>
  <c r="Q40" i="6"/>
  <c r="L40" i="6"/>
  <c r="B40" i="6"/>
  <c r="P39" i="6"/>
  <c r="K39" i="6"/>
  <c r="P37" i="6"/>
  <c r="K37" i="6"/>
  <c r="B37" i="6"/>
  <c r="P36" i="6"/>
  <c r="K36" i="6"/>
  <c r="O35" i="6"/>
  <c r="F351" i="6"/>
  <c r="F321" i="6"/>
  <c r="F286" i="6"/>
  <c r="F228" i="6"/>
  <c r="F128" i="6"/>
  <c r="F61" i="6"/>
  <c r="F49" i="6"/>
  <c r="F47" i="6"/>
  <c r="N43" i="6" a="1"/>
  <c r="N43" i="6" s="1"/>
  <c r="Q37" i="6"/>
  <c r="L37" i="6"/>
  <c r="C37" i="6"/>
  <c r="Q30" i="3"/>
  <c r="F375" i="6"/>
  <c r="F263" i="6"/>
  <c r="F230" i="6"/>
  <c r="F189" i="6"/>
  <c r="F136" i="6"/>
  <c r="F120" i="6"/>
  <c r="P44" i="6"/>
  <c r="K44" i="6"/>
  <c r="B44" i="6"/>
  <c r="Q43" i="6"/>
  <c r="L43" i="6"/>
  <c r="B43" i="6"/>
  <c r="P42" i="6"/>
  <c r="K42" i="6"/>
  <c r="O41" i="6"/>
  <c r="P40" i="6"/>
  <c r="K40" i="6"/>
  <c r="O39" i="6"/>
  <c r="G38" i="6"/>
  <c r="J38" i="6" s="1"/>
  <c r="O37" i="6"/>
  <c r="O36" i="6"/>
  <c r="G35" i="6"/>
  <c r="J35" i="6" s="1"/>
  <c r="C34" i="6"/>
  <c r="N34" i="6" a="1"/>
  <c r="N34" i="6" s="1"/>
  <c r="F368" i="6"/>
  <c r="F337" i="6"/>
  <c r="F316" i="6"/>
  <c r="F298" i="6"/>
  <c r="F124" i="6"/>
  <c r="F112" i="6"/>
  <c r="F48" i="6"/>
  <c r="O44" i="6"/>
  <c r="P43" i="6"/>
  <c r="K43" i="6"/>
  <c r="O42" i="6"/>
  <c r="G42" i="6"/>
  <c r="J42" i="6" s="1"/>
  <c r="G41" i="6"/>
  <c r="O40" i="6"/>
  <c r="G39" i="6"/>
  <c r="G37" i="6"/>
  <c r="G36" i="6"/>
  <c r="N35" i="6" a="1"/>
  <c r="N35" i="6" s="1"/>
  <c r="Q27" i="3"/>
  <c r="S34" i="6"/>
  <c r="M34" i="6" a="1"/>
  <c r="M34" i="6" s="1"/>
  <c r="F343" i="6"/>
  <c r="F333" i="6"/>
  <c r="F319" i="6"/>
  <c r="F200" i="6"/>
  <c r="F173" i="6"/>
  <c r="F107" i="6"/>
  <c r="F100" i="6"/>
  <c r="G44" i="6"/>
  <c r="O43" i="6"/>
  <c r="F42" i="6"/>
  <c r="N41" i="6" a="1"/>
  <c r="N41" i="6" s="1"/>
  <c r="G40" i="6"/>
  <c r="N39" i="6" a="1"/>
  <c r="N39" i="6" s="1"/>
  <c r="S39" i="6" s="1"/>
  <c r="N37" i="6" a="1"/>
  <c r="N37" i="6" s="1"/>
  <c r="N36" i="6" a="1"/>
  <c r="N36" i="6" s="1"/>
  <c r="S36" i="6" s="1"/>
  <c r="R35" i="6"/>
  <c r="M35" i="6" a="1"/>
  <c r="M35" i="6" s="1"/>
  <c r="C35" i="6"/>
  <c r="F363" i="6"/>
  <c r="F344" i="6"/>
  <c r="F251" i="6"/>
  <c r="F166" i="6"/>
  <c r="F131" i="6"/>
  <c r="F52" i="6"/>
  <c r="N44" i="6" a="1"/>
  <c r="N44" i="6" s="1"/>
  <c r="G43" i="6"/>
  <c r="R41" i="6"/>
  <c r="AB41" i="6" s="1"/>
  <c r="M41" i="6" a="1"/>
  <c r="M41" i="6" s="1"/>
  <c r="R37" i="6"/>
  <c r="M37" i="6" a="1"/>
  <c r="M37" i="6" s="1"/>
  <c r="Q35" i="6"/>
  <c r="S35" i="6" s="1"/>
  <c r="L35" i="6"/>
  <c r="B35" i="6"/>
  <c r="F387" i="6"/>
  <c r="F384" i="6"/>
  <c r="F382" i="6"/>
  <c r="F380" i="6"/>
  <c r="F373" i="6"/>
  <c r="F371" i="6"/>
  <c r="F367" i="6"/>
  <c r="F365" i="6"/>
  <c r="F360" i="6"/>
  <c r="F356" i="6"/>
  <c r="F353" i="6"/>
  <c r="F352" i="6"/>
  <c r="F346" i="6"/>
  <c r="F339" i="6"/>
  <c r="F323" i="6"/>
  <c r="F314" i="6"/>
  <c r="F312" i="6"/>
  <c r="F311" i="6"/>
  <c r="F305" i="6"/>
  <c r="F294" i="6"/>
  <c r="F293" i="6"/>
  <c r="F278" i="6"/>
  <c r="F262" i="6"/>
  <c r="F250" i="6"/>
  <c r="F236" i="6"/>
  <c r="F234" i="6"/>
  <c r="F231" i="6"/>
  <c r="F225" i="6"/>
  <c r="F214" i="6"/>
  <c r="F196" i="6"/>
  <c r="F184" i="6"/>
  <c r="F167" i="6"/>
  <c r="F158" i="6"/>
  <c r="F156" i="6"/>
  <c r="F152" i="6"/>
  <c r="F150" i="6"/>
  <c r="F143" i="6"/>
  <c r="F137" i="6"/>
  <c r="F117" i="6"/>
  <c r="F101" i="6"/>
  <c r="F98" i="6"/>
  <c r="F88" i="6"/>
  <c r="F75" i="6"/>
  <c r="F67" i="6"/>
  <c r="F60" i="6"/>
  <c r="F55" i="6"/>
  <c r="F53" i="6"/>
  <c r="F46" i="6"/>
  <c r="F43" i="6"/>
  <c r="F40" i="6"/>
  <c r="F39" i="6"/>
  <c r="N38" i="6" a="1"/>
  <c r="N38" i="6" s="1"/>
  <c r="F381" i="6"/>
  <c r="F372" i="6"/>
  <c r="F364" i="6"/>
  <c r="F362" i="6"/>
  <c r="F361" i="6"/>
  <c r="F355" i="6"/>
  <c r="F348" i="6"/>
  <c r="F341" i="6"/>
  <c r="F327" i="6"/>
  <c r="F324" i="6"/>
  <c r="F313" i="6"/>
  <c r="F269" i="6"/>
  <c r="F258" i="6"/>
  <c r="F257" i="6"/>
  <c r="F242" i="6"/>
  <c r="F232" i="6"/>
  <c r="F221" i="6"/>
  <c r="F204" i="6"/>
  <c r="F191" i="6"/>
  <c r="F185" i="6"/>
  <c r="F162" i="6"/>
  <c r="F160" i="6"/>
  <c r="F159" i="6"/>
  <c r="F153" i="6"/>
  <c r="F113" i="6"/>
  <c r="F108" i="6"/>
  <c r="F64" i="6"/>
  <c r="F62" i="6"/>
  <c r="F51" i="6"/>
  <c r="R38" i="6"/>
  <c r="M38" i="6" a="1"/>
  <c r="M38" i="6" s="1"/>
  <c r="E38" i="6"/>
  <c r="F379" i="6"/>
  <c r="F377" i="6"/>
  <c r="F370" i="6"/>
  <c r="F357" i="6"/>
  <c r="F350" i="6"/>
  <c r="F336" i="6"/>
  <c r="F334" i="6"/>
  <c r="F326" i="6"/>
  <c r="F317" i="6"/>
  <c r="F310" i="6"/>
  <c r="F308" i="6"/>
  <c r="F284" i="6"/>
  <c r="F240" i="6"/>
  <c r="F227" i="6"/>
  <c r="F215" i="6"/>
  <c r="F209" i="6"/>
  <c r="F197" i="6"/>
  <c r="F179" i="6"/>
  <c r="F176" i="6"/>
  <c r="F174" i="6"/>
  <c r="F164" i="6"/>
  <c r="F146" i="6"/>
  <c r="F144" i="6"/>
  <c r="F138" i="6"/>
  <c r="F134" i="6"/>
  <c r="F132" i="6"/>
  <c r="F125" i="6"/>
  <c r="F119" i="6"/>
  <c r="F110" i="6"/>
  <c r="F95" i="6"/>
  <c r="F92" i="6"/>
  <c r="F79" i="6"/>
  <c r="F71" i="6"/>
  <c r="F70" i="6"/>
  <c r="F58" i="6"/>
  <c r="F54" i="6"/>
  <c r="Q38" i="6"/>
  <c r="L38" i="6"/>
  <c r="C38" i="6"/>
  <c r="F386" i="6"/>
  <c r="F378" i="6"/>
  <c r="F359" i="6"/>
  <c r="F345" i="6"/>
  <c r="F340" i="6"/>
  <c r="F329" i="6"/>
  <c r="F318" i="6"/>
  <c r="F304" i="6"/>
  <c r="F302" i="6"/>
  <c r="F296" i="6"/>
  <c r="F292" i="6"/>
  <c r="F290" i="6"/>
  <c r="F281" i="6"/>
  <c r="F275" i="6"/>
  <c r="F272" i="6"/>
  <c r="F248" i="6"/>
  <c r="F233" i="6"/>
  <c r="F202" i="6"/>
  <c r="F186" i="6"/>
  <c r="F177" i="6"/>
  <c r="F168" i="6"/>
  <c r="F148" i="6"/>
  <c r="F147" i="6"/>
  <c r="F140" i="6"/>
  <c r="F130" i="6"/>
  <c r="F114" i="6"/>
  <c r="F111" i="6"/>
  <c r="F106" i="6"/>
  <c r="F102" i="6"/>
  <c r="F66" i="6"/>
  <c r="F65" i="6"/>
  <c r="P38" i="6"/>
  <c r="K38" i="6"/>
  <c r="B38" i="6"/>
  <c r="F383" i="6"/>
  <c r="F376" i="6"/>
  <c r="F374" i="6"/>
  <c r="F369" i="6"/>
  <c r="F366" i="6"/>
  <c r="F354" i="6"/>
  <c r="F349" i="6"/>
  <c r="F342" i="6"/>
  <c r="F338" i="6"/>
  <c r="F335" i="6"/>
  <c r="F330" i="6"/>
  <c r="F320" i="6"/>
  <c r="F299" i="6"/>
  <c r="F287" i="6"/>
  <c r="F282" i="6"/>
  <c r="F276" i="6"/>
  <c r="F274" i="6"/>
  <c r="F268" i="6"/>
  <c r="F266" i="6"/>
  <c r="F260" i="6"/>
  <c r="F256" i="6"/>
  <c r="F254" i="6"/>
  <c r="F245" i="6"/>
  <c r="F238" i="6"/>
  <c r="F222" i="6"/>
  <c r="F218" i="6"/>
  <c r="F216" i="6"/>
  <c r="F210" i="6"/>
  <c r="F203" i="6"/>
  <c r="F194" i="6"/>
  <c r="F192" i="6"/>
  <c r="F188" i="6"/>
  <c r="F180" i="6"/>
  <c r="F170" i="6"/>
  <c r="F161" i="6"/>
  <c r="F155" i="6"/>
  <c r="F149" i="6"/>
  <c r="F126" i="6"/>
  <c r="F122" i="6"/>
  <c r="F104" i="6"/>
  <c r="F94" i="6"/>
  <c r="F91" i="6"/>
  <c r="F89" i="6"/>
  <c r="F85" i="6"/>
  <c r="F83" i="6"/>
  <c r="F82" i="6"/>
  <c r="F73" i="6"/>
  <c r="F69" i="6"/>
  <c r="F59" i="6"/>
  <c r="F57" i="6"/>
  <c r="F50" i="6"/>
  <c r="F45" i="6"/>
  <c r="O38" i="6"/>
  <c r="S379" i="6"/>
  <c r="S370" i="6"/>
  <c r="F291" i="6"/>
  <c r="J386" i="6"/>
  <c r="H385" i="6"/>
  <c r="J383" i="6"/>
  <c r="H382" i="6"/>
  <c r="H379" i="6"/>
  <c r="H376" i="6"/>
  <c r="H373" i="6"/>
  <c r="H370" i="6"/>
  <c r="I368" i="6"/>
  <c r="I365" i="6"/>
  <c r="S361" i="6"/>
  <c r="S359" i="6"/>
  <c r="H357" i="6"/>
  <c r="J356" i="6"/>
  <c r="S352" i="6"/>
  <c r="S350" i="6"/>
  <c r="H348" i="6"/>
  <c r="J347" i="6"/>
  <c r="S343" i="6"/>
  <c r="S341" i="6"/>
  <c r="H339" i="6"/>
  <c r="J338" i="6"/>
  <c r="F303" i="6"/>
  <c r="E294" i="6"/>
  <c r="H294" i="6"/>
  <c r="I294" i="6"/>
  <c r="J294" i="6"/>
  <c r="S269" i="6"/>
  <c r="AB269" i="6"/>
  <c r="F255" i="6"/>
  <c r="F212" i="6"/>
  <c r="S257" i="6"/>
  <c r="AB257" i="6"/>
  <c r="E321" i="6"/>
  <c r="J321" i="6"/>
  <c r="H321" i="6"/>
  <c r="I321" i="6"/>
  <c r="AB309" i="6"/>
  <c r="S309" i="6"/>
  <c r="S305" i="6"/>
  <c r="AB305" i="6"/>
  <c r="AB385" i="6"/>
  <c r="E385" i="6"/>
  <c r="AB382" i="6"/>
  <c r="E382" i="6"/>
  <c r="AB379" i="6"/>
  <c r="E379" i="6"/>
  <c r="AB376" i="6"/>
  <c r="E376" i="6"/>
  <c r="AB373" i="6"/>
  <c r="E373" i="6"/>
  <c r="AB370" i="6"/>
  <c r="E370" i="6"/>
  <c r="E368" i="6"/>
  <c r="AB366" i="6"/>
  <c r="E365" i="6"/>
  <c r="AB363" i="6"/>
  <c r="E357" i="6"/>
  <c r="E348" i="6"/>
  <c r="E339" i="6"/>
  <c r="I332" i="6"/>
  <c r="J332" i="6"/>
  <c r="E323" i="6"/>
  <c r="I323" i="6"/>
  <c r="H323" i="6"/>
  <c r="J323" i="6"/>
  <c r="E309" i="6"/>
  <c r="J309" i="6"/>
  <c r="H309" i="6"/>
  <c r="I309" i="6"/>
  <c r="S308" i="6"/>
  <c r="AB308" i="6"/>
  <c r="S293" i="6"/>
  <c r="AB293" i="6"/>
  <c r="E263" i="6"/>
  <c r="I263" i="6"/>
  <c r="H263" i="6"/>
  <c r="J263" i="6"/>
  <c r="H347" i="6"/>
  <c r="I347" i="6"/>
  <c r="S334" i="6"/>
  <c r="AB334" i="6"/>
  <c r="H359" i="6"/>
  <c r="I359" i="6"/>
  <c r="AB354" i="6"/>
  <c r="H350" i="6"/>
  <c r="I350" i="6"/>
  <c r="AB345" i="6"/>
  <c r="H341" i="6"/>
  <c r="I341" i="6"/>
  <c r="AB336" i="6"/>
  <c r="E332" i="6"/>
  <c r="H331" i="6"/>
  <c r="E331" i="6"/>
  <c r="AB330" i="6"/>
  <c r="S330" i="6"/>
  <c r="E327" i="6"/>
  <c r="J327" i="6"/>
  <c r="H327" i="6"/>
  <c r="I327" i="6"/>
  <c r="E299" i="6"/>
  <c r="I299" i="6"/>
  <c r="H299" i="6"/>
  <c r="J299" i="6"/>
  <c r="S276" i="6"/>
  <c r="AB276" i="6"/>
  <c r="E267" i="6"/>
  <c r="J267" i="6"/>
  <c r="H267" i="6"/>
  <c r="I267" i="6"/>
  <c r="E251" i="6"/>
  <c r="I251" i="6"/>
  <c r="H251" i="6"/>
  <c r="J251" i="6"/>
  <c r="J385" i="6"/>
  <c r="J382" i="6"/>
  <c r="J379" i="6"/>
  <c r="J376" i="6"/>
  <c r="J373" i="6"/>
  <c r="J370" i="6"/>
  <c r="AB367" i="6"/>
  <c r="H366" i="6"/>
  <c r="AB364" i="6"/>
  <c r="H363" i="6"/>
  <c r="AB362" i="6"/>
  <c r="E360" i="6"/>
  <c r="E359" i="6"/>
  <c r="S358" i="6"/>
  <c r="S356" i="6"/>
  <c r="H354" i="6"/>
  <c r="AB353" i="6"/>
  <c r="E351" i="6"/>
  <c r="E350" i="6"/>
  <c r="S349" i="6"/>
  <c r="S347" i="6"/>
  <c r="H345" i="6"/>
  <c r="AB344" i="6"/>
  <c r="E342" i="6"/>
  <c r="E341" i="6"/>
  <c r="S340" i="6"/>
  <c r="S338" i="6"/>
  <c r="H336" i="6"/>
  <c r="AB335" i="6"/>
  <c r="J334" i="6"/>
  <c r="S332" i="6"/>
  <c r="AB332" i="6"/>
  <c r="E303" i="6"/>
  <c r="J303" i="6"/>
  <c r="H303" i="6"/>
  <c r="I303" i="6"/>
  <c r="E287" i="6"/>
  <c r="I287" i="6"/>
  <c r="H287" i="6"/>
  <c r="J287" i="6"/>
  <c r="E255" i="6"/>
  <c r="H255" i="6"/>
  <c r="J255" i="6"/>
  <c r="I255" i="6"/>
  <c r="H356" i="6"/>
  <c r="I356" i="6"/>
  <c r="H338" i="6"/>
  <c r="I338" i="6"/>
  <c r="S272" i="6"/>
  <c r="AB272" i="6"/>
  <c r="J368" i="6"/>
  <c r="J365" i="6"/>
  <c r="H362" i="6"/>
  <c r="I362" i="6"/>
  <c r="I357" i="6"/>
  <c r="H353" i="6"/>
  <c r="I353" i="6"/>
  <c r="I348" i="6"/>
  <c r="H344" i="6"/>
  <c r="I344" i="6"/>
  <c r="I339" i="6"/>
  <c r="H335" i="6"/>
  <c r="I335" i="6"/>
  <c r="H334" i="6"/>
  <c r="E317" i="6"/>
  <c r="I317" i="6"/>
  <c r="H317" i="6"/>
  <c r="J317" i="6"/>
  <c r="E291" i="6"/>
  <c r="H291" i="6"/>
  <c r="J291" i="6"/>
  <c r="I291" i="6"/>
  <c r="F267" i="6"/>
  <c r="E258" i="6"/>
  <c r="H258" i="6"/>
  <c r="I258" i="6"/>
  <c r="J258" i="6"/>
  <c r="S329" i="6"/>
  <c r="AB329" i="6"/>
  <c r="E315" i="6"/>
  <c r="J315" i="6"/>
  <c r="H315" i="6"/>
  <c r="S312" i="6"/>
  <c r="E311" i="6"/>
  <c r="I311" i="6"/>
  <c r="H311" i="6"/>
  <c r="F307" i="6"/>
  <c r="E306" i="6"/>
  <c r="H306" i="6"/>
  <c r="I306" i="6"/>
  <c r="J306" i="6"/>
  <c r="S298" i="6"/>
  <c r="S286" i="6"/>
  <c r="S281" i="6"/>
  <c r="AB281" i="6"/>
  <c r="AB277" i="6"/>
  <c r="S277" i="6"/>
  <c r="S273" i="6"/>
  <c r="F271" i="6"/>
  <c r="E270" i="6"/>
  <c r="H270" i="6"/>
  <c r="I270" i="6"/>
  <c r="J270" i="6"/>
  <c r="S262" i="6"/>
  <c r="S250" i="6"/>
  <c r="S245" i="6"/>
  <c r="AB245" i="6"/>
  <c r="AB241" i="6"/>
  <c r="S241" i="6"/>
  <c r="F208" i="6"/>
  <c r="F178" i="6"/>
  <c r="AB175" i="6"/>
  <c r="S175" i="6"/>
  <c r="F171" i="6"/>
  <c r="F224" i="6"/>
  <c r="AB219" i="6"/>
  <c r="S219" i="6"/>
  <c r="AB216" i="6"/>
  <c r="S216" i="6"/>
  <c r="AB213" i="6"/>
  <c r="S213" i="6"/>
  <c r="F207" i="6"/>
  <c r="AB186" i="6"/>
  <c r="S186" i="6"/>
  <c r="S315" i="6"/>
  <c r="F300" i="6"/>
  <c r="F288" i="6"/>
  <c r="E279" i="6"/>
  <c r="H279" i="6"/>
  <c r="J279" i="6"/>
  <c r="F264" i="6"/>
  <c r="F252" i="6"/>
  <c r="E243" i="6"/>
  <c r="H243" i="6"/>
  <c r="J243" i="6"/>
  <c r="F229" i="6"/>
  <c r="F223" i="6"/>
  <c r="AB211" i="6"/>
  <c r="S211" i="6"/>
  <c r="F193" i="6"/>
  <c r="AB183" i="6"/>
  <c r="S183" i="6"/>
  <c r="AB181" i="6"/>
  <c r="S181" i="6"/>
  <c r="F332" i="6"/>
  <c r="F331" i="6"/>
  <c r="AB301" i="6"/>
  <c r="S301" i="6"/>
  <c r="S297" i="6"/>
  <c r="AB289" i="6"/>
  <c r="S289" i="6"/>
  <c r="S284" i="6"/>
  <c r="AB284" i="6"/>
  <c r="F283" i="6"/>
  <c r="S274" i="6"/>
  <c r="AB265" i="6"/>
  <c r="S265" i="6"/>
  <c r="S261" i="6"/>
  <c r="AB253" i="6"/>
  <c r="S253" i="6"/>
  <c r="S248" i="6"/>
  <c r="AB248" i="6"/>
  <c r="F247" i="6"/>
  <c r="AB236" i="6"/>
  <c r="S236" i="6"/>
  <c r="AB233" i="6"/>
  <c r="S233" i="6"/>
  <c r="AB224" i="6"/>
  <c r="S224" i="6"/>
  <c r="F220" i="6"/>
  <c r="AB207" i="6"/>
  <c r="S207" i="6"/>
  <c r="AB200" i="6"/>
  <c r="S200" i="6"/>
  <c r="AB197" i="6"/>
  <c r="S197" i="6"/>
  <c r="F187" i="6"/>
  <c r="E329" i="6"/>
  <c r="I329" i="6"/>
  <c r="H329" i="6"/>
  <c r="F328" i="6"/>
  <c r="S300" i="6"/>
  <c r="AB300" i="6"/>
  <c r="S296" i="6"/>
  <c r="AB296" i="6"/>
  <c r="F295" i="6"/>
  <c r="S288" i="6"/>
  <c r="AB288" i="6"/>
  <c r="S285" i="6"/>
  <c r="E282" i="6"/>
  <c r="H282" i="6"/>
  <c r="I282" i="6"/>
  <c r="J282" i="6"/>
  <c r="F279" i="6"/>
  <c r="E275" i="6"/>
  <c r="I275" i="6"/>
  <c r="H275" i="6"/>
  <c r="S264" i="6"/>
  <c r="AB264" i="6"/>
  <c r="S260" i="6"/>
  <c r="AB260" i="6"/>
  <c r="F259" i="6"/>
  <c r="S252" i="6"/>
  <c r="AB252" i="6"/>
  <c r="S249" i="6"/>
  <c r="E246" i="6"/>
  <c r="H246" i="6"/>
  <c r="I246" i="6"/>
  <c r="J246" i="6"/>
  <c r="F243" i="6"/>
  <c r="S231" i="6"/>
  <c r="F213" i="6"/>
  <c r="AB188" i="6"/>
  <c r="S188" i="6"/>
  <c r="AB170" i="6"/>
  <c r="S170" i="6"/>
  <c r="AB167" i="6"/>
  <c r="S167" i="6"/>
  <c r="AB164" i="6"/>
  <c r="S164" i="6"/>
  <c r="AB187" i="6"/>
  <c r="S187" i="6"/>
  <c r="F182" i="6"/>
  <c r="F172" i="6"/>
  <c r="E330" i="6"/>
  <c r="H330" i="6"/>
  <c r="F325" i="6"/>
  <c r="S324" i="6"/>
  <c r="E324" i="6"/>
  <c r="H324" i="6"/>
  <c r="F322" i="6"/>
  <c r="E318" i="6"/>
  <c r="H318" i="6"/>
  <c r="E312" i="6"/>
  <c r="H312" i="6"/>
  <c r="E300" i="6"/>
  <c r="H300" i="6"/>
  <c r="I300" i="6"/>
  <c r="AB297" i="6"/>
  <c r="E293" i="6"/>
  <c r="I293" i="6"/>
  <c r="S292" i="6"/>
  <c r="S290" i="6"/>
  <c r="S287" i="6"/>
  <c r="AB287" i="6"/>
  <c r="F285" i="6"/>
  <c r="S282" i="6"/>
  <c r="F277" i="6"/>
  <c r="E264" i="6"/>
  <c r="H264" i="6"/>
  <c r="I264" i="6"/>
  <c r="AB261" i="6"/>
  <c r="E257" i="6"/>
  <c r="I257" i="6"/>
  <c r="S256" i="6"/>
  <c r="S254" i="6"/>
  <c r="S251" i="6"/>
  <c r="AB251" i="6"/>
  <c r="F249" i="6"/>
  <c r="S246" i="6"/>
  <c r="F241" i="6"/>
  <c r="AB239" i="6"/>
  <c r="S239" i="6"/>
  <c r="AB234" i="6"/>
  <c r="S234" i="6"/>
  <c r="AB230" i="6"/>
  <c r="S230" i="6"/>
  <c r="S225" i="6"/>
  <c r="AB217" i="6"/>
  <c r="S217" i="6"/>
  <c r="AB215" i="6"/>
  <c r="S215" i="6"/>
  <c r="F206" i="6"/>
  <c r="F201" i="6"/>
  <c r="F190" i="6"/>
  <c r="AB162" i="6"/>
  <c r="S162" i="6"/>
  <c r="S153" i="6"/>
  <c r="AB128" i="6"/>
  <c r="S128" i="6"/>
  <c r="S323" i="6"/>
  <c r="AB323" i="6"/>
  <c r="S317" i="6"/>
  <c r="AB317" i="6"/>
  <c r="F315" i="6"/>
  <c r="S311" i="6"/>
  <c r="AB311" i="6"/>
  <c r="F309" i="6"/>
  <c r="F306" i="6"/>
  <c r="E305" i="6"/>
  <c r="I305" i="6"/>
  <c r="S304" i="6"/>
  <c r="S302" i="6"/>
  <c r="S299" i="6"/>
  <c r="AB299" i="6"/>
  <c r="F297" i="6"/>
  <c r="S294" i="6"/>
  <c r="F289" i="6"/>
  <c r="I285" i="6"/>
  <c r="F280" i="6"/>
  <c r="E276" i="6"/>
  <c r="H276" i="6"/>
  <c r="I276" i="6"/>
  <c r="AB273" i="6"/>
  <c r="F270" i="6"/>
  <c r="E269" i="6"/>
  <c r="I269" i="6"/>
  <c r="S268" i="6"/>
  <c r="S266" i="6"/>
  <c r="S263" i="6"/>
  <c r="AB263" i="6"/>
  <c r="F261" i="6"/>
  <c r="S258" i="6"/>
  <c r="F253" i="6"/>
  <c r="I249" i="6"/>
  <c r="F244" i="6"/>
  <c r="F235" i="6"/>
  <c r="AB209" i="6"/>
  <c r="S209" i="6"/>
  <c r="F205" i="6"/>
  <c r="AB203" i="6"/>
  <c r="S203" i="6"/>
  <c r="AB198" i="6"/>
  <c r="S198" i="6"/>
  <c r="AB194" i="6"/>
  <c r="S194" i="6"/>
  <c r="AB185" i="6"/>
  <c r="S185" i="6"/>
  <c r="AB179" i="6"/>
  <c r="S179" i="6"/>
  <c r="AB168" i="6"/>
  <c r="S168" i="6"/>
  <c r="F163" i="6"/>
  <c r="F141" i="6"/>
  <c r="F165" i="6"/>
  <c r="AB150" i="6"/>
  <c r="S150" i="6"/>
  <c r="AB145" i="6"/>
  <c r="S145" i="6"/>
  <c r="AB143" i="6"/>
  <c r="S143" i="6"/>
  <c r="F142" i="6"/>
  <c r="J330" i="6"/>
  <c r="S326" i="6"/>
  <c r="J324" i="6"/>
  <c r="S320" i="6"/>
  <c r="J318" i="6"/>
  <c r="S314" i="6"/>
  <c r="J312" i="6"/>
  <c r="S306" i="6"/>
  <c r="F301" i="6"/>
  <c r="E288" i="6"/>
  <c r="H288" i="6"/>
  <c r="I288" i="6"/>
  <c r="AB285" i="6"/>
  <c r="E281" i="6"/>
  <c r="I281" i="6"/>
  <c r="S278" i="6"/>
  <c r="S275" i="6"/>
  <c r="AB275" i="6"/>
  <c r="F273" i="6"/>
  <c r="S270" i="6"/>
  <c r="F265" i="6"/>
  <c r="E252" i="6"/>
  <c r="H252" i="6"/>
  <c r="I252" i="6"/>
  <c r="AB249" i="6"/>
  <c r="E245" i="6"/>
  <c r="I245" i="6"/>
  <c r="S242" i="6"/>
  <c r="F237" i="6"/>
  <c r="F226" i="6"/>
  <c r="AB218" i="6"/>
  <c r="S218" i="6"/>
  <c r="F199" i="6"/>
  <c r="F183" i="6"/>
  <c r="F169" i="6"/>
  <c r="F154" i="6"/>
  <c r="AB152" i="6"/>
  <c r="S152" i="6"/>
  <c r="AB147" i="6"/>
  <c r="S147" i="6"/>
  <c r="AB227" i="6"/>
  <c r="S227" i="6"/>
  <c r="F217" i="6"/>
  <c r="AB212" i="6"/>
  <c r="S212" i="6"/>
  <c r="AB191" i="6"/>
  <c r="S191" i="6"/>
  <c r="AB189" i="6"/>
  <c r="S189" i="6"/>
  <c r="F175" i="6"/>
  <c r="AB158" i="6"/>
  <c r="S158" i="6"/>
  <c r="F157" i="6"/>
  <c r="AB126" i="6"/>
  <c r="S126" i="6"/>
  <c r="E326" i="6"/>
  <c r="I326" i="6"/>
  <c r="E320" i="6"/>
  <c r="I320" i="6"/>
  <c r="E314" i="6"/>
  <c r="I314" i="6"/>
  <c r="E308" i="6"/>
  <c r="I308" i="6"/>
  <c r="E302" i="6"/>
  <c r="I302" i="6"/>
  <c r="E296" i="6"/>
  <c r="I296" i="6"/>
  <c r="E290" i="6"/>
  <c r="I290" i="6"/>
  <c r="E284" i="6"/>
  <c r="I284" i="6"/>
  <c r="E278" i="6"/>
  <c r="I278" i="6"/>
  <c r="E272" i="6"/>
  <c r="I272" i="6"/>
  <c r="E266" i="6"/>
  <c r="I266" i="6"/>
  <c r="E260" i="6"/>
  <c r="I260" i="6"/>
  <c r="E254" i="6"/>
  <c r="I254" i="6"/>
  <c r="E248" i="6"/>
  <c r="I248" i="6"/>
  <c r="E242" i="6"/>
  <c r="I242" i="6"/>
  <c r="AB221" i="6"/>
  <c r="S221" i="6"/>
  <c r="F211" i="6"/>
  <c r="AB206" i="6"/>
  <c r="S206" i="6"/>
  <c r="AB182" i="6"/>
  <c r="S182" i="6"/>
  <c r="AB173" i="6"/>
  <c r="S173" i="6"/>
  <c r="S159" i="6"/>
  <c r="AB111" i="6"/>
  <c r="S111" i="6"/>
  <c r="F116" i="6"/>
  <c r="AB107" i="6"/>
  <c r="S107" i="6"/>
  <c r="F105" i="6"/>
  <c r="F118" i="6"/>
  <c r="AB109" i="6"/>
  <c r="S109" i="6"/>
  <c r="F133" i="6"/>
  <c r="S123" i="6"/>
  <c r="S97" i="6"/>
  <c r="H99" i="6"/>
  <c r="E99" i="6"/>
  <c r="I99" i="6"/>
  <c r="J99" i="6"/>
  <c r="F181" i="6"/>
  <c r="AB176" i="6"/>
  <c r="S176" i="6"/>
  <c r="AB155" i="6"/>
  <c r="S155" i="6"/>
  <c r="F145" i="6"/>
  <c r="AB140" i="6"/>
  <c r="S140" i="6"/>
  <c r="F135" i="6"/>
  <c r="AB119" i="6"/>
  <c r="S119" i="6"/>
  <c r="S117" i="6"/>
  <c r="S115" i="6"/>
  <c r="F109" i="6"/>
  <c r="AB104" i="6"/>
  <c r="S104" i="6"/>
  <c r="S96" i="6"/>
  <c r="AB93" i="6"/>
  <c r="S93" i="6"/>
  <c r="S86" i="6"/>
  <c r="AB86" i="6"/>
  <c r="F81" i="6"/>
  <c r="AB149" i="6"/>
  <c r="S149" i="6"/>
  <c r="F139" i="6"/>
  <c r="AB134" i="6"/>
  <c r="S134" i="6"/>
  <c r="F129" i="6"/>
  <c r="AB113" i="6"/>
  <c r="S113" i="6"/>
  <c r="F103" i="6"/>
  <c r="AB97" i="6"/>
  <c r="I95" i="6"/>
  <c r="J95" i="6"/>
  <c r="H95" i="6"/>
  <c r="F97" i="6"/>
  <c r="AB137" i="6"/>
  <c r="S137" i="6"/>
  <c r="S135" i="6"/>
  <c r="S133" i="6"/>
  <c r="F127" i="6"/>
  <c r="AB122" i="6"/>
  <c r="S122" i="6"/>
  <c r="S114" i="6"/>
  <c r="AB101" i="6"/>
  <c r="S101" i="6"/>
  <c r="S89" i="6"/>
  <c r="AB89" i="6"/>
  <c r="AB131" i="6"/>
  <c r="S131" i="6"/>
  <c r="F121" i="6"/>
  <c r="AB116" i="6"/>
  <c r="S116" i="6"/>
  <c r="S98" i="6"/>
  <c r="AB98" i="6"/>
  <c r="S95" i="6"/>
  <c r="AB95" i="6"/>
  <c r="AB161" i="6"/>
  <c r="S161" i="6"/>
  <c r="F151" i="6"/>
  <c r="AB146" i="6"/>
  <c r="S146" i="6"/>
  <c r="AB125" i="6"/>
  <c r="S125" i="6"/>
  <c r="F115" i="6"/>
  <c r="AB110" i="6"/>
  <c r="S110" i="6"/>
  <c r="F99" i="6"/>
  <c r="F96" i="6"/>
  <c r="F86" i="6"/>
  <c r="I89" i="6"/>
  <c r="J89" i="6"/>
  <c r="H87" i="6"/>
  <c r="J87" i="6"/>
  <c r="I87" i="6"/>
  <c r="H84" i="6"/>
  <c r="E84" i="6"/>
  <c r="I80" i="6"/>
  <c r="E80" i="6"/>
  <c r="J80" i="6"/>
  <c r="F78" i="6"/>
  <c r="H81" i="6"/>
  <c r="J81" i="6"/>
  <c r="I81" i="6"/>
  <c r="F77" i="6"/>
  <c r="F84" i="6"/>
  <c r="E81" i="6"/>
  <c r="S80" i="6"/>
  <c r="AB80" i="6"/>
  <c r="F80" i="6"/>
  <c r="F90" i="6"/>
  <c r="F87" i="6"/>
  <c r="AB82" i="6"/>
  <c r="I96" i="6"/>
  <c r="H89" i="6"/>
  <c r="I86" i="6"/>
  <c r="E86" i="6"/>
  <c r="J86" i="6"/>
  <c r="S85" i="6"/>
  <c r="I84" i="6"/>
  <c r="H80" i="6"/>
  <c r="F93" i="6"/>
  <c r="S92" i="6"/>
  <c r="S83" i="6"/>
  <c r="AB83" i="6"/>
  <c r="S77" i="6"/>
  <c r="AB77" i="6"/>
  <c r="H71" i="6"/>
  <c r="E71" i="6"/>
  <c r="I71" i="6"/>
  <c r="J71" i="6"/>
  <c r="S74" i="6"/>
  <c r="I78" i="6"/>
  <c r="S75" i="6"/>
  <c r="AB75" i="6"/>
  <c r="F74" i="6"/>
  <c r="F68" i="6"/>
  <c r="H77" i="6"/>
  <c r="E77" i="6"/>
  <c r="I77" i="6"/>
  <c r="S69" i="6"/>
  <c r="AB69" i="6"/>
  <c r="I83" i="6"/>
  <c r="E83" i="6"/>
  <c r="E78" i="6"/>
  <c r="F72" i="6"/>
  <c r="H65" i="6"/>
  <c r="E65" i="6"/>
  <c r="S59" i="6"/>
  <c r="E67" i="6"/>
  <c r="H64" i="6"/>
  <c r="J64" i="6"/>
  <c r="AB63" i="6"/>
  <c r="AB60" i="6"/>
  <c r="H76" i="6"/>
  <c r="J76" i="6"/>
  <c r="H70" i="6"/>
  <c r="J70" i="6"/>
  <c r="H61" i="6"/>
  <c r="E61" i="6"/>
  <c r="J61" i="6"/>
  <c r="H58" i="6"/>
  <c r="E58" i="6"/>
  <c r="J58" i="6"/>
  <c r="H74" i="6"/>
  <c r="E74" i="6"/>
  <c r="H68" i="6"/>
  <c r="E68" i="6"/>
  <c r="E64" i="6"/>
  <c r="S72" i="6"/>
  <c r="S66" i="6"/>
  <c r="J65" i="6"/>
  <c r="F63" i="6"/>
  <c r="H73" i="6"/>
  <c r="J73" i="6"/>
  <c r="H67" i="6"/>
  <c r="J67" i="6"/>
  <c r="S56" i="6"/>
  <c r="F56" i="6"/>
  <c r="S46" i="6"/>
  <c r="S43" i="6"/>
  <c r="S40" i="6"/>
  <c r="S37" i="6"/>
  <c r="E62" i="6"/>
  <c r="E59" i="6"/>
  <c r="E56" i="6"/>
  <c r="J55" i="6"/>
  <c r="E53" i="6"/>
  <c r="J52" i="6"/>
  <c r="E50" i="6"/>
  <c r="J49" i="6"/>
  <c r="H47" i="6"/>
  <c r="I47" i="6"/>
  <c r="AB46" i="6"/>
  <c r="E45" i="6"/>
  <c r="H44" i="6"/>
  <c r="I44" i="6"/>
  <c r="AB43" i="6"/>
  <c r="E42" i="6"/>
  <c r="H41" i="6"/>
  <c r="I41" i="6"/>
  <c r="AB40" i="6"/>
  <c r="H38" i="6"/>
  <c r="I38" i="6"/>
  <c r="AB37" i="6"/>
  <c r="H35" i="6"/>
  <c r="I35" i="6"/>
  <c r="E35" i="6"/>
  <c r="AB48" i="6"/>
  <c r="H46" i="6"/>
  <c r="I46" i="6"/>
  <c r="AB45" i="6"/>
  <c r="H43" i="6"/>
  <c r="I43" i="6"/>
  <c r="AB42" i="6"/>
  <c r="H40" i="6"/>
  <c r="I40" i="6"/>
  <c r="AB39" i="6"/>
  <c r="H37" i="6"/>
  <c r="I37" i="6"/>
  <c r="AB36" i="6"/>
  <c r="S47" i="6"/>
  <c r="S44" i="6"/>
  <c r="S41" i="6"/>
  <c r="E55" i="6"/>
  <c r="E52" i="6"/>
  <c r="E49" i="6"/>
  <c r="H48" i="6"/>
  <c r="I48" i="6"/>
  <c r="AB47" i="6"/>
  <c r="E46" i="6"/>
  <c r="H45" i="6"/>
  <c r="I45" i="6"/>
  <c r="H42" i="6"/>
  <c r="I42" i="6"/>
  <c r="H39" i="6"/>
  <c r="I39" i="6"/>
  <c r="H36" i="6"/>
  <c r="I36" i="6"/>
  <c r="AB35" i="6"/>
  <c r="B31" i="6"/>
  <c r="C29" i="6"/>
  <c r="R33" i="6"/>
  <c r="M33" i="6" a="1"/>
  <c r="M33" i="6" s="1"/>
  <c r="R32" i="6"/>
  <c r="M32" i="6" a="1"/>
  <c r="M32" i="6" s="1"/>
  <c r="N31" i="6" a="1"/>
  <c r="N31" i="6" s="1"/>
  <c r="R30" i="6"/>
  <c r="M30" i="6" a="1"/>
  <c r="M30" i="6" s="1"/>
  <c r="R29" i="6"/>
  <c r="M29" i="6" a="1"/>
  <c r="M29" i="6" s="1"/>
  <c r="Q28" i="6"/>
  <c r="L28" i="6"/>
  <c r="P27" i="6"/>
  <c r="K27" i="6"/>
  <c r="P26" i="6"/>
  <c r="K26" i="6"/>
  <c r="B30" i="6"/>
  <c r="C28" i="6"/>
  <c r="Q33" i="6"/>
  <c r="L33" i="6"/>
  <c r="Q32" i="6"/>
  <c r="L32" i="6"/>
  <c r="R31" i="6"/>
  <c r="M31" i="6" a="1"/>
  <c r="M31" i="6" s="1"/>
  <c r="Q30" i="6"/>
  <c r="AB30" i="6" s="1"/>
  <c r="L30" i="6"/>
  <c r="Q29" i="6"/>
  <c r="L29" i="6"/>
  <c r="P28" i="6"/>
  <c r="K28" i="6"/>
  <c r="O27" i="6"/>
  <c r="O26" i="6"/>
  <c r="G26" i="6"/>
  <c r="H26" i="6" s="1"/>
  <c r="B29" i="6"/>
  <c r="C33" i="6"/>
  <c r="C27" i="6"/>
  <c r="P33" i="6"/>
  <c r="K33" i="6"/>
  <c r="P32" i="6"/>
  <c r="K32" i="6"/>
  <c r="Q31" i="6"/>
  <c r="L31" i="6"/>
  <c r="P30" i="6"/>
  <c r="K30" i="6"/>
  <c r="P29" i="6"/>
  <c r="K29" i="6"/>
  <c r="O28" i="6"/>
  <c r="G28" i="6"/>
  <c r="H28" i="6" s="1"/>
  <c r="G27" i="6"/>
  <c r="B28" i="6"/>
  <c r="C32" i="6"/>
  <c r="C26" i="6"/>
  <c r="O33" i="6"/>
  <c r="O32" i="6"/>
  <c r="P31" i="6"/>
  <c r="K31" i="6"/>
  <c r="O30" i="6"/>
  <c r="O29" i="6"/>
  <c r="G29" i="6"/>
  <c r="N27" i="6" a="1"/>
  <c r="N27" i="6" s="1"/>
  <c r="N26" i="6" a="1"/>
  <c r="N26" i="6" s="1"/>
  <c r="B33" i="6"/>
  <c r="F33" i="6" s="1"/>
  <c r="B27" i="6"/>
  <c r="F27" i="6" s="1"/>
  <c r="C31" i="6"/>
  <c r="G33" i="6"/>
  <c r="O31" i="6"/>
  <c r="G30" i="6"/>
  <c r="I30" i="6" s="1"/>
  <c r="N28" i="6" a="1"/>
  <c r="N28" i="6" s="1"/>
  <c r="R27" i="6"/>
  <c r="M27" i="6" a="1"/>
  <c r="M27" i="6" s="1"/>
  <c r="R26" i="6"/>
  <c r="M26" i="6" a="1"/>
  <c r="M26" i="6" s="1"/>
  <c r="Q29" i="3"/>
  <c r="B32" i="6"/>
  <c r="B26" i="6"/>
  <c r="F26" i="6" s="1"/>
  <c r="C30" i="6"/>
  <c r="N33" i="6" a="1"/>
  <c r="N33" i="6" s="1"/>
  <c r="N32" i="6" a="1"/>
  <c r="N32" i="6" s="1"/>
  <c r="G32" i="6"/>
  <c r="E32" i="6" s="1"/>
  <c r="G31" i="6"/>
  <c r="E31" i="6" s="1"/>
  <c r="N30" i="6" a="1"/>
  <c r="N30" i="6" s="1"/>
  <c r="N29" i="6" a="1"/>
  <c r="N29" i="6" s="1"/>
  <c r="R28" i="6"/>
  <c r="M28" i="6" a="1"/>
  <c r="M28" i="6" s="1"/>
  <c r="Q27" i="6"/>
  <c r="L27" i="6"/>
  <c r="Q26" i="6"/>
  <c r="L26" i="6"/>
  <c r="E34" i="6"/>
  <c r="J29" i="6"/>
  <c r="E33" i="6"/>
  <c r="E27" i="6"/>
  <c r="J34" i="6"/>
  <c r="I29" i="6"/>
  <c r="I34" i="6"/>
  <c r="J33" i="6"/>
  <c r="J27" i="6"/>
  <c r="AC248" i="4"/>
  <c r="AC242" i="4"/>
  <c r="AC238" i="4"/>
  <c r="AC226" i="4"/>
  <c r="AC214" i="4"/>
  <c r="AC202" i="4"/>
  <c r="AC190" i="4"/>
  <c r="AC172" i="4"/>
  <c r="AC160" i="4"/>
  <c r="AC148" i="4"/>
  <c r="AC136" i="4"/>
  <c r="AC124" i="4"/>
  <c r="AC112" i="4"/>
  <c r="AC100" i="4"/>
  <c r="AC83" i="4"/>
  <c r="AC65" i="4"/>
  <c r="AC250" i="4"/>
  <c r="AC244" i="4"/>
  <c r="AC232" i="4"/>
  <c r="AC220" i="4"/>
  <c r="AC208" i="4"/>
  <c r="AC196" i="4"/>
  <c r="AC184" i="4"/>
  <c r="AC178" i="4"/>
  <c r="AC166" i="4"/>
  <c r="AC154" i="4"/>
  <c r="AC142" i="4"/>
  <c r="AC130" i="4"/>
  <c r="AC118" i="4"/>
  <c r="AC106" i="4"/>
  <c r="AC94" i="4"/>
  <c r="AC77" i="4"/>
  <c r="AC71" i="4"/>
  <c r="AC59" i="4"/>
  <c r="AC88" i="4"/>
  <c r="AC82" i="4"/>
  <c r="AC76" i="4"/>
  <c r="AC70" i="4"/>
  <c r="AC64" i="4"/>
  <c r="AC58" i="4"/>
  <c r="AC52" i="4"/>
  <c r="AC46" i="4"/>
  <c r="AC230" i="4"/>
  <c r="AC224" i="4"/>
  <c r="AC218" i="4"/>
  <c r="AC212" i="4"/>
  <c r="AC206" i="4"/>
  <c r="AC200" i="4"/>
  <c r="AC194" i="4"/>
  <c r="AC188" i="4"/>
  <c r="AC182" i="4"/>
  <c r="AC176" i="4"/>
  <c r="AC170" i="4"/>
  <c r="AC164" i="4"/>
  <c r="AC158" i="4"/>
  <c r="AC152" i="4"/>
  <c r="AC146" i="4"/>
  <c r="AC140" i="4"/>
  <c r="AC134" i="4"/>
  <c r="AC128" i="4"/>
  <c r="AC122" i="4"/>
  <c r="AC116" i="4"/>
  <c r="AC110" i="4"/>
  <c r="AC104" i="4"/>
  <c r="AC98" i="4"/>
  <c r="AC92" i="4"/>
  <c r="AC87" i="4"/>
  <c r="AC81" i="4"/>
  <c r="AC75" i="4"/>
  <c r="AC69" i="4"/>
  <c r="AC63" i="4"/>
  <c r="AC57" i="4"/>
  <c r="AC51" i="4"/>
  <c r="AC86" i="4"/>
  <c r="AC80" i="4"/>
  <c r="AC74" i="4"/>
  <c r="AC68" i="4"/>
  <c r="AC62" i="4"/>
  <c r="AC56" i="4"/>
  <c r="AC50" i="4"/>
  <c r="AC44" i="4"/>
  <c r="AC53" i="4"/>
  <c r="AC47" i="4"/>
  <c r="AC45" i="4"/>
  <c r="AC251" i="4"/>
  <c r="AC245" i="4"/>
  <c r="AC239" i="4"/>
  <c r="AC236" i="4"/>
  <c r="AC233" i="4"/>
  <c r="AC227" i="4"/>
  <c r="AC221" i="4"/>
  <c r="AC215" i="4"/>
  <c r="AC209" i="4"/>
  <c r="AC203" i="4"/>
  <c r="AC197" i="4"/>
  <c r="AC191" i="4"/>
  <c r="AC185" i="4"/>
  <c r="AC179" i="4"/>
  <c r="AC173" i="4"/>
  <c r="AC167" i="4"/>
  <c r="AC161" i="4"/>
  <c r="AC155" i="4"/>
  <c r="AC149" i="4"/>
  <c r="AC143" i="4"/>
  <c r="AC137" i="4"/>
  <c r="AC131" i="4"/>
  <c r="AC125" i="4"/>
  <c r="AC119" i="4"/>
  <c r="AC113" i="4"/>
  <c r="AC107" i="4"/>
  <c r="AC101" i="4"/>
  <c r="AC95" i="4"/>
  <c r="AC89" i="4"/>
  <c r="AC210" i="4"/>
  <c r="AC204" i="4"/>
  <c r="AC198" i="4"/>
  <c r="AC192" i="4"/>
  <c r="AC186" i="4"/>
  <c r="AC180" i="4"/>
  <c r="AC174" i="4"/>
  <c r="AC156" i="4"/>
  <c r="AC138" i="4"/>
  <c r="AC132" i="4"/>
  <c r="AC90" i="4"/>
  <c r="AC256" i="4"/>
  <c r="AC246" i="4"/>
  <c r="AC240" i="4"/>
  <c r="AC234" i="4"/>
  <c r="AC228" i="4"/>
  <c r="AC222" i="4"/>
  <c r="AC216" i="4"/>
  <c r="AC168" i="4"/>
  <c r="AC162" i="4"/>
  <c r="AC150" i="4"/>
  <c r="AC144" i="4"/>
  <c r="AC126" i="4"/>
  <c r="AC120" i="4"/>
  <c r="AC114" i="4"/>
  <c r="AC108" i="4"/>
  <c r="AC102" i="4"/>
  <c r="AC96" i="4"/>
  <c r="AC84" i="4"/>
  <c r="AC78" i="4"/>
  <c r="AC72" i="4"/>
  <c r="AC66" i="4"/>
  <c r="AC60" i="4"/>
  <c r="AC54" i="4"/>
  <c r="AC48" i="4"/>
  <c r="AC223" i="4"/>
  <c r="AC217" i="4"/>
  <c r="AC211" i="4"/>
  <c r="AC205" i="4"/>
  <c r="AC199" i="4"/>
  <c r="AC193" i="4"/>
  <c r="AC187" i="4"/>
  <c r="AC181" i="4"/>
  <c r="AC175" i="4"/>
  <c r="AC169" i="4"/>
  <c r="AC163" i="4"/>
  <c r="AC157" i="4"/>
  <c r="AC151" i="4"/>
  <c r="AC145" i="4"/>
  <c r="AC139" i="4"/>
  <c r="AC133" i="4"/>
  <c r="AC127" i="4"/>
  <c r="AC121" i="4"/>
  <c r="AC115" i="4"/>
  <c r="AC109" i="4"/>
  <c r="AC103" i="4"/>
  <c r="AC97" i="4"/>
  <c r="AC91" i="4"/>
  <c r="AC253" i="4"/>
  <c r="AC247" i="4"/>
  <c r="AC241" i="4"/>
  <c r="AC235" i="4"/>
  <c r="AC229" i="4"/>
  <c r="AC85" i="4"/>
  <c r="AC79" i="4"/>
  <c r="AC73" i="4"/>
  <c r="AC67" i="4"/>
  <c r="AC61" i="4"/>
  <c r="AC55" i="4"/>
  <c r="AC49" i="4"/>
  <c r="AC254" i="4"/>
  <c r="AC252" i="4"/>
  <c r="AC255" i="4"/>
  <c r="AC43" i="4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F14" i="6" s="1"/>
  <c r="C22" i="6"/>
  <c r="C15" i="6"/>
  <c r="Q25" i="6"/>
  <c r="L25" i="6"/>
  <c r="P24" i="6"/>
  <c r="K24" i="6"/>
  <c r="O23" i="6"/>
  <c r="G22" i="6"/>
  <c r="I22" i="6" s="1"/>
  <c r="N21" i="6" a="1"/>
  <c r="N21" i="6" s="1"/>
  <c r="R20" i="6"/>
  <c r="M20" i="6" a="1"/>
  <c r="M20" i="6" s="1"/>
  <c r="Q19" i="6"/>
  <c r="L19" i="6"/>
  <c r="P18" i="6"/>
  <c r="K18" i="6"/>
  <c r="O17" i="6"/>
  <c r="G16" i="6"/>
  <c r="I16" i="6" s="1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B20" i="6"/>
  <c r="F20" i="6" s="1"/>
  <c r="B13" i="6"/>
  <c r="C21" i="6"/>
  <c r="C14" i="6"/>
  <c r="P25" i="6"/>
  <c r="K25" i="6"/>
  <c r="O24" i="6"/>
  <c r="G23" i="6"/>
  <c r="I23" i="6" s="1"/>
  <c r="N22" i="6" a="1"/>
  <c r="N22" i="6" s="1"/>
  <c r="R21" i="6"/>
  <c r="M21" i="6" a="1"/>
  <c r="M21" i="6" s="1"/>
  <c r="Q20" i="6"/>
  <c r="L20" i="6"/>
  <c r="P19" i="6"/>
  <c r="K19" i="6"/>
  <c r="O18" i="6"/>
  <c r="G17" i="6"/>
  <c r="H17" i="6" s="1"/>
  <c r="N16" i="6" a="1"/>
  <c r="N16" i="6" s="1"/>
  <c r="R15" i="6"/>
  <c r="M15" i="6" a="1"/>
  <c r="M15" i="6" s="1"/>
  <c r="Q14" i="6"/>
  <c r="L14" i="6"/>
  <c r="P13" i="6"/>
  <c r="K13" i="6"/>
  <c r="O12" i="6"/>
  <c r="G11" i="6"/>
  <c r="M10" i="6" a="1"/>
  <c r="M10" i="6" s="1"/>
  <c r="B25" i="6"/>
  <c r="F25" i="6" s="1"/>
  <c r="B18" i="6"/>
  <c r="F18" i="6" s="1"/>
  <c r="B12" i="6"/>
  <c r="F12" i="6" s="1"/>
  <c r="C20" i="6"/>
  <c r="C13" i="6"/>
  <c r="O25" i="6"/>
  <c r="G24" i="6"/>
  <c r="H24" i="6" s="1"/>
  <c r="N23" i="6" a="1"/>
  <c r="N23" i="6" s="1"/>
  <c r="R22" i="6"/>
  <c r="M22" i="6" a="1"/>
  <c r="M22" i="6" s="1"/>
  <c r="Q21" i="6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I12" i="6" s="1"/>
  <c r="N11" i="6" a="1"/>
  <c r="N11" i="6" s="1"/>
  <c r="R10" i="6"/>
  <c r="L10" i="6"/>
  <c r="B24" i="6"/>
  <c r="F24" i="6" s="1"/>
  <c r="B17" i="6"/>
  <c r="B11" i="6"/>
  <c r="F11" i="6" s="1"/>
  <c r="C25" i="6"/>
  <c r="C18" i="6"/>
  <c r="C12" i="6"/>
  <c r="G25" i="6"/>
  <c r="H25" i="6" s="1"/>
  <c r="N24" i="6" a="1"/>
  <c r="N24" i="6" s="1"/>
  <c r="R23" i="6"/>
  <c r="M23" i="6" a="1"/>
  <c r="M23" i="6" s="1"/>
  <c r="Q22" i="6"/>
  <c r="L22" i="6"/>
  <c r="P21" i="6"/>
  <c r="K21" i="6"/>
  <c r="O20" i="6"/>
  <c r="G19" i="6"/>
  <c r="H19" i="6" s="1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I13" i="6" s="1"/>
  <c r="N12" i="6" a="1"/>
  <c r="N12" i="6" s="1"/>
  <c r="R11" i="6"/>
  <c r="M11" i="6" a="1"/>
  <c r="M11" i="6" s="1"/>
  <c r="Q10" i="6"/>
  <c r="AB10" i="6" s="1"/>
  <c r="K10" i="6"/>
  <c r="B23" i="6"/>
  <c r="B16" i="6"/>
  <c r="F16" i="6" s="1"/>
  <c r="B10" i="6"/>
  <c r="F10" i="6" s="1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H20" i="6" s="1"/>
  <c r="N19" i="6" a="1"/>
  <c r="N19" i="6" s="1"/>
  <c r="R18" i="6"/>
  <c r="M18" i="6" a="1"/>
  <c r="M18" i="6" s="1"/>
  <c r="Q17" i="6"/>
  <c r="L17" i="6"/>
  <c r="P16" i="6"/>
  <c r="K16" i="6"/>
  <c r="O15" i="6"/>
  <c r="G14" i="6"/>
  <c r="I14" i="6" s="1"/>
  <c r="N13" i="6" a="1"/>
  <c r="N13" i="6" s="1"/>
  <c r="R12" i="6"/>
  <c r="M12" i="6" a="1"/>
  <c r="M12" i="6" s="1"/>
  <c r="Q11" i="6"/>
  <c r="L11" i="6"/>
  <c r="P10" i="6"/>
  <c r="Q15" i="3"/>
  <c r="Q21" i="3"/>
  <c r="Q14" i="3"/>
  <c r="B22" i="6"/>
  <c r="F22" i="6" s="1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I15" i="6" s="1"/>
  <c r="N14" i="6" a="1"/>
  <c r="N14" i="6" s="1"/>
  <c r="R13" i="6"/>
  <c r="M13" i="6" a="1"/>
  <c r="M13" i="6" s="1"/>
  <c r="Q12" i="6"/>
  <c r="L12" i="6"/>
  <c r="P11" i="6"/>
  <c r="K11" i="6"/>
  <c r="O10" i="6"/>
  <c r="G10" i="6"/>
  <c r="J10" i="6" s="1"/>
  <c r="I24" i="6"/>
  <c r="H23" i="6"/>
  <c r="I19" i="6"/>
  <c r="H16" i="6"/>
  <c r="I11" i="6"/>
  <c r="C19" i="6"/>
  <c r="B19" i="6"/>
  <c r="F19" i="6" s="1"/>
  <c r="Q19" i="3"/>
  <c r="F32" i="6"/>
  <c r="F811" i="6"/>
  <c r="F793" i="6"/>
  <c r="F739" i="6"/>
  <c r="F775" i="6"/>
  <c r="F757" i="6"/>
  <c r="F703" i="6"/>
  <c r="F631" i="6"/>
  <c r="F577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721" i="6"/>
  <c r="F649" i="6"/>
  <c r="F595" i="6"/>
  <c r="F50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15" i="6"/>
  <c r="F21" i="6"/>
  <c r="F388" i="6"/>
  <c r="F394" i="6"/>
  <c r="F400" i="6"/>
  <c r="F406" i="6"/>
  <c r="F412" i="6"/>
  <c r="F418" i="6"/>
  <c r="F424" i="6"/>
  <c r="F430" i="6"/>
  <c r="F436" i="6"/>
  <c r="F442" i="6"/>
  <c r="F28" i="6"/>
  <c r="F34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7" i="6"/>
  <c r="F23" i="6"/>
  <c r="F29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30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31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459" i="6"/>
  <c r="F429" i="6"/>
  <c r="F393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447" i="6"/>
  <c r="F411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A3" i="3"/>
  <c r="A3" i="6" s="1"/>
  <c r="R3" i="6"/>
  <c r="N3" i="6" a="1"/>
  <c r="N3" i="6" s="1"/>
  <c r="K3" i="6"/>
  <c r="Q3" i="6"/>
  <c r="P3" i="6"/>
  <c r="A7" i="3"/>
  <c r="A7" i="6" s="1"/>
  <c r="Q7" i="6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H21" i="6" l="1"/>
  <c r="H22" i="6"/>
  <c r="AB11" i="6"/>
  <c r="I31" i="6"/>
  <c r="AB14" i="6"/>
  <c r="I26" i="6"/>
  <c r="AB34" i="6"/>
  <c r="F35" i="6"/>
  <c r="E39" i="6"/>
  <c r="J39" i="6"/>
  <c r="F41" i="6"/>
  <c r="J43" i="6"/>
  <c r="E43" i="6"/>
  <c r="F44" i="6"/>
  <c r="E26" i="6"/>
  <c r="J26" i="6"/>
  <c r="AB22" i="6"/>
  <c r="I20" i="6"/>
  <c r="J28" i="6"/>
  <c r="J44" i="6"/>
  <c r="E44" i="6"/>
  <c r="E36" i="6"/>
  <c r="J36" i="6"/>
  <c r="E41" i="6"/>
  <c r="J41" i="6"/>
  <c r="E28" i="6"/>
  <c r="E40" i="6"/>
  <c r="J40" i="6"/>
  <c r="F37" i="6"/>
  <c r="S42" i="6"/>
  <c r="I28" i="6"/>
  <c r="S38" i="6"/>
  <c r="E37" i="6"/>
  <c r="J37" i="6"/>
  <c r="F38" i="6"/>
  <c r="AB38" i="6"/>
  <c r="H33" i="6"/>
  <c r="I33" i="6"/>
  <c r="H29" i="6"/>
  <c r="E29" i="6"/>
  <c r="AB31" i="6"/>
  <c r="S31" i="6"/>
  <c r="S28" i="6"/>
  <c r="AB28" i="6"/>
  <c r="AB21" i="6"/>
  <c r="AB26" i="6"/>
  <c r="S26" i="6"/>
  <c r="S29" i="6"/>
  <c r="AB29" i="6"/>
  <c r="X65" i="1" s="1"/>
  <c r="AB32" i="6"/>
  <c r="S32" i="6"/>
  <c r="H31" i="6"/>
  <c r="J31" i="6"/>
  <c r="AB27" i="6"/>
  <c r="X63" i="1" s="1"/>
  <c r="S27" i="6"/>
  <c r="H32" i="6"/>
  <c r="I32" i="6"/>
  <c r="J32" i="6"/>
  <c r="H30" i="6"/>
  <c r="E30" i="6"/>
  <c r="J30" i="6"/>
  <c r="H27" i="6"/>
  <c r="I27" i="6"/>
  <c r="S33" i="6"/>
  <c r="AB33" i="6"/>
  <c r="S30" i="6"/>
  <c r="H15" i="6"/>
  <c r="AB17" i="6"/>
  <c r="I18" i="6"/>
  <c r="H14" i="6"/>
  <c r="S13" i="4"/>
  <c r="S19" i="4"/>
  <c r="S25" i="4"/>
  <c r="Q9" i="4"/>
  <c r="Q15" i="4"/>
  <c r="Q21" i="4"/>
  <c r="U12" i="4" a="1"/>
  <c r="U12" i="4" s="1"/>
  <c r="U18" i="4" a="1"/>
  <c r="U18" i="4" s="1"/>
  <c r="U24" i="4" a="1"/>
  <c r="U24" i="4" s="1"/>
  <c r="S14" i="4"/>
  <c r="S20" i="4"/>
  <c r="Q10" i="4"/>
  <c r="Q16" i="4"/>
  <c r="Q22" i="4"/>
  <c r="U13" i="4" a="1"/>
  <c r="U13" i="4" s="1"/>
  <c r="U19" i="4" a="1"/>
  <c r="U19" i="4" s="1"/>
  <c r="U25" i="4" a="1"/>
  <c r="U25" i="4" s="1"/>
  <c r="S9" i="4"/>
  <c r="S15" i="4"/>
  <c r="S21" i="4"/>
  <c r="Q11" i="4"/>
  <c r="Q17" i="4"/>
  <c r="Q23" i="4"/>
  <c r="U14" i="4" a="1"/>
  <c r="U14" i="4" s="1"/>
  <c r="U20" i="4" a="1"/>
  <c r="U20" i="4" s="1"/>
  <c r="S10" i="4"/>
  <c r="S16" i="4"/>
  <c r="S22" i="4"/>
  <c r="Q12" i="4"/>
  <c r="Q18" i="4"/>
  <c r="Q24" i="4"/>
  <c r="U9" i="4" a="1"/>
  <c r="U9" i="4" s="1"/>
  <c r="U15" i="4" a="1"/>
  <c r="U15" i="4" s="1"/>
  <c r="U21" i="4" a="1"/>
  <c r="U21" i="4" s="1"/>
  <c r="S11" i="4"/>
  <c r="S17" i="4"/>
  <c r="S23" i="4"/>
  <c r="Q13" i="4"/>
  <c r="Q19" i="4"/>
  <c r="Q25" i="4"/>
  <c r="U10" i="4" a="1"/>
  <c r="U10" i="4" s="1"/>
  <c r="U16" i="4" a="1"/>
  <c r="U16" i="4" s="1"/>
  <c r="U22" i="4" a="1"/>
  <c r="U22" i="4" s="1"/>
  <c r="S12" i="4"/>
  <c r="S18" i="4"/>
  <c r="S24" i="4"/>
  <c r="Q14" i="4"/>
  <c r="Q20" i="4"/>
  <c r="U11" i="4" a="1"/>
  <c r="U11" i="4" s="1"/>
  <c r="U17" i="4" a="1"/>
  <c r="U17" i="4" s="1"/>
  <c r="U23" i="4" a="1"/>
  <c r="U23" i="4" s="1"/>
  <c r="S7" i="4"/>
  <c r="Q8" i="4"/>
  <c r="U3" i="4" a="1"/>
  <c r="U3" i="4" s="1"/>
  <c r="Q7" i="4"/>
  <c r="S8" i="4"/>
  <c r="Q3" i="4"/>
  <c r="U4" i="4" a="1"/>
  <c r="U4" i="4" s="1"/>
  <c r="S3" i="4"/>
  <c r="Q4" i="4"/>
  <c r="U5" i="4" a="1"/>
  <c r="U5" i="4" s="1"/>
  <c r="S6" i="4"/>
  <c r="U8" i="4" a="1"/>
  <c r="U8" i="4" s="1"/>
  <c r="S4" i="4"/>
  <c r="Q5" i="4"/>
  <c r="U6" i="4" a="1"/>
  <c r="U6" i="4" s="1"/>
  <c r="S5" i="4"/>
  <c r="Q6" i="4"/>
  <c r="U7" i="4" a="1"/>
  <c r="U7" i="4" s="1"/>
  <c r="AB6" i="6"/>
  <c r="AB7" i="6"/>
  <c r="I17" i="6"/>
  <c r="X40" i="1"/>
  <c r="AB5" i="6"/>
  <c r="AB2" i="6"/>
  <c r="X21" i="1" s="1"/>
  <c r="AB8" i="6"/>
  <c r="S23" i="6"/>
  <c r="AB23" i="6"/>
  <c r="X99" i="1"/>
  <c r="X87" i="1"/>
  <c r="X45" i="1"/>
  <c r="X29" i="1"/>
  <c r="X101" i="1"/>
  <c r="X137" i="1"/>
  <c r="X6" i="1"/>
  <c r="X42" i="1"/>
  <c r="X78" i="1"/>
  <c r="X114" i="1"/>
  <c r="X150" i="1"/>
  <c r="X25" i="1"/>
  <c r="X133" i="1"/>
  <c r="X142" i="1"/>
  <c r="X44" i="1"/>
  <c r="X92" i="1"/>
  <c r="X57" i="1"/>
  <c r="X129" i="1"/>
  <c r="X165" i="1"/>
  <c r="AB18" i="6"/>
  <c r="AB20" i="6"/>
  <c r="AB13" i="6"/>
  <c r="AB25" i="6"/>
  <c r="X61" i="1" s="1"/>
  <c r="X69" i="1"/>
  <c r="X94" i="1"/>
  <c r="X97" i="1"/>
  <c r="X35" i="1"/>
  <c r="X71" i="1"/>
  <c r="X107" i="1"/>
  <c r="X143" i="1"/>
  <c r="X48" i="1"/>
  <c r="X84" i="1"/>
  <c r="X120" i="1"/>
  <c r="X156" i="1"/>
  <c r="X136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I61" i="1" s="1"/>
  <c r="AB15" i="6"/>
  <c r="X51" i="1" s="1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X12" i="1" s="1"/>
  <c r="AB24" i="6"/>
  <c r="AB19" i="6"/>
  <c r="X55" i="1" s="1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I24" i="1" s="1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I29" i="1" s="1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L10" i="4"/>
  <c r="N10" i="4" s="1"/>
  <c r="L6" i="4"/>
  <c r="N6" i="4" s="1"/>
  <c r="I8" i="6"/>
  <c r="I27" i="1" s="1"/>
  <c r="I7" i="6"/>
  <c r="I26" i="1" s="1"/>
  <c r="H4" i="6"/>
  <c r="S3" i="6"/>
  <c r="S8" i="6"/>
  <c r="S5" i="6"/>
  <c r="L3" i="4"/>
  <c r="N3" i="4" s="1"/>
  <c r="A4" i="4"/>
  <c r="L5" i="4"/>
  <c r="N5" i="4" s="1"/>
  <c r="M6" i="4"/>
  <c r="O6" i="4" s="1" a="1"/>
  <c r="O6" i="4" s="1"/>
  <c r="A7" i="4"/>
  <c r="T7" i="4" a="1"/>
  <c r="T7" i="4" s="1"/>
  <c r="M9" i="4"/>
  <c r="O9" i="4" s="1" a="1"/>
  <c r="O9" i="4" s="1"/>
  <c r="A10" i="4"/>
  <c r="G11" i="4"/>
  <c r="H11" i="4" s="1"/>
  <c r="F11" i="4" s="1"/>
  <c r="L12" i="4"/>
  <c r="N12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T13" i="4" a="1"/>
  <c r="T13" i="4" s="1"/>
  <c r="A15" i="4"/>
  <c r="T15" i="4" a="1"/>
  <c r="T15" i="4" s="1"/>
  <c r="C16" i="4"/>
  <c r="D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T27" i="4" a="1"/>
  <c r="T27" i="4" s="1"/>
  <c r="AC27" i="4" s="1"/>
  <c r="C28" i="4"/>
  <c r="D28" i="4" s="1"/>
  <c r="T3" i="4" a="1"/>
  <c r="T3" i="4" s="1"/>
  <c r="G4" i="4"/>
  <c r="H4" i="4" s="1"/>
  <c r="F4" i="4" s="1"/>
  <c r="C6" i="4"/>
  <c r="D6" i="4" s="1"/>
  <c r="T6" i="4" a="1"/>
  <c r="T6" i="4" s="1"/>
  <c r="G7" i="4"/>
  <c r="H7" i="4" s="1"/>
  <c r="F7" i="4" s="1"/>
  <c r="L8" i="4"/>
  <c r="N8" i="4" s="1"/>
  <c r="A9" i="4"/>
  <c r="T9" i="4" a="1"/>
  <c r="T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A3" i="4"/>
  <c r="L4" i="4"/>
  <c r="N4" i="4" s="1"/>
  <c r="A5" i="4"/>
  <c r="T5" i="4" a="1"/>
  <c r="T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T14" i="4" a="1"/>
  <c r="T14" i="4" s="1"/>
  <c r="G15" i="4"/>
  <c r="H15" i="4" s="1"/>
  <c r="F15" i="4" s="1"/>
  <c r="G16" i="4"/>
  <c r="H16" i="4" s="1"/>
  <c r="F16" i="4" s="1"/>
  <c r="T16" i="4" a="1"/>
  <c r="T16" i="4" s="1"/>
  <c r="C17" i="4"/>
  <c r="D17" i="4" s="1"/>
  <c r="A18" i="4"/>
  <c r="A19" i="4"/>
  <c r="A22" i="4"/>
  <c r="T22" i="4" a="1"/>
  <c r="T22" i="4" s="1"/>
  <c r="T23" i="4" a="1"/>
  <c r="T23" i="4" s="1"/>
  <c r="G24" i="4"/>
  <c r="H24" i="4" s="1"/>
  <c r="F24" i="4" s="1"/>
  <c r="T24" i="4" a="1"/>
  <c r="T24" i="4" s="1"/>
  <c r="C25" i="4"/>
  <c r="D25" i="4" s="1"/>
  <c r="T25" i="4" a="1"/>
  <c r="T25" i="4" s="1"/>
  <c r="T26" i="4" a="1"/>
  <c r="T26" i="4" s="1"/>
  <c r="AC26" i="4" s="1"/>
  <c r="G27" i="4"/>
  <c r="H27" i="4" s="1"/>
  <c r="F27" i="4" s="1"/>
  <c r="G28" i="4"/>
  <c r="H28" i="4" s="1"/>
  <c r="F28" i="4" s="1"/>
  <c r="T28" i="4" a="1"/>
  <c r="T28" i="4" s="1"/>
  <c r="AC28" i="4" s="1"/>
  <c r="C29" i="4"/>
  <c r="D29" i="4" s="1"/>
  <c r="A30" i="4"/>
  <c r="A31" i="4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T8" i="4" a="1"/>
  <c r="T8" i="4" s="1"/>
  <c r="G9" i="4"/>
  <c r="H9" i="4" s="1"/>
  <c r="F9" i="4" s="1"/>
  <c r="M10" i="4"/>
  <c r="O10" i="4" s="1" a="1"/>
  <c r="O10" i="4" s="1"/>
  <c r="C11" i="4"/>
  <c r="D11" i="4" s="1"/>
  <c r="C12" i="4"/>
  <c r="D12" i="4" s="1"/>
  <c r="A13" i="4"/>
  <c r="L14" i="4"/>
  <c r="N14" i="4" s="1"/>
  <c r="L15" i="4"/>
  <c r="N15" i="4" s="1"/>
  <c r="C18" i="4"/>
  <c r="D18" i="4" s="1"/>
  <c r="C19" i="4"/>
  <c r="D19" i="4" s="1"/>
  <c r="A20" i="4"/>
  <c r="G3" i="4"/>
  <c r="H3" i="4" s="1"/>
  <c r="F3" i="4" s="1"/>
  <c r="T4" i="4" a="1"/>
  <c r="T4" i="4" s="1"/>
  <c r="G5" i="4"/>
  <c r="H5" i="4" s="1"/>
  <c r="F5" i="4" s="1"/>
  <c r="C8" i="4"/>
  <c r="D8" i="4" s="1"/>
  <c r="L9" i="4"/>
  <c r="N9" i="4" s="1"/>
  <c r="T10" i="4" a="1"/>
  <c r="T10" i="4" s="1"/>
  <c r="T11" i="4" a="1"/>
  <c r="T11" i="4" s="1"/>
  <c r="G12" i="4"/>
  <c r="H12" i="4" s="1"/>
  <c r="F12" i="4" s="1"/>
  <c r="T12" i="4" a="1"/>
  <c r="T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T17" i="4" a="1"/>
  <c r="T17" i="4" s="1"/>
  <c r="T18" i="4" a="1"/>
  <c r="T18" i="4" s="1"/>
  <c r="G19" i="4"/>
  <c r="H19" i="4" s="1"/>
  <c r="F19" i="4" s="1"/>
  <c r="T19" i="4" a="1"/>
  <c r="T19" i="4" s="1"/>
  <c r="C20" i="4"/>
  <c r="D20" i="4" s="1"/>
  <c r="C21" i="4"/>
  <c r="D21" i="4" s="1"/>
  <c r="T21" i="4" a="1"/>
  <c r="T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T29" i="4" a="1"/>
  <c r="T29" i="4" s="1"/>
  <c r="T30" i="4" a="1"/>
  <c r="T30" i="4" s="1"/>
  <c r="G31" i="4"/>
  <c r="H31" i="4" s="1"/>
  <c r="F31" i="4" s="1"/>
  <c r="T31" i="4" a="1"/>
  <c r="T31" i="4" s="1"/>
  <c r="AC31" i="4" s="1"/>
  <c r="C32" i="4"/>
  <c r="D32" i="4" s="1"/>
  <c r="C33" i="4"/>
  <c r="D33" i="4" s="1"/>
  <c r="T33" i="4" a="1"/>
  <c r="T33" i="4" s="1"/>
  <c r="G34" i="4"/>
  <c r="H34" i="4" s="1"/>
  <c r="F34" i="4" s="1"/>
  <c r="L35" i="4"/>
  <c r="N35" i="4" s="1"/>
  <c r="M39" i="4"/>
  <c r="O39" i="4" s="1" a="1"/>
  <c r="O39" i="4" s="1"/>
  <c r="C42" i="4"/>
  <c r="D42" i="4" s="1"/>
  <c r="C14" i="4"/>
  <c r="D14" i="4" s="1"/>
  <c r="A16" i="4"/>
  <c r="G20" i="4"/>
  <c r="H20" i="4" s="1"/>
  <c r="F20" i="4" s="1"/>
  <c r="M21" i="4"/>
  <c r="O21" i="4" s="1" a="1"/>
  <c r="O21" i="4" s="1"/>
  <c r="A32" i="4"/>
  <c r="T32" i="4" a="1"/>
  <c r="T32" i="4" s="1"/>
  <c r="L33" i="4"/>
  <c r="N33" i="4" s="1"/>
  <c r="T34" i="4" a="1"/>
  <c r="T34" i="4" s="1"/>
  <c r="G35" i="4"/>
  <c r="H35" i="4" s="1"/>
  <c r="F35" i="4" s="1"/>
  <c r="A36" i="4"/>
  <c r="C37" i="4"/>
  <c r="D37" i="4" s="1"/>
  <c r="T37" i="4" a="1"/>
  <c r="T37" i="4" s="1"/>
  <c r="G38" i="4"/>
  <c r="H38" i="4" s="1"/>
  <c r="F38" i="4" s="1"/>
  <c r="C40" i="4"/>
  <c r="D40" i="4" s="1"/>
  <c r="C41" i="4"/>
  <c r="D41" i="4" s="1"/>
  <c r="T41" i="4" a="1"/>
  <c r="T41" i="4" s="1"/>
  <c r="G42" i="4"/>
  <c r="H42" i="4" s="1"/>
  <c r="F42" i="4" s="1"/>
  <c r="M17" i="4"/>
  <c r="O17" i="4" s="1" a="1"/>
  <c r="O17" i="4" s="1"/>
  <c r="M20" i="4"/>
  <c r="O20" i="4" s="1" a="1"/>
  <c r="O20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T36" i="4" a="1"/>
  <c r="T36" i="4" s="1"/>
  <c r="AC36" i="4" s="1"/>
  <c r="L38" i="4"/>
  <c r="N38" i="4" s="1"/>
  <c r="A39" i="4"/>
  <c r="T39" i="4" a="1"/>
  <c r="T39" i="4" s="1"/>
  <c r="AC39" i="4" s="1"/>
  <c r="T40" i="4" a="1"/>
  <c r="T40" i="4" s="1"/>
  <c r="G41" i="4"/>
  <c r="H41" i="4" s="1"/>
  <c r="F41" i="4" s="1"/>
  <c r="L42" i="4"/>
  <c r="N42" i="4" s="1"/>
  <c r="P42" i="4" s="1"/>
  <c r="M16" i="4"/>
  <c r="O16" i="4" s="1" a="1"/>
  <c r="O16" i="4" s="1"/>
  <c r="L19" i="4"/>
  <c r="N19" i="4" s="1"/>
  <c r="T20" i="4" a="1"/>
  <c r="T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L30" i="4"/>
  <c r="N30" i="4" s="1"/>
  <c r="C31" i="4"/>
  <c r="D31" i="4" s="1"/>
  <c r="M32" i="4"/>
  <c r="O32" i="4" s="1" a="1"/>
  <c r="O32" i="4" s="1"/>
  <c r="L34" i="4"/>
  <c r="N34" i="4" s="1"/>
  <c r="A35" i="4"/>
  <c r="T35" i="4" a="1"/>
  <c r="T35" i="4" s="1"/>
  <c r="L36" i="4"/>
  <c r="N36" i="4" s="1"/>
  <c r="L37" i="4"/>
  <c r="N37" i="4" s="1"/>
  <c r="A38" i="4"/>
  <c r="G39" i="4"/>
  <c r="H39" i="4" s="1"/>
  <c r="F39" i="4" s="1"/>
  <c r="L40" i="4"/>
  <c r="N40" i="4" s="1"/>
  <c r="L41" i="4"/>
  <c r="N41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T38" i="4" a="1"/>
  <c r="T38" i="4" s="1"/>
  <c r="AC38" i="4" s="1"/>
  <c r="L39" i="4"/>
  <c r="N39" i="4" s="1"/>
  <c r="M40" i="4"/>
  <c r="O40" i="4" s="1" a="1"/>
  <c r="O40" i="4" s="1"/>
  <c r="M41" i="4"/>
  <c r="O41" i="4" s="1" a="1"/>
  <c r="O41" i="4" s="1"/>
  <c r="A42" i="4"/>
  <c r="T42" i="4" a="1"/>
  <c r="T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M28" i="4"/>
  <c r="O28" i="4" s="1" a="1"/>
  <c r="O28" i="4" s="1"/>
  <c r="M31" i="4"/>
  <c r="O31" i="4" s="1" a="1"/>
  <c r="O31" i="4" s="1"/>
  <c r="G33" i="4"/>
  <c r="H33" i="4" s="1"/>
  <c r="F33" i="4" s="1"/>
  <c r="A37" i="4"/>
  <c r="A40" i="4"/>
  <c r="A41" i="4"/>
  <c r="B2" i="4"/>
  <c r="I7" i="1"/>
  <c r="I4" i="1"/>
  <c r="I17" i="1"/>
  <c r="I23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167" i="1"/>
  <c r="I46" i="1"/>
  <c r="I64" i="1"/>
  <c r="I82" i="1"/>
  <c r="I100" i="1"/>
  <c r="I124" i="1"/>
  <c r="I142" i="1"/>
  <c r="I160" i="1"/>
  <c r="I12" i="1"/>
  <c r="I18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8" i="1"/>
  <c r="I16" i="1"/>
  <c r="I34" i="1"/>
  <c r="I52" i="1"/>
  <c r="I70" i="1"/>
  <c r="I88" i="1"/>
  <c r="I106" i="1"/>
  <c r="I130" i="1"/>
  <c r="I148" i="1"/>
  <c r="I166" i="1"/>
  <c r="I13" i="1"/>
  <c r="I19" i="1"/>
  <c r="I31" i="1"/>
  <c r="I37" i="1"/>
  <c r="I43" i="1"/>
  <c r="I49" i="1"/>
  <c r="I55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163" i="1"/>
  <c r="I169" i="1"/>
  <c r="I40" i="1"/>
  <c r="I58" i="1"/>
  <c r="I76" i="1"/>
  <c r="I94" i="1"/>
  <c r="I118" i="1"/>
  <c r="I136" i="1"/>
  <c r="I154" i="1"/>
  <c r="I14" i="1"/>
  <c r="I20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64" i="1"/>
  <c r="I170" i="1"/>
  <c r="I112" i="1"/>
  <c r="I15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I165" i="1"/>
  <c r="S4" i="6"/>
  <c r="S9" i="6"/>
  <c r="A49" i="8"/>
  <c r="B49" i="8" s="1"/>
  <c r="C49" i="8" s="1"/>
  <c r="A53" i="8"/>
  <c r="B53" i="8" s="1"/>
  <c r="C53" i="8" s="1"/>
  <c r="A57" i="8"/>
  <c r="B57" i="8" s="1"/>
  <c r="C57" i="8" s="1"/>
  <c r="A61" i="8"/>
  <c r="B61" i="8" s="1"/>
  <c r="C61" i="8" s="1"/>
  <c r="A65" i="8"/>
  <c r="B65" i="8" s="1"/>
  <c r="C65" i="8" s="1"/>
  <c r="A69" i="8"/>
  <c r="B69" i="8" s="1"/>
  <c r="C69" i="8" s="1"/>
  <c r="A73" i="8"/>
  <c r="B73" i="8" s="1"/>
  <c r="C73" i="8" s="1"/>
  <c r="A77" i="8"/>
  <c r="B77" i="8" s="1"/>
  <c r="C77" i="8" s="1"/>
  <c r="A81" i="8"/>
  <c r="B81" i="8" s="1"/>
  <c r="C81" i="8" s="1"/>
  <c r="A85" i="8"/>
  <c r="B85" i="8" s="1"/>
  <c r="C85" i="8" s="1"/>
  <c r="A89" i="8"/>
  <c r="B89" i="8" s="1"/>
  <c r="C89" i="8" s="1"/>
  <c r="A102" i="8"/>
  <c r="B102" i="8" s="1"/>
  <c r="C102" i="8" s="1"/>
  <c r="A4" i="8"/>
  <c r="B4" i="8" s="1"/>
  <c r="C4" i="8" s="1"/>
  <c r="A7" i="8"/>
  <c r="B7" i="8" s="1"/>
  <c r="C7" i="8" s="1"/>
  <c r="A10" i="8"/>
  <c r="B10" i="8" s="1"/>
  <c r="C10" i="8" s="1"/>
  <c r="A13" i="8"/>
  <c r="B13" i="8" s="1"/>
  <c r="C13" i="8" s="1"/>
  <c r="A96" i="8"/>
  <c r="B96" i="8" s="1"/>
  <c r="C96" i="8" s="1"/>
  <c r="A99" i="8"/>
  <c r="B99" i="8" s="1"/>
  <c r="C99" i="8" s="1"/>
  <c r="A103" i="8"/>
  <c r="B103" i="8" s="1"/>
  <c r="C103" i="8" s="1"/>
  <c r="A51" i="8"/>
  <c r="B51" i="8" s="1"/>
  <c r="C51" i="8" s="1"/>
  <c r="A55" i="8"/>
  <c r="B55" i="8" s="1"/>
  <c r="C55" i="8" s="1"/>
  <c r="A59" i="8"/>
  <c r="B59" i="8" s="1"/>
  <c r="C59" i="8" s="1"/>
  <c r="A63" i="8"/>
  <c r="B63" i="8" s="1"/>
  <c r="C63" i="8" s="1"/>
  <c r="A67" i="8"/>
  <c r="B67" i="8" s="1"/>
  <c r="C67" i="8" s="1"/>
  <c r="A71" i="8"/>
  <c r="B71" i="8" s="1"/>
  <c r="C71" i="8" s="1"/>
  <c r="A75" i="8"/>
  <c r="B75" i="8" s="1"/>
  <c r="C75" i="8" s="1"/>
  <c r="A79" i="8"/>
  <c r="B79" i="8" s="1"/>
  <c r="C79" i="8" s="1"/>
  <c r="A83" i="8"/>
  <c r="B83" i="8" s="1"/>
  <c r="C83" i="8" s="1"/>
  <c r="A87" i="8"/>
  <c r="B87" i="8" s="1"/>
  <c r="C87" i="8" s="1"/>
  <c r="A91" i="8"/>
  <c r="B91" i="8" s="1"/>
  <c r="C91" i="8" s="1"/>
  <c r="A100" i="8"/>
  <c r="B100" i="8" s="1"/>
  <c r="C100" i="8" s="1"/>
  <c r="A104" i="8"/>
  <c r="B104" i="8" s="1"/>
  <c r="C104" i="8" s="1"/>
  <c r="A50" i="8"/>
  <c r="B50" i="8" s="1"/>
  <c r="C50" i="8" s="1"/>
  <c r="A58" i="8"/>
  <c r="B58" i="8" s="1"/>
  <c r="C58" i="8" s="1"/>
  <c r="A66" i="8"/>
  <c r="B66" i="8" s="1"/>
  <c r="C66" i="8" s="1"/>
  <c r="A74" i="8"/>
  <c r="B74" i="8" s="1"/>
  <c r="C74" i="8" s="1"/>
  <c r="A82" i="8"/>
  <c r="B82" i="8" s="1"/>
  <c r="C82" i="8" s="1"/>
  <c r="A90" i="8"/>
  <c r="B90" i="8" s="1"/>
  <c r="C90" i="8" s="1"/>
  <c r="A97" i="8"/>
  <c r="B97" i="8" s="1"/>
  <c r="C97" i="8" s="1"/>
  <c r="A8" i="8"/>
  <c r="B8" i="8" s="1"/>
  <c r="C8" i="8" s="1"/>
  <c r="A14" i="8"/>
  <c r="B14" i="8" s="1"/>
  <c r="C14" i="8" s="1"/>
  <c r="A70" i="8"/>
  <c r="B70" i="8" s="1"/>
  <c r="C70" i="8" s="1"/>
  <c r="A21" i="8"/>
  <c r="B21" i="8" s="1"/>
  <c r="C21" i="8" s="1"/>
  <c r="A27" i="8"/>
  <c r="B27" i="8" s="1"/>
  <c r="C27" i="8" s="1"/>
  <c r="A36" i="8"/>
  <c r="B36" i="8" s="1"/>
  <c r="C36" i="8" s="1"/>
  <c r="A42" i="8"/>
  <c r="B42" i="8" s="1"/>
  <c r="C42" i="8" s="1"/>
  <c r="A98" i="8"/>
  <c r="B98" i="8" s="1"/>
  <c r="C98" i="8" s="1"/>
  <c r="A3" i="8"/>
  <c r="B3" i="8" s="1"/>
  <c r="C3" i="8" s="1"/>
  <c r="A9" i="8"/>
  <c r="B9" i="8" s="1"/>
  <c r="C9" i="8" s="1"/>
  <c r="A15" i="8"/>
  <c r="B15" i="8" s="1"/>
  <c r="C15" i="8" s="1"/>
  <c r="A19" i="8"/>
  <c r="B19" i="8" s="1"/>
  <c r="C19" i="8" s="1"/>
  <c r="A23" i="8"/>
  <c r="B23" i="8" s="1"/>
  <c r="C23" i="8" s="1"/>
  <c r="A26" i="8"/>
  <c r="B26" i="8" s="1"/>
  <c r="C26" i="8" s="1"/>
  <c r="A29" i="8"/>
  <c r="B29" i="8" s="1"/>
  <c r="C29" i="8" s="1"/>
  <c r="A32" i="8"/>
  <c r="B32" i="8" s="1"/>
  <c r="C32" i="8" s="1"/>
  <c r="A35" i="8"/>
  <c r="B35" i="8" s="1"/>
  <c r="C35" i="8" s="1"/>
  <c r="A38" i="8"/>
  <c r="B38" i="8" s="1"/>
  <c r="C38" i="8" s="1"/>
  <c r="A41" i="8"/>
  <c r="B41" i="8" s="1"/>
  <c r="C41" i="8" s="1"/>
  <c r="A44" i="8"/>
  <c r="B44" i="8" s="1"/>
  <c r="C44" i="8" s="1"/>
  <c r="A47" i="8"/>
  <c r="B47" i="8" s="1"/>
  <c r="C47" i="8" s="1"/>
  <c r="A54" i="8"/>
  <c r="B54" i="8" s="1"/>
  <c r="C54" i="8" s="1"/>
  <c r="A78" i="8"/>
  <c r="B78" i="8" s="1"/>
  <c r="C78" i="8" s="1"/>
  <c r="A93" i="8"/>
  <c r="B93" i="8" s="1"/>
  <c r="C93" i="8" s="1"/>
  <c r="A16" i="8"/>
  <c r="B16" i="8" s="1"/>
  <c r="C16" i="8" s="1"/>
  <c r="A30" i="8"/>
  <c r="B30" i="8" s="1"/>
  <c r="C30" i="8" s="1"/>
  <c r="A45" i="8"/>
  <c r="B45" i="8" s="1"/>
  <c r="C45" i="8" s="1"/>
  <c r="A52" i="8"/>
  <c r="B52" i="8" s="1"/>
  <c r="C52" i="8" s="1"/>
  <c r="A60" i="8"/>
  <c r="B60" i="8" s="1"/>
  <c r="C60" i="8" s="1"/>
  <c r="A68" i="8"/>
  <c r="B68" i="8" s="1"/>
  <c r="C68" i="8" s="1"/>
  <c r="A76" i="8"/>
  <c r="B76" i="8" s="1"/>
  <c r="C76" i="8" s="1"/>
  <c r="A84" i="8"/>
  <c r="B84" i="8" s="1"/>
  <c r="C84" i="8" s="1"/>
  <c r="A92" i="8"/>
  <c r="B92" i="8" s="1"/>
  <c r="C92" i="8" s="1"/>
  <c r="A20" i="8"/>
  <c r="B20" i="8" s="1"/>
  <c r="C20" i="8" s="1"/>
  <c r="A62" i="8"/>
  <c r="B62" i="8" s="1"/>
  <c r="C62" i="8" s="1"/>
  <c r="A86" i="8"/>
  <c r="B86" i="8" s="1"/>
  <c r="C86" i="8" s="1"/>
  <c r="A11" i="8"/>
  <c r="B11" i="8" s="1"/>
  <c r="C11" i="8" s="1"/>
  <c r="A24" i="8"/>
  <c r="B24" i="8" s="1"/>
  <c r="C24" i="8" s="1"/>
  <c r="A33" i="8"/>
  <c r="B33" i="8" s="1"/>
  <c r="C33" i="8" s="1"/>
  <c r="A39" i="8"/>
  <c r="B39" i="8" s="1"/>
  <c r="C39" i="8" s="1"/>
  <c r="A5" i="8"/>
  <c r="B5" i="8" s="1"/>
  <c r="C5" i="8" s="1"/>
  <c r="A6" i="8"/>
  <c r="B6" i="8" s="1"/>
  <c r="C6" i="8" s="1"/>
  <c r="A48" i="8"/>
  <c r="B48" i="8" s="1"/>
  <c r="C48" i="8" s="1"/>
  <c r="A64" i="8"/>
  <c r="B64" i="8" s="1"/>
  <c r="C64" i="8" s="1"/>
  <c r="A22" i="8"/>
  <c r="B22" i="8" s="1"/>
  <c r="C22" i="8" s="1"/>
  <c r="A40" i="8"/>
  <c r="B40" i="8" s="1"/>
  <c r="C40" i="8" s="1"/>
  <c r="A94" i="8"/>
  <c r="B94" i="8" s="1"/>
  <c r="C94" i="8" s="1"/>
  <c r="A12" i="8"/>
  <c r="B12" i="8" s="1"/>
  <c r="C12" i="8" s="1"/>
  <c r="A72" i="8"/>
  <c r="B72" i="8" s="1"/>
  <c r="C72" i="8" s="1"/>
  <c r="A95" i="8"/>
  <c r="B95" i="8" s="1"/>
  <c r="C95" i="8" s="1"/>
  <c r="A25" i="8"/>
  <c r="B25" i="8" s="1"/>
  <c r="C25" i="8" s="1"/>
  <c r="A34" i="8"/>
  <c r="B34" i="8" s="1"/>
  <c r="C34" i="8" s="1"/>
  <c r="A43" i="8"/>
  <c r="B43" i="8" s="1"/>
  <c r="C43" i="8" s="1"/>
  <c r="A101" i="8"/>
  <c r="B101" i="8" s="1"/>
  <c r="C101" i="8" s="1"/>
  <c r="A17" i="8"/>
  <c r="B17" i="8" s="1"/>
  <c r="C17" i="8" s="1"/>
  <c r="A56" i="8"/>
  <c r="B56" i="8" s="1"/>
  <c r="C56" i="8" s="1"/>
  <c r="A80" i="8"/>
  <c r="B80" i="8" s="1"/>
  <c r="C80" i="8" s="1"/>
  <c r="A18" i="8"/>
  <c r="B18" i="8" s="1"/>
  <c r="C18" i="8" s="1"/>
  <c r="A28" i="8"/>
  <c r="B28" i="8" s="1"/>
  <c r="C28" i="8" s="1"/>
  <c r="A37" i="8"/>
  <c r="B37" i="8" s="1"/>
  <c r="C37" i="8" s="1"/>
  <c r="A46" i="8"/>
  <c r="B46" i="8" s="1"/>
  <c r="C46" i="8" s="1"/>
  <c r="A88" i="8"/>
  <c r="B88" i="8" s="1"/>
  <c r="C88" i="8" s="1"/>
  <c r="A31" i="8"/>
  <c r="B31" i="8" s="1"/>
  <c r="C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AC17" i="4" l="1"/>
  <c r="AC23" i="4"/>
  <c r="AC5" i="4"/>
  <c r="AC6" i="4"/>
  <c r="AC7" i="4"/>
  <c r="AC4" i="4"/>
  <c r="AC12" i="4"/>
  <c r="X31" i="1"/>
  <c r="I25" i="1"/>
  <c r="I22" i="1"/>
  <c r="I21" i="1"/>
  <c r="I28" i="1"/>
  <c r="S2" i="4"/>
  <c r="T2" i="4" s="1" a="1"/>
  <c r="T2" i="4" s="1"/>
  <c r="Q2" i="4"/>
  <c r="U2" i="4" a="1"/>
  <c r="U2" i="4" s="1"/>
  <c r="L2" i="4"/>
  <c r="N2" i="4" s="1"/>
  <c r="AC30" i="4"/>
  <c r="AC11" i="4"/>
  <c r="AC29" i="4"/>
  <c r="AC18" i="4"/>
  <c r="AC16" i="4"/>
  <c r="AC9" i="4"/>
  <c r="AC13" i="4"/>
  <c r="AC21" i="4"/>
  <c r="AC25" i="4"/>
  <c r="AC41" i="4"/>
  <c r="AC20" i="4"/>
  <c r="AC19" i="4"/>
  <c r="AC24" i="4"/>
  <c r="AC14" i="4"/>
  <c r="AC33" i="4"/>
  <c r="AC32" i="4"/>
  <c r="AC37" i="4"/>
  <c r="AC42" i="4"/>
  <c r="AC35" i="4"/>
  <c r="AC22" i="4"/>
  <c r="AC15" i="4"/>
  <c r="AC40" i="4"/>
  <c r="AC8" i="4"/>
  <c r="I9" i="1"/>
  <c r="AC34" i="4"/>
  <c r="AC10" i="4"/>
  <c r="AC3" i="4"/>
  <c r="I6" i="1"/>
  <c r="I3" i="1"/>
  <c r="I10" i="1"/>
  <c r="I81" i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M2" i="4"/>
  <c r="O2" i="4" s="1" a="1"/>
  <c r="O2" i="4" s="1"/>
  <c r="F5" i="8"/>
  <c r="D5" i="8"/>
  <c r="G5" i="8" s="1"/>
  <c r="E5" i="8"/>
  <c r="H5" i="8" s="1"/>
  <c r="F99" i="8"/>
  <c r="D99" i="8"/>
  <c r="G99" i="8" s="1"/>
  <c r="E99" i="8"/>
  <c r="H99" i="8" s="1"/>
  <c r="D102" i="8"/>
  <c r="G102" i="8" s="1"/>
  <c r="F102" i="8"/>
  <c r="E102" i="8"/>
  <c r="H102" i="8" s="1"/>
  <c r="F69" i="8"/>
  <c r="E69" i="8"/>
  <c r="H69" i="8" s="1"/>
  <c r="D69" i="8"/>
  <c r="G69" i="8" s="1"/>
  <c r="F62" i="8"/>
  <c r="D62" i="8"/>
  <c r="G62" i="8" s="1"/>
  <c r="E62" i="8"/>
  <c r="H62" i="8" s="1"/>
  <c r="D98" i="8"/>
  <c r="G98" i="8" s="1"/>
  <c r="E98" i="8"/>
  <c r="H98" i="8" s="1"/>
  <c r="F98" i="8"/>
  <c r="F14" i="8"/>
  <c r="D14" i="8"/>
  <c r="G14" i="8" s="1"/>
  <c r="E14" i="8"/>
  <c r="H14" i="8" s="1"/>
  <c r="D66" i="8"/>
  <c r="G66" i="8" s="1"/>
  <c r="F66" i="8"/>
  <c r="E66" i="8"/>
  <c r="H66" i="8" s="1"/>
  <c r="E87" i="8"/>
  <c r="H87" i="8" s="1"/>
  <c r="F87" i="8"/>
  <c r="D87" i="8"/>
  <c r="G87" i="8" s="1"/>
  <c r="E63" i="8"/>
  <c r="H63" i="8" s="1"/>
  <c r="F63" i="8"/>
  <c r="D63" i="8"/>
  <c r="G63" i="8" s="1"/>
  <c r="D89" i="8"/>
  <c r="G89" i="8" s="1"/>
  <c r="E89" i="8"/>
  <c r="H89" i="8" s="1"/>
  <c r="F89" i="8"/>
  <c r="F65" i="8"/>
  <c r="D65" i="8"/>
  <c r="G65" i="8" s="1"/>
  <c r="E65" i="8"/>
  <c r="H65" i="8" s="1"/>
  <c r="A2" i="8"/>
  <c r="F37" i="8"/>
  <c r="D37" i="8"/>
  <c r="G37" i="8" s="1"/>
  <c r="E37" i="8"/>
  <c r="H37" i="8" s="1"/>
  <c r="F28" i="8"/>
  <c r="D28" i="8"/>
  <c r="G28" i="8" s="1"/>
  <c r="E28" i="8"/>
  <c r="H28" i="8" s="1"/>
  <c r="D60" i="8"/>
  <c r="G60" i="8" s="1"/>
  <c r="E60" i="8"/>
  <c r="H60" i="8" s="1"/>
  <c r="F60" i="8"/>
  <c r="G2" i="4"/>
  <c r="H2" i="4" s="1"/>
  <c r="F2" i="4" s="1"/>
  <c r="D18" i="8"/>
  <c r="G18" i="8" s="1"/>
  <c r="F18" i="8"/>
  <c r="E18" i="8"/>
  <c r="H18" i="8" s="1"/>
  <c r="F34" i="8"/>
  <c r="D34" i="8"/>
  <c r="G34" i="8" s="1"/>
  <c r="E34" i="8"/>
  <c r="H34" i="8" s="1"/>
  <c r="F40" i="8"/>
  <c r="D40" i="8"/>
  <c r="G40" i="8" s="1"/>
  <c r="E40" i="8"/>
  <c r="H40" i="8" s="1"/>
  <c r="E39" i="8"/>
  <c r="H39" i="8" s="1"/>
  <c r="F39" i="8"/>
  <c r="D39" i="8"/>
  <c r="G39" i="8" s="1"/>
  <c r="F20" i="8"/>
  <c r="D20" i="8"/>
  <c r="G20" i="8" s="1"/>
  <c r="E20" i="8"/>
  <c r="H20" i="8" s="1"/>
  <c r="F52" i="8"/>
  <c r="D52" i="8"/>
  <c r="G52" i="8" s="1"/>
  <c r="E52" i="8"/>
  <c r="H52" i="8" s="1"/>
  <c r="D54" i="8"/>
  <c r="G54" i="8" s="1"/>
  <c r="F54" i="8"/>
  <c r="E54" i="8"/>
  <c r="H54" i="8" s="1"/>
  <c r="F32" i="8"/>
  <c r="D32" i="8"/>
  <c r="G32" i="8" s="1"/>
  <c r="E32" i="8"/>
  <c r="H32" i="8" s="1"/>
  <c r="F9" i="8"/>
  <c r="E9" i="8"/>
  <c r="H9" i="8" s="1"/>
  <c r="D9" i="8"/>
  <c r="G9" i="8" s="1"/>
  <c r="F21" i="8"/>
  <c r="E21" i="8"/>
  <c r="H21" i="8" s="1"/>
  <c r="D21" i="8"/>
  <c r="G21" i="8" s="1"/>
  <c r="D82" i="8"/>
  <c r="G82" i="8" s="1"/>
  <c r="E82" i="8"/>
  <c r="H82" i="8" s="1"/>
  <c r="F82" i="8"/>
  <c r="F31" i="8"/>
  <c r="D31" i="8"/>
  <c r="G31" i="8" s="1"/>
  <c r="E31" i="8"/>
  <c r="H31" i="8" s="1"/>
  <c r="F80" i="8"/>
  <c r="D80" i="8"/>
  <c r="G80" i="8" s="1"/>
  <c r="E80" i="8"/>
  <c r="H80" i="8" s="1"/>
  <c r="F25" i="8"/>
  <c r="D25" i="8"/>
  <c r="G25" i="8" s="1"/>
  <c r="E25" i="8"/>
  <c r="H25" i="8" s="1"/>
  <c r="F22" i="8"/>
  <c r="D22" i="8"/>
  <c r="G22" i="8" s="1"/>
  <c r="E22" i="8"/>
  <c r="H22" i="8" s="1"/>
  <c r="F33" i="8"/>
  <c r="E33" i="8"/>
  <c r="H33" i="8" s="1"/>
  <c r="D33" i="8"/>
  <c r="G33" i="8" s="1"/>
  <c r="D92" i="8"/>
  <c r="G92" i="8" s="1"/>
  <c r="F92" i="8"/>
  <c r="E92" i="8"/>
  <c r="H92" i="8" s="1"/>
  <c r="F45" i="8"/>
  <c r="E45" i="8"/>
  <c r="H45" i="8" s="1"/>
  <c r="D45" i="8"/>
  <c r="G45" i="8" s="1"/>
  <c r="F47" i="8"/>
  <c r="D47" i="8"/>
  <c r="G47" i="8" s="1"/>
  <c r="E47" i="8"/>
  <c r="H47" i="8" s="1"/>
  <c r="F29" i="8"/>
  <c r="D29" i="8"/>
  <c r="G29" i="8" s="1"/>
  <c r="E29" i="8"/>
  <c r="H29" i="8" s="1"/>
  <c r="E3" i="8"/>
  <c r="H3" i="8" s="1"/>
  <c r="F3" i="8"/>
  <c r="D3" i="8"/>
  <c r="G3" i="8" s="1"/>
  <c r="F70" i="8"/>
  <c r="D70" i="8"/>
  <c r="G70" i="8" s="1"/>
  <c r="E70" i="8"/>
  <c r="H70" i="8" s="1"/>
  <c r="E74" i="8"/>
  <c r="H74" i="8" s="1"/>
  <c r="D74" i="8"/>
  <c r="G74" i="8" s="1"/>
  <c r="F74" i="8"/>
  <c r="F91" i="8"/>
  <c r="D91" i="8"/>
  <c r="G91" i="8" s="1"/>
  <c r="E91" i="8"/>
  <c r="H91" i="8" s="1"/>
  <c r="F67" i="8"/>
  <c r="D67" i="8"/>
  <c r="G67" i="8" s="1"/>
  <c r="E67" i="8"/>
  <c r="H67" i="8" s="1"/>
  <c r="D88" i="8"/>
  <c r="G88" i="8" s="1"/>
  <c r="F88" i="8"/>
  <c r="E88" i="8"/>
  <c r="H88" i="8" s="1"/>
  <c r="F56" i="8"/>
  <c r="D56" i="8"/>
  <c r="G56" i="8" s="1"/>
  <c r="E56" i="8"/>
  <c r="H56" i="8" s="1"/>
  <c r="F95" i="8"/>
  <c r="D95" i="8"/>
  <c r="G95" i="8" s="1"/>
  <c r="E95" i="8"/>
  <c r="H95" i="8" s="1"/>
  <c r="F64" i="8"/>
  <c r="D64" i="8"/>
  <c r="G64" i="8" s="1"/>
  <c r="E64" i="8"/>
  <c r="H64" i="8" s="1"/>
  <c r="D24" i="8"/>
  <c r="G24" i="8" s="1"/>
  <c r="E24" i="8"/>
  <c r="H24" i="8" s="1"/>
  <c r="F24" i="8"/>
  <c r="F84" i="8"/>
  <c r="D84" i="8"/>
  <c r="G84" i="8" s="1"/>
  <c r="E84" i="8"/>
  <c r="H84" i="8" s="1"/>
  <c r="D30" i="8"/>
  <c r="G30" i="8" s="1"/>
  <c r="F30" i="8"/>
  <c r="E30" i="8"/>
  <c r="H30" i="8" s="1"/>
  <c r="F44" i="8"/>
  <c r="D44" i="8"/>
  <c r="G44" i="8" s="1"/>
  <c r="E44" i="8"/>
  <c r="H44" i="8" s="1"/>
  <c r="F26" i="8"/>
  <c r="D26" i="8"/>
  <c r="G26" i="8" s="1"/>
  <c r="E26" i="8"/>
  <c r="H26" i="8" s="1"/>
  <c r="D96" i="8"/>
  <c r="G96" i="8" s="1"/>
  <c r="E96" i="8"/>
  <c r="H96" i="8" s="1"/>
  <c r="F96" i="8"/>
  <c r="F46" i="8"/>
  <c r="D46" i="8"/>
  <c r="G46" i="8" s="1"/>
  <c r="E46" i="8"/>
  <c r="H46" i="8" s="1"/>
  <c r="F17" i="8"/>
  <c r="D17" i="8"/>
  <c r="G17" i="8" s="1"/>
  <c r="E17" i="8"/>
  <c r="H17" i="8" s="1"/>
  <c r="D72" i="8"/>
  <c r="G72" i="8" s="1"/>
  <c r="E72" i="8"/>
  <c r="H72" i="8" s="1"/>
  <c r="F72" i="8"/>
  <c r="D48" i="8"/>
  <c r="G48" i="8" s="1"/>
  <c r="E48" i="8"/>
  <c r="H48" i="8" s="1"/>
  <c r="F48" i="8"/>
  <c r="F11" i="8"/>
  <c r="D11" i="8"/>
  <c r="G11" i="8" s="1"/>
  <c r="E11" i="8"/>
  <c r="H11" i="8" s="1"/>
  <c r="F76" i="8"/>
  <c r="D76" i="8"/>
  <c r="G76" i="8" s="1"/>
  <c r="E76" i="8"/>
  <c r="H76" i="8" s="1"/>
  <c r="F16" i="8"/>
  <c r="D16" i="8"/>
  <c r="G16" i="8" s="1"/>
  <c r="E16" i="8"/>
  <c r="H16" i="8" s="1"/>
  <c r="F41" i="8"/>
  <c r="D41" i="8"/>
  <c r="G41" i="8" s="1"/>
  <c r="E41" i="8"/>
  <c r="H41" i="8" s="1"/>
  <c r="F23" i="8"/>
  <c r="D23" i="8"/>
  <c r="G23" i="8" s="1"/>
  <c r="E23" i="8"/>
  <c r="H23" i="8" s="1"/>
  <c r="D42" i="8"/>
  <c r="G42" i="8" s="1"/>
  <c r="F42" i="8"/>
  <c r="E42" i="8"/>
  <c r="H42" i="8" s="1"/>
  <c r="F8" i="8"/>
  <c r="D8" i="8"/>
  <c r="G8" i="8" s="1"/>
  <c r="E8" i="8"/>
  <c r="H8" i="8" s="1"/>
  <c r="F58" i="8"/>
  <c r="D58" i="8"/>
  <c r="G58" i="8" s="1"/>
  <c r="E58" i="8"/>
  <c r="H58" i="8" s="1"/>
  <c r="D83" i="8"/>
  <c r="G83" i="8" s="1"/>
  <c r="F83" i="8"/>
  <c r="E83" i="8"/>
  <c r="H83" i="8" s="1"/>
  <c r="F59" i="8"/>
  <c r="D59" i="8"/>
  <c r="G59" i="8" s="1"/>
  <c r="E59" i="8"/>
  <c r="H59" i="8" s="1"/>
  <c r="F13" i="8"/>
  <c r="D13" i="8"/>
  <c r="G13" i="8" s="1"/>
  <c r="E13" i="8"/>
  <c r="H13" i="8" s="1"/>
  <c r="D85" i="8"/>
  <c r="G85" i="8" s="1"/>
  <c r="E85" i="8"/>
  <c r="H85" i="8" s="1"/>
  <c r="F85" i="8"/>
  <c r="F61" i="8"/>
  <c r="D61" i="8"/>
  <c r="G61" i="8" s="1"/>
  <c r="E61" i="8"/>
  <c r="H61" i="8" s="1"/>
  <c r="F101" i="8"/>
  <c r="D101" i="8"/>
  <c r="G101" i="8" s="1"/>
  <c r="E101" i="8"/>
  <c r="H101" i="8" s="1"/>
  <c r="D12" i="8"/>
  <c r="G12" i="8" s="1"/>
  <c r="E12" i="8"/>
  <c r="H12" i="8" s="1"/>
  <c r="F12" i="8"/>
  <c r="D6" i="8"/>
  <c r="G6" i="8" s="1"/>
  <c r="F6" i="8"/>
  <c r="E6" i="8"/>
  <c r="H6" i="8" s="1"/>
  <c r="D86" i="8"/>
  <c r="G86" i="8" s="1"/>
  <c r="E86" i="8"/>
  <c r="H86" i="8" s="1"/>
  <c r="F86" i="8"/>
  <c r="F68" i="8"/>
  <c r="D68" i="8"/>
  <c r="G68" i="8" s="1"/>
  <c r="E68" i="8"/>
  <c r="H68" i="8" s="1"/>
  <c r="F93" i="8"/>
  <c r="D93" i="8"/>
  <c r="G93" i="8" s="1"/>
  <c r="E93" i="8"/>
  <c r="H93" i="8" s="1"/>
  <c r="F38" i="8"/>
  <c r="D38" i="8"/>
  <c r="G38" i="8" s="1"/>
  <c r="E38" i="8"/>
  <c r="H38" i="8" s="1"/>
  <c r="F19" i="8"/>
  <c r="D19" i="8"/>
  <c r="G19" i="8" s="1"/>
  <c r="E19" i="8"/>
  <c r="H19" i="8" s="1"/>
  <c r="D36" i="8"/>
  <c r="G36" i="8" s="1"/>
  <c r="E36" i="8"/>
  <c r="H36" i="8" s="1"/>
  <c r="F36" i="8"/>
  <c r="D97" i="8"/>
  <c r="G97" i="8" s="1"/>
  <c r="E97" i="8"/>
  <c r="H97" i="8" s="1"/>
  <c r="F97" i="8"/>
  <c r="F50" i="8"/>
  <c r="D50" i="8"/>
  <c r="G50" i="8" s="1"/>
  <c r="E50" i="8"/>
  <c r="H50" i="8" s="1"/>
  <c r="F79" i="8"/>
  <c r="D79" i="8"/>
  <c r="G79" i="8" s="1"/>
  <c r="E79" i="8"/>
  <c r="H79" i="8" s="1"/>
  <c r="F55" i="8"/>
  <c r="D55" i="8"/>
  <c r="G55" i="8" s="1"/>
  <c r="E55" i="8"/>
  <c r="H55" i="8" s="1"/>
  <c r="F10" i="8"/>
  <c r="D10" i="8"/>
  <c r="G10" i="8" s="1"/>
  <c r="E10" i="8"/>
  <c r="H10" i="8" s="1"/>
  <c r="D81" i="8"/>
  <c r="G81" i="8" s="1"/>
  <c r="F81" i="8"/>
  <c r="E81" i="8"/>
  <c r="H81" i="8" s="1"/>
  <c r="F57" i="8"/>
  <c r="E57" i="8"/>
  <c r="H57" i="8" s="1"/>
  <c r="D57" i="8"/>
  <c r="G57" i="8" s="1"/>
  <c r="D94" i="8"/>
  <c r="G94" i="8" s="1"/>
  <c r="E94" i="8"/>
  <c r="H94" i="8" s="1"/>
  <c r="F94" i="8"/>
  <c r="E78" i="8"/>
  <c r="H78" i="8" s="1"/>
  <c r="F78" i="8"/>
  <c r="D78" i="8"/>
  <c r="G78" i="8" s="1"/>
  <c r="F35" i="8"/>
  <c r="D35" i="8"/>
  <c r="G35" i="8" s="1"/>
  <c r="E35" i="8"/>
  <c r="H35" i="8" s="1"/>
  <c r="E15" i="8"/>
  <c r="H15" i="8" s="1"/>
  <c r="F15" i="8"/>
  <c r="D15" i="8"/>
  <c r="G15" i="8" s="1"/>
  <c r="E27" i="8"/>
  <c r="H27" i="8" s="1"/>
  <c r="F27" i="8"/>
  <c r="D27" i="8"/>
  <c r="G27" i="8" s="1"/>
  <c r="D90" i="8"/>
  <c r="G90" i="8" s="1"/>
  <c r="E90" i="8"/>
  <c r="H90" i="8" s="1"/>
  <c r="F90" i="8"/>
  <c r="D104" i="8"/>
  <c r="G104" i="8" s="1"/>
  <c r="E104" i="8"/>
  <c r="H104" i="8" s="1"/>
  <c r="F104" i="8"/>
  <c r="F75" i="8"/>
  <c r="D75" i="8"/>
  <c r="G75" i="8" s="1"/>
  <c r="E75" i="8"/>
  <c r="H75" i="8" s="1"/>
  <c r="E51" i="8"/>
  <c r="H51" i="8" s="1"/>
  <c r="F51" i="8"/>
  <c r="D51" i="8"/>
  <c r="G51" i="8" s="1"/>
  <c r="F7" i="8"/>
  <c r="D7" i="8"/>
  <c r="G7" i="8" s="1"/>
  <c r="E7" i="8"/>
  <c r="H7" i="8" s="1"/>
  <c r="F77" i="8"/>
  <c r="D77" i="8"/>
  <c r="G77" i="8" s="1"/>
  <c r="E77" i="8"/>
  <c r="H77" i="8" s="1"/>
  <c r="F53" i="8"/>
  <c r="D53" i="8"/>
  <c r="G53" i="8" s="1"/>
  <c r="E53" i="8"/>
  <c r="H53" i="8" s="1"/>
  <c r="F43" i="8"/>
  <c r="D43" i="8"/>
  <c r="G43" i="8" s="1"/>
  <c r="E43" i="8"/>
  <c r="H43" i="8" s="1"/>
  <c r="D100" i="8"/>
  <c r="G100" i="8" s="1"/>
  <c r="F100" i="8"/>
  <c r="E100" i="8"/>
  <c r="H100" i="8" s="1"/>
  <c r="F71" i="8"/>
  <c r="D71" i="8"/>
  <c r="G71" i="8" s="1"/>
  <c r="E71" i="8"/>
  <c r="H71" i="8" s="1"/>
  <c r="D103" i="8"/>
  <c r="G103" i="8" s="1"/>
  <c r="F103" i="8"/>
  <c r="E103" i="8"/>
  <c r="H103" i="8" s="1"/>
  <c r="F4" i="8"/>
  <c r="D4" i="8"/>
  <c r="G4" i="8" s="1"/>
  <c r="E4" i="8"/>
  <c r="H4" i="8" s="1"/>
  <c r="F73" i="8"/>
  <c r="D73" i="8"/>
  <c r="G73" i="8" s="1"/>
  <c r="E73" i="8"/>
  <c r="H73" i="8" s="1"/>
  <c r="F49" i="8"/>
  <c r="D49" i="8"/>
  <c r="G49" i="8" s="1"/>
  <c r="E49" i="8"/>
  <c r="H49" i="8" s="1"/>
  <c r="C2" i="4"/>
  <c r="D2" i="4" s="1"/>
  <c r="A2" i="4"/>
  <c r="J26" i="1" l="1" a="1"/>
  <c r="J26" i="1" s="1"/>
  <c r="J27" i="1" a="1"/>
  <c r="J27" i="1" s="1"/>
  <c r="J28" i="1" a="1"/>
  <c r="J28" i="1" s="1"/>
  <c r="C49" i="1" a="1"/>
  <c r="C49" i="1" s="1"/>
  <c r="E49" i="15" s="1"/>
  <c r="C22" i="1" a="1"/>
  <c r="C22" i="1" s="1"/>
  <c r="E22" i="15" s="1"/>
  <c r="O50" i="1"/>
  <c r="M50" i="15" s="1"/>
  <c r="N50" i="15" s="1" a="1"/>
  <c r="N50" i="15" s="1"/>
  <c r="O86" i="1"/>
  <c r="M86" i="15" s="1"/>
  <c r="N86" i="15" s="1" a="1"/>
  <c r="N86" i="15" s="1"/>
  <c r="O122" i="1"/>
  <c r="M122" i="15" s="1"/>
  <c r="N122" i="15" s="1" a="1"/>
  <c r="N122" i="15" s="1"/>
  <c r="O158" i="1"/>
  <c r="M158" i="15" s="1"/>
  <c r="N158" i="15" s="1" a="1"/>
  <c r="N158" i="15" s="1"/>
  <c r="O32" i="1"/>
  <c r="M32" i="15" s="1"/>
  <c r="N32" i="15" s="1" a="1"/>
  <c r="N32" i="15" s="1"/>
  <c r="O116" i="1"/>
  <c r="M116" i="15" s="1"/>
  <c r="N116" i="15" s="1" a="1"/>
  <c r="N116" i="15" s="1"/>
  <c r="O56" i="1"/>
  <c r="M56" i="15" s="1"/>
  <c r="N56" i="15" s="1" a="1"/>
  <c r="N56" i="15" s="1"/>
  <c r="O92" i="1"/>
  <c r="M92" i="15" s="1"/>
  <c r="N92" i="15" s="1" a="1"/>
  <c r="N92" i="15" s="1"/>
  <c r="O128" i="1"/>
  <c r="M128" i="15" s="1"/>
  <c r="N128" i="15" s="1" a="1"/>
  <c r="N128" i="15" s="1"/>
  <c r="O164" i="1"/>
  <c r="M164" i="15" s="1"/>
  <c r="N164" i="15" s="1" a="1"/>
  <c r="N164" i="15" s="1"/>
  <c r="O44" i="1"/>
  <c r="M44" i="15" s="1"/>
  <c r="N44" i="15" s="1" a="1"/>
  <c r="N44" i="15" s="1"/>
  <c r="O62" i="1"/>
  <c r="M62" i="15" s="1"/>
  <c r="N62" i="15" s="1" a="1"/>
  <c r="N62" i="15" s="1"/>
  <c r="O98" i="1"/>
  <c r="M98" i="15" s="1"/>
  <c r="N98" i="15" s="1" a="1"/>
  <c r="N98" i="15" s="1"/>
  <c r="O134" i="1"/>
  <c r="M134" i="15" s="1"/>
  <c r="N134" i="15" s="1" a="1"/>
  <c r="N134" i="15" s="1"/>
  <c r="O8" i="1"/>
  <c r="M8" i="15" s="1"/>
  <c r="N8" i="15" s="1" a="1"/>
  <c r="N8" i="15" s="1"/>
  <c r="O80" i="1"/>
  <c r="M80" i="15" s="1"/>
  <c r="N80" i="15" s="1" a="1"/>
  <c r="N80" i="15" s="1"/>
  <c r="O68" i="1"/>
  <c r="M68" i="15" s="1"/>
  <c r="N68" i="15" s="1" a="1"/>
  <c r="N68" i="15" s="1"/>
  <c r="O104" i="1"/>
  <c r="M104" i="15" s="1"/>
  <c r="N104" i="15" s="1" a="1"/>
  <c r="N104" i="15" s="1"/>
  <c r="O140" i="1"/>
  <c r="M140" i="15" s="1"/>
  <c r="N140" i="15" s="1" a="1"/>
  <c r="N140" i="15" s="1"/>
  <c r="O14" i="1"/>
  <c r="M14" i="15" s="1"/>
  <c r="N14" i="15" s="1" a="1"/>
  <c r="N14" i="15" s="1"/>
  <c r="O152" i="1"/>
  <c r="M152" i="15" s="1"/>
  <c r="N152" i="15" s="1" a="1"/>
  <c r="N152" i="15" s="1"/>
  <c r="O38" i="1"/>
  <c r="M38" i="15" s="1"/>
  <c r="N38" i="15" s="1" a="1"/>
  <c r="N38" i="15" s="1"/>
  <c r="O74" i="1"/>
  <c r="M74" i="15" s="1"/>
  <c r="N74" i="15" s="1" a="1"/>
  <c r="N74" i="15" s="1"/>
  <c r="O110" i="1"/>
  <c r="M110" i="15" s="1"/>
  <c r="N110" i="15" s="1" a="1"/>
  <c r="N110" i="15" s="1"/>
  <c r="O146" i="1"/>
  <c r="M146" i="15" s="1"/>
  <c r="N146" i="15" s="1" a="1"/>
  <c r="N146" i="15" s="1"/>
  <c r="O20" i="1"/>
  <c r="M20" i="15" s="1"/>
  <c r="N20" i="15" s="1" a="1"/>
  <c r="N20" i="15" s="1"/>
  <c r="O26" i="1"/>
  <c r="M26" i="15" s="1"/>
  <c r="N26" i="15" s="1" a="1"/>
  <c r="N26" i="15" s="1"/>
  <c r="O87" i="1"/>
  <c r="M87" i="15" s="1"/>
  <c r="N87" i="15" s="1" a="1"/>
  <c r="N87" i="15" s="1"/>
  <c r="O51" i="1"/>
  <c r="M51" i="15" s="1"/>
  <c r="N51" i="15" s="1" a="1"/>
  <c r="N51" i="15" s="1"/>
  <c r="O15" i="1"/>
  <c r="M15" i="15" s="1"/>
  <c r="N15" i="15" s="1" a="1"/>
  <c r="N15" i="15" s="1"/>
  <c r="O70" i="1"/>
  <c r="M70" i="15" s="1"/>
  <c r="N70" i="15" s="1" a="1"/>
  <c r="N70" i="15" s="1"/>
  <c r="O25" i="1"/>
  <c r="M25" i="15" s="1"/>
  <c r="N25" i="15" s="1" a="1"/>
  <c r="N25" i="15" s="1"/>
  <c r="O151" i="1"/>
  <c r="M151" i="15" s="1"/>
  <c r="N151" i="15" s="1" a="1"/>
  <c r="N151" i="15" s="1"/>
  <c r="O115" i="1"/>
  <c r="M115" i="15" s="1"/>
  <c r="N115" i="15" s="1" a="1"/>
  <c r="N115" i="15" s="1"/>
  <c r="O73" i="1"/>
  <c r="M73" i="15" s="1"/>
  <c r="N73" i="15" s="1" a="1"/>
  <c r="N73" i="15" s="1"/>
  <c r="O37" i="1"/>
  <c r="M37" i="15" s="1"/>
  <c r="N37" i="15" s="1" a="1"/>
  <c r="N37" i="15" s="1"/>
  <c r="O12" i="1"/>
  <c r="M12" i="15" s="1"/>
  <c r="N12" i="15" s="1" a="1"/>
  <c r="N12" i="15" s="1"/>
  <c r="O138" i="1"/>
  <c r="M138" i="15" s="1"/>
  <c r="N138" i="15" s="1" a="1"/>
  <c r="N138" i="15" s="1"/>
  <c r="O102" i="1"/>
  <c r="M102" i="15" s="1"/>
  <c r="N102" i="15" s="1" a="1"/>
  <c r="N102" i="15" s="1"/>
  <c r="O54" i="1"/>
  <c r="M54" i="15" s="1"/>
  <c r="N54" i="15" s="1" a="1"/>
  <c r="N54" i="15" s="1"/>
  <c r="O23" i="1"/>
  <c r="M23" i="15" s="1"/>
  <c r="N23" i="15" s="1" a="1"/>
  <c r="N23" i="15" s="1"/>
  <c r="O149" i="1"/>
  <c r="M149" i="15" s="1"/>
  <c r="N149" i="15" s="1" a="1"/>
  <c r="N149" i="15" s="1"/>
  <c r="O113" i="1"/>
  <c r="M113" i="15" s="1"/>
  <c r="N113" i="15" s="1" a="1"/>
  <c r="N113" i="15" s="1"/>
  <c r="O77" i="1"/>
  <c r="M77" i="15" s="1"/>
  <c r="N77" i="15" s="1" a="1"/>
  <c r="N77" i="15" s="1"/>
  <c r="O41" i="1"/>
  <c r="M41" i="15" s="1"/>
  <c r="N41" i="15" s="1" a="1"/>
  <c r="N41" i="15" s="1"/>
  <c r="O148" i="1"/>
  <c r="M148" i="15" s="1"/>
  <c r="N148" i="15" s="1" a="1"/>
  <c r="N148" i="15" s="1"/>
  <c r="O112" i="1"/>
  <c r="M112" i="15" s="1"/>
  <c r="N112" i="15" s="1" a="1"/>
  <c r="N112" i="15" s="1"/>
  <c r="O21" i="1"/>
  <c r="M21" i="15" s="1"/>
  <c r="N21" i="15" s="1" a="1"/>
  <c r="N21" i="15" s="1"/>
  <c r="O135" i="1"/>
  <c r="M135" i="15" s="1"/>
  <c r="N135" i="15" s="1" a="1"/>
  <c r="N135" i="15" s="1"/>
  <c r="O75" i="1"/>
  <c r="M75" i="15" s="1"/>
  <c r="N75" i="15" s="1" a="1"/>
  <c r="N75" i="15" s="1"/>
  <c r="O81" i="1"/>
  <c r="M81" i="15" s="1"/>
  <c r="N81" i="15" s="1" a="1"/>
  <c r="N81" i="15" s="1"/>
  <c r="O45" i="1"/>
  <c r="M45" i="15" s="1"/>
  <c r="N45" i="15" s="1" a="1"/>
  <c r="N45" i="15" s="1"/>
  <c r="O9" i="1"/>
  <c r="M9" i="15" s="1"/>
  <c r="N9" i="15" s="1" a="1"/>
  <c r="N9" i="15" s="1"/>
  <c r="O100" i="1"/>
  <c r="M100" i="15" s="1"/>
  <c r="N100" i="15" s="1" a="1"/>
  <c r="N100" i="15" s="1"/>
  <c r="O52" i="1"/>
  <c r="M52" i="15" s="1"/>
  <c r="N52" i="15" s="1" a="1"/>
  <c r="N52" i="15" s="1"/>
  <c r="O19" i="1"/>
  <c r="M19" i="15" s="1"/>
  <c r="N19" i="15" s="1" a="1"/>
  <c r="N19" i="15" s="1"/>
  <c r="O145" i="1"/>
  <c r="M145" i="15" s="1"/>
  <c r="N145" i="15" s="1" a="1"/>
  <c r="N145" i="15" s="1"/>
  <c r="O109" i="1"/>
  <c r="M109" i="15" s="1"/>
  <c r="N109" i="15" s="1" a="1"/>
  <c r="N109" i="15" s="1"/>
  <c r="O67" i="1"/>
  <c r="M67" i="15" s="1"/>
  <c r="N67" i="15" s="1" a="1"/>
  <c r="N67" i="15" s="1"/>
  <c r="O6" i="1"/>
  <c r="M6" i="15" s="1"/>
  <c r="N6" i="15" s="1" a="1"/>
  <c r="N6" i="15" s="1"/>
  <c r="O132" i="1"/>
  <c r="M132" i="15" s="1"/>
  <c r="N132" i="15" s="1" a="1"/>
  <c r="N132" i="15" s="1"/>
  <c r="O84" i="1"/>
  <c r="M84" i="15" s="1"/>
  <c r="N84" i="15" s="1" a="1"/>
  <c r="N84" i="15" s="1"/>
  <c r="O48" i="1"/>
  <c r="M48" i="15" s="1"/>
  <c r="N48" i="15" s="1" a="1"/>
  <c r="N48" i="15" s="1"/>
  <c r="O17" i="1"/>
  <c r="M17" i="15" s="1"/>
  <c r="N17" i="15" s="1" a="1"/>
  <c r="N17" i="15" s="1"/>
  <c r="O143" i="1"/>
  <c r="M143" i="15" s="1"/>
  <c r="N143" i="15" s="1" a="1"/>
  <c r="N143" i="15" s="1"/>
  <c r="O107" i="1"/>
  <c r="M107" i="15" s="1"/>
  <c r="N107" i="15" s="1" a="1"/>
  <c r="N107" i="15" s="1"/>
  <c r="O71" i="1"/>
  <c r="M71" i="15" s="1"/>
  <c r="N71" i="15" s="1" a="1"/>
  <c r="N71" i="15" s="1"/>
  <c r="O142" i="1"/>
  <c r="M142" i="15" s="1"/>
  <c r="N142" i="15" s="1" a="1"/>
  <c r="N142" i="15" s="1"/>
  <c r="O106" i="1"/>
  <c r="M106" i="15" s="1"/>
  <c r="N106" i="15" s="1" a="1"/>
  <c r="N106" i="15" s="1"/>
  <c r="O3" i="1"/>
  <c r="M3" i="15" s="1"/>
  <c r="N3" i="15" s="1" a="1"/>
  <c r="N3" i="15" s="1"/>
  <c r="O129" i="1"/>
  <c r="M129" i="15" s="1"/>
  <c r="N129" i="15" s="1" a="1"/>
  <c r="N129" i="15" s="1"/>
  <c r="O57" i="1"/>
  <c r="M57" i="15" s="1"/>
  <c r="N57" i="15" s="1" a="1"/>
  <c r="N57" i="15" s="1"/>
  <c r="O28" i="1"/>
  <c r="M28" i="15" s="1"/>
  <c r="N28" i="15" s="1" a="1"/>
  <c r="N28" i="15" s="1"/>
  <c r="O96" i="1"/>
  <c r="M96" i="15" s="1"/>
  <c r="N96" i="15" s="1" a="1"/>
  <c r="N96" i="15" s="1"/>
  <c r="O13" i="1"/>
  <c r="M13" i="15" s="1"/>
  <c r="N13" i="15" s="1" a="1"/>
  <c r="N13" i="15" s="1"/>
  <c r="O139" i="1"/>
  <c r="M139" i="15" s="1"/>
  <c r="N139" i="15" s="1" a="1"/>
  <c r="N139" i="15" s="1"/>
  <c r="O103" i="1"/>
  <c r="M103" i="15" s="1"/>
  <c r="N103" i="15" s="1" a="1"/>
  <c r="N103" i="15" s="1"/>
  <c r="O61" i="1"/>
  <c r="M61" i="15" s="1"/>
  <c r="N61" i="15" s="1" a="1"/>
  <c r="N61" i="15" s="1"/>
  <c r="O2" i="1"/>
  <c r="M2" i="15" s="1"/>
  <c r="N2" i="15" s="1" a="1"/>
  <c r="N2" i="15" s="1"/>
  <c r="O162" i="1"/>
  <c r="M162" i="15" s="1"/>
  <c r="N162" i="15" s="1" a="1"/>
  <c r="N162" i="15" s="1"/>
  <c r="O126" i="1"/>
  <c r="M126" i="15" s="1"/>
  <c r="N126" i="15" s="1" a="1"/>
  <c r="N126" i="15" s="1"/>
  <c r="O78" i="1"/>
  <c r="M78" i="15" s="1"/>
  <c r="N78" i="15" s="1" a="1"/>
  <c r="N78" i="15" s="1"/>
  <c r="O42" i="1"/>
  <c r="M42" i="15" s="1"/>
  <c r="N42" i="15" s="1" a="1"/>
  <c r="N42" i="15" s="1"/>
  <c r="O11" i="1"/>
  <c r="M11" i="15" s="1"/>
  <c r="N11" i="15" s="1" a="1"/>
  <c r="N11" i="15" s="1"/>
  <c r="O137" i="1"/>
  <c r="M137" i="15" s="1"/>
  <c r="N137" i="15" s="1" a="1"/>
  <c r="N137" i="15" s="1"/>
  <c r="O101" i="1"/>
  <c r="M101" i="15" s="1"/>
  <c r="N101" i="15" s="1" a="1"/>
  <c r="N101" i="15" s="1"/>
  <c r="O65" i="1"/>
  <c r="M65" i="15" s="1"/>
  <c r="N65" i="15" s="1" a="1"/>
  <c r="N65" i="15" s="1"/>
  <c r="O136" i="1"/>
  <c r="M136" i="15" s="1"/>
  <c r="N136" i="15" s="1" a="1"/>
  <c r="N136" i="15" s="1"/>
  <c r="O76" i="1"/>
  <c r="M76" i="15" s="1"/>
  <c r="N76" i="15" s="1" a="1"/>
  <c r="N76" i="15" s="1"/>
  <c r="O159" i="1"/>
  <c r="M159" i="15" s="1"/>
  <c r="N159" i="15" s="1" a="1"/>
  <c r="N159" i="15" s="1"/>
  <c r="O123" i="1"/>
  <c r="M123" i="15" s="1"/>
  <c r="N123" i="15" s="1" a="1"/>
  <c r="N123" i="15" s="1"/>
  <c r="O39" i="1"/>
  <c r="M39" i="15" s="1"/>
  <c r="N39" i="15" s="1" a="1"/>
  <c r="N39" i="15" s="1"/>
  <c r="O69" i="1"/>
  <c r="M69" i="15" s="1"/>
  <c r="N69" i="15" s="1" a="1"/>
  <c r="N69" i="15" s="1"/>
  <c r="O33" i="1"/>
  <c r="M33" i="15" s="1"/>
  <c r="N33" i="15" s="1" a="1"/>
  <c r="N33" i="15" s="1"/>
  <c r="O46" i="1"/>
  <c r="M46" i="15" s="1"/>
  <c r="N46" i="15" s="1" a="1"/>
  <c r="N46" i="15" s="1"/>
  <c r="O90" i="1"/>
  <c r="M90" i="15" s="1"/>
  <c r="N90" i="15" s="1" a="1"/>
  <c r="N90" i="15" s="1"/>
  <c r="O88" i="1"/>
  <c r="M88" i="15" s="1"/>
  <c r="N88" i="15" s="1" a="1"/>
  <c r="N88" i="15" s="1"/>
  <c r="O7" i="1"/>
  <c r="M7" i="15" s="1"/>
  <c r="N7" i="15" s="1" a="1"/>
  <c r="N7" i="15" s="1"/>
  <c r="O133" i="1"/>
  <c r="M133" i="15" s="1"/>
  <c r="N133" i="15" s="1" a="1"/>
  <c r="N133" i="15" s="1"/>
  <c r="O91" i="1"/>
  <c r="M91" i="15" s="1"/>
  <c r="N91" i="15" s="1" a="1"/>
  <c r="N91" i="15" s="1"/>
  <c r="O55" i="1"/>
  <c r="M55" i="15" s="1"/>
  <c r="N55" i="15" s="1" a="1"/>
  <c r="N55" i="15" s="1"/>
  <c r="O30" i="1"/>
  <c r="M30" i="15" s="1"/>
  <c r="N30" i="15" s="1" a="1"/>
  <c r="N30" i="15" s="1"/>
  <c r="O156" i="1"/>
  <c r="M156" i="15" s="1"/>
  <c r="N156" i="15" s="1" a="1"/>
  <c r="N156" i="15" s="1"/>
  <c r="O120" i="1"/>
  <c r="M120" i="15" s="1"/>
  <c r="N120" i="15" s="1" a="1"/>
  <c r="N120" i="15" s="1"/>
  <c r="O72" i="1"/>
  <c r="M72" i="15" s="1"/>
  <c r="N72" i="15" s="1" a="1"/>
  <c r="N72" i="15" s="1"/>
  <c r="O36" i="1"/>
  <c r="M36" i="15" s="1"/>
  <c r="N36" i="15" s="1" a="1"/>
  <c r="N36" i="15" s="1"/>
  <c r="O5" i="1"/>
  <c r="M5" i="15" s="1"/>
  <c r="N5" i="15" s="1" a="1"/>
  <c r="N5" i="15" s="1"/>
  <c r="O131" i="1"/>
  <c r="M131" i="15" s="1"/>
  <c r="N131" i="15" s="1" a="1"/>
  <c r="N131" i="15" s="1"/>
  <c r="O95" i="1"/>
  <c r="M95" i="15" s="1"/>
  <c r="N95" i="15" s="1" a="1"/>
  <c r="N95" i="15" s="1"/>
  <c r="O59" i="1"/>
  <c r="M59" i="15" s="1"/>
  <c r="N59" i="15" s="1" a="1"/>
  <c r="N59" i="15" s="1"/>
  <c r="O4" i="1"/>
  <c r="M4" i="15" s="1"/>
  <c r="N4" i="15" s="1" a="1"/>
  <c r="N4" i="15" s="1"/>
  <c r="O130" i="1"/>
  <c r="M130" i="15" s="1"/>
  <c r="N130" i="15" s="1" a="1"/>
  <c r="N130" i="15" s="1"/>
  <c r="O58" i="1"/>
  <c r="M58" i="15" s="1"/>
  <c r="N58" i="15" s="1" a="1"/>
  <c r="N58" i="15" s="1"/>
  <c r="O153" i="1"/>
  <c r="M153" i="15" s="1"/>
  <c r="N153" i="15" s="1" a="1"/>
  <c r="N153" i="15" s="1"/>
  <c r="O117" i="1"/>
  <c r="M117" i="15" s="1"/>
  <c r="N117" i="15" s="1" a="1"/>
  <c r="N117" i="15" s="1"/>
  <c r="O16" i="1"/>
  <c r="M16" i="15" s="1"/>
  <c r="N16" i="15" s="1" a="1"/>
  <c r="N16" i="15" s="1"/>
  <c r="O99" i="1"/>
  <c r="M99" i="15" s="1"/>
  <c r="N99" i="15" s="1" a="1"/>
  <c r="N99" i="15" s="1"/>
  <c r="O63" i="1"/>
  <c r="M63" i="15" s="1"/>
  <c r="N63" i="15" s="1" a="1"/>
  <c r="N63" i="15" s="1"/>
  <c r="O27" i="1"/>
  <c r="M27" i="15" s="1"/>
  <c r="N27" i="15" s="1" a="1"/>
  <c r="N27" i="15" s="1"/>
  <c r="O10" i="1"/>
  <c r="M10" i="15" s="1"/>
  <c r="N10" i="15" s="1" a="1"/>
  <c r="N10" i="15" s="1"/>
  <c r="O64" i="1"/>
  <c r="M64" i="15" s="1"/>
  <c r="N64" i="15" s="1" a="1"/>
  <c r="N64" i="15" s="1"/>
  <c r="O163" i="1"/>
  <c r="M163" i="15" s="1"/>
  <c r="N163" i="15" s="1" a="1"/>
  <c r="N163" i="15" s="1"/>
  <c r="O127" i="1"/>
  <c r="M127" i="15" s="1"/>
  <c r="N127" i="15" s="1" a="1"/>
  <c r="N127" i="15" s="1"/>
  <c r="O85" i="1"/>
  <c r="M85" i="15" s="1"/>
  <c r="N85" i="15" s="1" a="1"/>
  <c r="N85" i="15" s="1"/>
  <c r="O49" i="1"/>
  <c r="M49" i="15" s="1"/>
  <c r="N49" i="15" s="1" a="1"/>
  <c r="N49" i="15" s="1"/>
  <c r="O24" i="1"/>
  <c r="M24" i="15" s="1"/>
  <c r="N24" i="15" s="1" a="1"/>
  <c r="N24" i="15" s="1"/>
  <c r="O150" i="1"/>
  <c r="M150" i="15" s="1"/>
  <c r="N150" i="15" s="1" a="1"/>
  <c r="N150" i="15" s="1"/>
  <c r="O114" i="1"/>
  <c r="M114" i="15" s="1"/>
  <c r="N114" i="15" s="1" a="1"/>
  <c r="N114" i="15" s="1"/>
  <c r="O66" i="1"/>
  <c r="M66" i="15" s="1"/>
  <c r="N66" i="15" s="1" a="1"/>
  <c r="N66" i="15" s="1"/>
  <c r="O35" i="1"/>
  <c r="M35" i="15" s="1"/>
  <c r="N35" i="15" s="1" a="1"/>
  <c r="N35" i="15" s="1"/>
  <c r="O161" i="1"/>
  <c r="M161" i="15" s="1"/>
  <c r="N161" i="15" s="1" a="1"/>
  <c r="N161" i="15" s="1"/>
  <c r="O125" i="1"/>
  <c r="M125" i="15" s="1"/>
  <c r="N125" i="15" s="1" a="1"/>
  <c r="N125" i="15" s="1"/>
  <c r="O89" i="1"/>
  <c r="M89" i="15" s="1"/>
  <c r="N89" i="15" s="1" a="1"/>
  <c r="N89" i="15" s="1"/>
  <c r="O53" i="1"/>
  <c r="M53" i="15" s="1"/>
  <c r="N53" i="15" s="1" a="1"/>
  <c r="N53" i="15" s="1"/>
  <c r="O160" i="1"/>
  <c r="M160" i="15" s="1"/>
  <c r="N160" i="15" s="1" a="1"/>
  <c r="N160" i="15" s="1"/>
  <c r="O124" i="1"/>
  <c r="M124" i="15" s="1"/>
  <c r="N124" i="15" s="1" a="1"/>
  <c r="N124" i="15" s="1"/>
  <c r="O40" i="1"/>
  <c r="M40" i="15" s="1"/>
  <c r="N40" i="15" s="1" a="1"/>
  <c r="N40" i="15" s="1"/>
  <c r="O147" i="1"/>
  <c r="M147" i="15" s="1"/>
  <c r="N147" i="15" s="1" a="1"/>
  <c r="N147" i="15" s="1"/>
  <c r="O111" i="1"/>
  <c r="M111" i="15" s="1"/>
  <c r="N111" i="15" s="1" a="1"/>
  <c r="N111" i="15" s="1"/>
  <c r="O93" i="1"/>
  <c r="M93" i="15" s="1"/>
  <c r="N93" i="15" s="1" a="1"/>
  <c r="N93" i="15" s="1"/>
  <c r="O82" i="1"/>
  <c r="M82" i="15" s="1"/>
  <c r="N82" i="15" s="1" a="1"/>
  <c r="N82" i="15" s="1"/>
  <c r="O97" i="1"/>
  <c r="M97" i="15" s="1"/>
  <c r="N97" i="15" s="1" a="1"/>
  <c r="N97" i="15" s="1"/>
  <c r="O94" i="1"/>
  <c r="M94" i="15" s="1"/>
  <c r="N94" i="15" s="1" a="1"/>
  <c r="N94" i="15" s="1"/>
  <c r="O34" i="1"/>
  <c r="M34" i="15" s="1"/>
  <c r="N34" i="15" s="1" a="1"/>
  <c r="N34" i="15" s="1"/>
  <c r="O31" i="1"/>
  <c r="M31" i="15" s="1"/>
  <c r="N31" i="15" s="1" a="1"/>
  <c r="N31" i="15" s="1"/>
  <c r="O157" i="1"/>
  <c r="M157" i="15" s="1"/>
  <c r="N157" i="15" s="1" a="1"/>
  <c r="N157" i="15" s="1"/>
  <c r="O121" i="1"/>
  <c r="M121" i="15" s="1"/>
  <c r="N121" i="15" s="1" a="1"/>
  <c r="N121" i="15" s="1"/>
  <c r="O79" i="1"/>
  <c r="M79" i="15" s="1"/>
  <c r="N79" i="15" s="1" a="1"/>
  <c r="N79" i="15" s="1"/>
  <c r="O43" i="1"/>
  <c r="M43" i="15" s="1"/>
  <c r="N43" i="15" s="1" a="1"/>
  <c r="N43" i="15" s="1"/>
  <c r="O18" i="1"/>
  <c r="M18" i="15" s="1"/>
  <c r="N18" i="15" s="1" a="1"/>
  <c r="N18" i="15" s="1"/>
  <c r="O144" i="1"/>
  <c r="M144" i="15" s="1"/>
  <c r="N144" i="15" s="1" a="1"/>
  <c r="N144" i="15" s="1"/>
  <c r="O108" i="1"/>
  <c r="M108" i="15" s="1"/>
  <c r="N108" i="15" s="1" a="1"/>
  <c r="N108" i="15" s="1"/>
  <c r="O60" i="1"/>
  <c r="M60" i="15" s="1"/>
  <c r="N60" i="15" s="1" a="1"/>
  <c r="N60" i="15" s="1"/>
  <c r="O29" i="1"/>
  <c r="M29" i="15" s="1"/>
  <c r="N29" i="15" s="1" a="1"/>
  <c r="N29" i="15" s="1"/>
  <c r="O155" i="1"/>
  <c r="M155" i="15" s="1"/>
  <c r="N155" i="15" s="1" a="1"/>
  <c r="N155" i="15" s="1"/>
  <c r="O119" i="1"/>
  <c r="M119" i="15" s="1"/>
  <c r="N119" i="15" s="1" a="1"/>
  <c r="N119" i="15" s="1"/>
  <c r="O83" i="1"/>
  <c r="M83" i="15" s="1"/>
  <c r="N83" i="15" s="1" a="1"/>
  <c r="N83" i="15" s="1"/>
  <c r="O47" i="1"/>
  <c r="M47" i="15" s="1"/>
  <c r="N47" i="15" s="1" a="1"/>
  <c r="N47" i="15" s="1"/>
  <c r="O154" i="1"/>
  <c r="M154" i="15" s="1"/>
  <c r="N154" i="15" s="1" a="1"/>
  <c r="N154" i="15" s="1"/>
  <c r="O118" i="1"/>
  <c r="M118" i="15" s="1"/>
  <c r="N118" i="15" s="1" a="1"/>
  <c r="N118" i="15" s="1"/>
  <c r="O141" i="1"/>
  <c r="M141" i="15" s="1"/>
  <c r="N141" i="15" s="1" a="1"/>
  <c r="N141" i="15" s="1"/>
  <c r="O105" i="1"/>
  <c r="M105" i="15" s="1"/>
  <c r="N105" i="15" s="1" a="1"/>
  <c r="N105" i="15" s="1"/>
  <c r="AC2" i="4"/>
  <c r="O22" i="1" s="1"/>
  <c r="M22" i="15" s="1"/>
  <c r="N22" i="15" s="1" a="1"/>
  <c r="N22" i="15" s="1"/>
  <c r="D38" i="1" a="1"/>
  <c r="D38" i="1" s="1"/>
  <c r="I38" i="15" s="1"/>
  <c r="D36" i="1" a="1"/>
  <c r="D36" i="1" s="1"/>
  <c r="I36" i="15" s="1"/>
  <c r="D37" i="1" a="1"/>
  <c r="D37" i="1" s="1"/>
  <c r="I37" i="15" s="1"/>
  <c r="K45" i="4"/>
  <c r="K51" i="4"/>
  <c r="K44" i="4"/>
  <c r="K43" i="4"/>
  <c r="K49" i="4"/>
  <c r="K55" i="4"/>
  <c r="K61" i="4"/>
  <c r="K67" i="4"/>
  <c r="K73" i="4"/>
  <c r="K48" i="4"/>
  <c r="K54" i="4"/>
  <c r="K47" i="4"/>
  <c r="K53" i="4"/>
  <c r="K46" i="4"/>
  <c r="K52" i="4"/>
  <c r="K59" i="4"/>
  <c r="K50" i="4"/>
  <c r="K57" i="4"/>
  <c r="K62" i="4"/>
  <c r="K64" i="4"/>
  <c r="K66" i="4"/>
  <c r="K78" i="4"/>
  <c r="K84" i="4"/>
  <c r="K58" i="4"/>
  <c r="K60" i="4"/>
  <c r="K77" i="4"/>
  <c r="K76" i="4"/>
  <c r="K82" i="4"/>
  <c r="K69" i="4"/>
  <c r="K71" i="4"/>
  <c r="K75" i="4"/>
  <c r="K81" i="4"/>
  <c r="K87" i="4"/>
  <c r="K90" i="4"/>
  <c r="K96" i="4"/>
  <c r="K102" i="4"/>
  <c r="K108" i="4"/>
  <c r="K114" i="4"/>
  <c r="K56" i="4"/>
  <c r="K63" i="4"/>
  <c r="K65" i="4"/>
  <c r="K7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68" i="4"/>
  <c r="K70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72" i="4"/>
  <c r="K83" i="4"/>
  <c r="K92" i="4"/>
  <c r="K107" i="4"/>
  <c r="K99" i="4"/>
  <c r="K106" i="4"/>
  <c r="K98" i="4"/>
  <c r="K97" i="4"/>
  <c r="K110" i="4"/>
  <c r="B2" i="8"/>
  <c r="I87" i="8"/>
  <c r="Q93" i="1" a="1"/>
  <c r="Q93" i="1" s="1"/>
  <c r="S93" i="15" s="1"/>
  <c r="F71" i="1" a="1"/>
  <c r="F71" i="1" s="1"/>
  <c r="R71" i="15" s="1"/>
  <c r="F48" i="1" a="1"/>
  <c r="F48" i="1" s="1"/>
  <c r="R48" i="15" s="1"/>
  <c r="F85" i="1" a="1"/>
  <c r="F85" i="1" s="1"/>
  <c r="R85" i="15" s="1"/>
  <c r="F76" i="1" a="1"/>
  <c r="F76" i="1" s="1"/>
  <c r="R76" i="15" s="1"/>
  <c r="F31" i="1" a="1"/>
  <c r="F31" i="1" s="1"/>
  <c r="R31" i="15" s="1"/>
  <c r="F63" i="1" a="1"/>
  <c r="F63" i="1" s="1"/>
  <c r="R63" i="15" s="1"/>
  <c r="F68" i="1" a="1"/>
  <c r="F68" i="1" s="1"/>
  <c r="R68" i="15" s="1"/>
  <c r="F60" i="1" a="1"/>
  <c r="F60" i="1" s="1"/>
  <c r="R60" i="15" s="1"/>
  <c r="F18" i="1" a="1"/>
  <c r="F18" i="1" s="1"/>
  <c r="R18" i="15" s="1"/>
  <c r="J2" i="1" a="1"/>
  <c r="J2" i="1" s="1"/>
  <c r="F2" i="1" a="1"/>
  <c r="F2" i="1" s="1"/>
  <c r="R2" i="15" s="1"/>
  <c r="F52" i="1" a="1"/>
  <c r="F52" i="1" s="1"/>
  <c r="R52" i="15" s="1"/>
  <c r="F95" i="1" a="1"/>
  <c r="F95" i="1" s="1"/>
  <c r="R95" i="15" s="1"/>
  <c r="F19" i="1" a="1"/>
  <c r="F19" i="1" s="1"/>
  <c r="R19" i="15" s="1"/>
  <c r="F8" i="1" a="1"/>
  <c r="F8" i="1" s="1"/>
  <c r="R8" i="15" s="1"/>
  <c r="H11" i="1" a="1"/>
  <c r="H11" i="1" s="1"/>
  <c r="J11" i="15" s="1"/>
  <c r="Q98" i="1" a="1"/>
  <c r="Q98" i="1" s="1"/>
  <c r="S98" i="15" s="1"/>
  <c r="Q88" i="1" a="1"/>
  <c r="Q88" i="1" s="1"/>
  <c r="S88" i="15" s="1"/>
  <c r="Q37" i="1" a="1"/>
  <c r="Q37" i="1" s="1"/>
  <c r="S37" i="15" s="1"/>
  <c r="Q87" i="1" a="1"/>
  <c r="Q87" i="1" s="1"/>
  <c r="S87" i="15" s="1"/>
  <c r="Q103" i="1" a="1"/>
  <c r="Q103" i="1" s="1"/>
  <c r="S103" i="15" s="1"/>
  <c r="Q40" i="1" a="1"/>
  <c r="Q40" i="1" s="1"/>
  <c r="S40" i="15" s="1"/>
  <c r="P104" i="1" a="1"/>
  <c r="P104" i="1" s="1"/>
  <c r="F66" i="1" a="1"/>
  <c r="F66" i="1" s="1"/>
  <c r="R66" i="15" s="1"/>
  <c r="F98" i="1" a="1"/>
  <c r="F98" i="1" s="1"/>
  <c r="R98" i="15" s="1"/>
  <c r="F72" i="1" a="1"/>
  <c r="F72" i="1" s="1"/>
  <c r="R72" i="15" s="1"/>
  <c r="F92" i="1" a="1"/>
  <c r="F92" i="1" s="1"/>
  <c r="R92" i="15" s="1"/>
  <c r="F77" i="1" a="1"/>
  <c r="F77" i="1" s="1"/>
  <c r="R77" i="15" s="1"/>
  <c r="J8" i="1" a="1"/>
  <c r="J8" i="1" s="1"/>
  <c r="F22" i="1" a="1"/>
  <c r="F22" i="1" s="1"/>
  <c r="R22" i="15" s="1"/>
  <c r="F87" i="1" a="1"/>
  <c r="F87" i="1" s="1"/>
  <c r="R87" i="15" s="1"/>
  <c r="F89" i="1" a="1"/>
  <c r="F89" i="1" s="1"/>
  <c r="R89" i="15" s="1"/>
  <c r="F15" i="1" a="1"/>
  <c r="F15" i="1" s="1"/>
  <c r="R15" i="15" s="1"/>
  <c r="F29" i="1" a="1"/>
  <c r="F29" i="1" s="1"/>
  <c r="R29" i="15" s="1"/>
  <c r="D8" i="1" a="1"/>
  <c r="D8" i="1" s="1"/>
  <c r="I8" i="15" s="1"/>
  <c r="F88" i="1" a="1"/>
  <c r="F88" i="1" s="1"/>
  <c r="R88" i="15" s="1"/>
  <c r="F51" i="1" a="1"/>
  <c r="F51" i="1" s="1"/>
  <c r="R51" i="15" s="1"/>
  <c r="F83" i="1" a="1"/>
  <c r="F83" i="1" s="1"/>
  <c r="R83" i="15" s="1"/>
  <c r="Q90" i="1" a="1"/>
  <c r="Q90" i="1" s="1"/>
  <c r="S90" i="15" s="1"/>
  <c r="P108" i="1" a="1"/>
  <c r="P108" i="1" s="1"/>
  <c r="P113" i="1" a="1"/>
  <c r="P113" i="1" s="1"/>
  <c r="P121" i="1" a="1"/>
  <c r="P121" i="1" s="1"/>
  <c r="P125" i="1" a="1"/>
  <c r="P125" i="1" s="1"/>
  <c r="P130" i="1" a="1"/>
  <c r="P130" i="1" s="1"/>
  <c r="P134" i="1" a="1"/>
  <c r="P134" i="1" s="1"/>
  <c r="P142" i="1" a="1"/>
  <c r="P142" i="1" s="1"/>
  <c r="P154" i="1" a="1"/>
  <c r="P154" i="1" s="1"/>
  <c r="P158" i="1" a="1"/>
  <c r="P158" i="1" s="1"/>
  <c r="P162" i="1" a="1"/>
  <c r="P162" i="1" s="1"/>
  <c r="P167" i="1" a="1"/>
  <c r="P167" i="1" s="1"/>
  <c r="Q108" i="1" a="1"/>
  <c r="Q108" i="1" s="1"/>
  <c r="S108" i="15" s="1"/>
  <c r="Q112" i="1" a="1"/>
  <c r="Q112" i="1" s="1"/>
  <c r="S112" i="15" s="1"/>
  <c r="Q117" i="1" a="1"/>
  <c r="Q117" i="1" s="1"/>
  <c r="S117" i="15" s="1"/>
  <c r="Q121" i="1" a="1"/>
  <c r="Q121" i="1" s="1"/>
  <c r="S121" i="15" s="1"/>
  <c r="Q126" i="1" a="1"/>
  <c r="Q126" i="1" s="1"/>
  <c r="S126" i="15" s="1"/>
  <c r="Q130" i="1" a="1"/>
  <c r="Q130" i="1" s="1"/>
  <c r="S130" i="15" s="1"/>
  <c r="Q135" i="1" a="1"/>
  <c r="Q135" i="1" s="1"/>
  <c r="S135" i="15" s="1"/>
  <c r="Q139" i="1" a="1"/>
  <c r="Q139" i="1" s="1"/>
  <c r="S139" i="15" s="1"/>
  <c r="Q144" i="1" a="1"/>
  <c r="Q144" i="1" s="1"/>
  <c r="S144" i="15" s="1"/>
  <c r="Q152" i="1" a="1"/>
  <c r="Q152" i="1" s="1"/>
  <c r="S152" i="15" s="1"/>
  <c r="Q156" i="1" a="1"/>
  <c r="Q156" i="1" s="1"/>
  <c r="S156" i="15" s="1"/>
  <c r="Q160" i="1" a="1"/>
  <c r="Q160" i="1" s="1"/>
  <c r="S160" i="15" s="1"/>
  <c r="Q165" i="1" a="1"/>
  <c r="Q165" i="1" s="1"/>
  <c r="S165" i="15" s="1"/>
  <c r="P109" i="1" a="1"/>
  <c r="P109" i="1" s="1"/>
  <c r="P117" i="1" a="1"/>
  <c r="P117" i="1" s="1"/>
  <c r="P122" i="1" a="1"/>
  <c r="P122" i="1" s="1"/>
  <c r="P138" i="1" a="1"/>
  <c r="P138" i="1" s="1"/>
  <c r="P146" i="1" a="1"/>
  <c r="P146" i="1" s="1"/>
  <c r="P150" i="1" a="1"/>
  <c r="P150" i="1" s="1"/>
  <c r="P163" i="1" a="1"/>
  <c r="P163" i="1" s="1"/>
  <c r="Q113" i="1" a="1"/>
  <c r="Q113" i="1" s="1"/>
  <c r="S113" i="15" s="1"/>
  <c r="Q118" i="1" a="1"/>
  <c r="Q118" i="1" s="1"/>
  <c r="S118" i="15" s="1"/>
  <c r="Q122" i="1" a="1"/>
  <c r="Q122" i="1" s="1"/>
  <c r="S122" i="15" s="1"/>
  <c r="Q131" i="1" a="1"/>
  <c r="Q131" i="1" s="1"/>
  <c r="S131" i="15" s="1"/>
  <c r="Q136" i="1" a="1"/>
  <c r="Q136" i="1" s="1"/>
  <c r="S136" i="15" s="1"/>
  <c r="Q140" i="1" a="1"/>
  <c r="Q140" i="1" s="1"/>
  <c r="S140" i="15" s="1"/>
  <c r="Q148" i="1" a="1"/>
  <c r="Q148" i="1" s="1"/>
  <c r="S148" i="15" s="1"/>
  <c r="Q153" i="1" a="1"/>
  <c r="Q153" i="1" s="1"/>
  <c r="S153" i="15" s="1"/>
  <c r="Q161" i="1" a="1"/>
  <c r="Q161" i="1" s="1"/>
  <c r="S161" i="15" s="1"/>
  <c r="O166" i="1"/>
  <c r="M166" i="15" s="1"/>
  <c r="N166" i="15" s="1" a="1"/>
  <c r="N166" i="15" s="1"/>
  <c r="M3" i="1" a="1"/>
  <c r="M3" i="1" s="1"/>
  <c r="M6" i="1" a="1"/>
  <c r="M6" i="1" s="1"/>
  <c r="M9" i="1" a="1"/>
  <c r="M9" i="1" s="1"/>
  <c r="M12" i="1" a="1"/>
  <c r="M12" i="1" s="1"/>
  <c r="P114" i="1" a="1"/>
  <c r="P114" i="1" s="1"/>
  <c r="P118" i="1" a="1"/>
  <c r="P118" i="1" s="1"/>
  <c r="P126" i="1" a="1"/>
  <c r="P126" i="1" s="1"/>
  <c r="P131" i="1" a="1"/>
  <c r="P131" i="1" s="1"/>
  <c r="P135" i="1" a="1"/>
  <c r="P135" i="1" s="1"/>
  <c r="P139" i="1" a="1"/>
  <c r="P139" i="1" s="1"/>
  <c r="P143" i="1" a="1"/>
  <c r="P143" i="1" s="1"/>
  <c r="P147" i="1" a="1"/>
  <c r="P147" i="1" s="1"/>
  <c r="P151" i="1" a="1"/>
  <c r="P151" i="1" s="1"/>
  <c r="P155" i="1" a="1"/>
  <c r="P155" i="1" s="1"/>
  <c r="P159" i="1" a="1"/>
  <c r="P159" i="1" s="1"/>
  <c r="P168" i="1" a="1"/>
  <c r="P168" i="1" s="1"/>
  <c r="Q109" i="1" a="1"/>
  <c r="Q109" i="1" s="1"/>
  <c r="S109" i="15" s="1"/>
  <c r="Q119" i="1" a="1"/>
  <c r="Q119" i="1" s="1"/>
  <c r="S119" i="15" s="1"/>
  <c r="Q127" i="1" a="1"/>
  <c r="Q127" i="1" s="1"/>
  <c r="S127" i="15" s="1"/>
  <c r="Q137" i="1" a="1"/>
  <c r="Q137" i="1" s="1"/>
  <c r="S137" i="15" s="1"/>
  <c r="Q145" i="1" a="1"/>
  <c r="Q145" i="1" s="1"/>
  <c r="S145" i="15" s="1"/>
  <c r="Q149" i="1" a="1"/>
  <c r="Q149" i="1" s="1"/>
  <c r="S149" i="15" s="1"/>
  <c r="Q157" i="1" a="1"/>
  <c r="Q157" i="1" s="1"/>
  <c r="S157" i="15" s="1"/>
  <c r="Q162" i="1" a="1"/>
  <c r="Q162" i="1" s="1"/>
  <c r="S162" i="15" s="1"/>
  <c r="Q166" i="1" a="1"/>
  <c r="Q166" i="1" s="1"/>
  <c r="S166" i="15" s="1"/>
  <c r="O167" i="1"/>
  <c r="M167" i="15" s="1"/>
  <c r="N167" i="15" s="1" a="1"/>
  <c r="N167" i="15" s="1"/>
  <c r="P106" i="1" a="1"/>
  <c r="P106" i="1" s="1"/>
  <c r="P110" i="1" a="1"/>
  <c r="P110" i="1" s="1"/>
  <c r="P115" i="1" a="1"/>
  <c r="P115" i="1" s="1"/>
  <c r="P123" i="1" a="1"/>
  <c r="P123" i="1" s="1"/>
  <c r="P127" i="1" a="1"/>
  <c r="P127" i="1" s="1"/>
  <c r="P132" i="1" a="1"/>
  <c r="P132" i="1" s="1"/>
  <c r="P136" i="1" a="1"/>
  <c r="P136" i="1" s="1"/>
  <c r="P140" i="1" a="1"/>
  <c r="P140" i="1" s="1"/>
  <c r="P148" i="1" a="1"/>
  <c r="P148" i="1" s="1"/>
  <c r="P160" i="1" a="1"/>
  <c r="P160" i="1" s="1"/>
  <c r="P164" i="1" a="1"/>
  <c r="P164" i="1" s="1"/>
  <c r="Q110" i="1" a="1"/>
  <c r="Q110" i="1" s="1"/>
  <c r="S110" i="15" s="1"/>
  <c r="Q114" i="1" a="1"/>
  <c r="Q114" i="1" s="1"/>
  <c r="S114" i="15" s="1"/>
  <c r="Q123" i="1" a="1"/>
  <c r="Q123" i="1" s="1"/>
  <c r="S123" i="15" s="1"/>
  <c r="Q128" i="1" a="1"/>
  <c r="Q128" i="1" s="1"/>
  <c r="S128" i="15" s="1"/>
  <c r="Q132" i="1" a="1"/>
  <c r="Q132" i="1" s="1"/>
  <c r="S132" i="15" s="1"/>
  <c r="Q141" i="1" a="1"/>
  <c r="Q141" i="1" s="1"/>
  <c r="S141" i="15" s="1"/>
  <c r="Q146" i="1" a="1"/>
  <c r="Q146" i="1" s="1"/>
  <c r="S146" i="15" s="1"/>
  <c r="Q154" i="1" a="1"/>
  <c r="Q154" i="1" s="1"/>
  <c r="S154" i="15" s="1"/>
  <c r="Q158" i="1" a="1"/>
  <c r="Q158" i="1" s="1"/>
  <c r="S158" i="15" s="1"/>
  <c r="Q167" i="1" a="1"/>
  <c r="Q167" i="1" s="1"/>
  <c r="S167" i="15" s="1"/>
  <c r="O168" i="1"/>
  <c r="M168" i="15" s="1"/>
  <c r="N168" i="15" s="1" a="1"/>
  <c r="N168" i="15" s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28" i="1" a="1"/>
  <c r="P128" i="1" s="1"/>
  <c r="P152" i="1" a="1"/>
  <c r="P152" i="1" s="1"/>
  <c r="P165" i="1" a="1"/>
  <c r="P165" i="1" s="1"/>
  <c r="Q106" i="1" a="1"/>
  <c r="Q106" i="1" s="1"/>
  <c r="S106" i="15" s="1"/>
  <c r="Q120" i="1" a="1"/>
  <c r="Q120" i="1" s="1"/>
  <c r="S120" i="15" s="1"/>
  <c r="Q133" i="1" a="1"/>
  <c r="Q133" i="1" s="1"/>
  <c r="S133" i="15" s="1"/>
  <c r="O169" i="1"/>
  <c r="M169" i="15" s="1"/>
  <c r="N169" i="15" s="1" a="1"/>
  <c r="N169" i="15" s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P129" i="1" a="1"/>
  <c r="P129" i="1" s="1"/>
  <c r="P141" i="1" a="1"/>
  <c r="P141" i="1" s="1"/>
  <c r="P153" i="1" a="1"/>
  <c r="P153" i="1" s="1"/>
  <c r="P166" i="1" a="1"/>
  <c r="P166" i="1" s="1"/>
  <c r="Q107" i="1" a="1"/>
  <c r="Q107" i="1" s="1"/>
  <c r="S107" i="15" s="1"/>
  <c r="Q134" i="1" a="1"/>
  <c r="Q134" i="1" s="1"/>
  <c r="S134" i="15" s="1"/>
  <c r="Q147" i="1" a="1"/>
  <c r="Q147" i="1" s="1"/>
  <c r="S147" i="15" s="1"/>
  <c r="Q159" i="1" a="1"/>
  <c r="Q159" i="1" s="1"/>
  <c r="S159" i="15" s="1"/>
  <c r="O170" i="1"/>
  <c r="M170" i="15" s="1"/>
  <c r="N170" i="15" s="1" a="1"/>
  <c r="N170" i="15" s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07" i="1" a="1"/>
  <c r="P107" i="1" s="1"/>
  <c r="P119" i="1" a="1"/>
  <c r="P119" i="1" s="1"/>
  <c r="P133" i="1" a="1"/>
  <c r="P133" i="1" s="1"/>
  <c r="P144" i="1" a="1"/>
  <c r="P144" i="1" s="1"/>
  <c r="P156" i="1" a="1"/>
  <c r="P156" i="1" s="1"/>
  <c r="Q111" i="1" a="1"/>
  <c r="Q111" i="1" s="1"/>
  <c r="S111" i="15" s="1"/>
  <c r="Q124" i="1" a="1"/>
  <c r="Q124" i="1" s="1"/>
  <c r="S124" i="15" s="1"/>
  <c r="Q138" i="1" a="1"/>
  <c r="Q138" i="1" s="1"/>
  <c r="S138" i="15" s="1"/>
  <c r="Q150" i="1" a="1"/>
  <c r="Q150" i="1" s="1"/>
  <c r="S150" i="15" s="1"/>
  <c r="Q163" i="1" a="1"/>
  <c r="Q163" i="1" s="1"/>
  <c r="S163" i="15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20" i="1" a="1"/>
  <c r="P120" i="1" s="1"/>
  <c r="P145" i="1" a="1"/>
  <c r="P145" i="1" s="1"/>
  <c r="P157" i="1" a="1"/>
  <c r="P157" i="1" s="1"/>
  <c r="Q125" i="1" a="1"/>
  <c r="Q125" i="1" s="1"/>
  <c r="S125" i="15" s="1"/>
  <c r="Q151" i="1" a="1"/>
  <c r="Q151" i="1" s="1"/>
  <c r="S151" i="15" s="1"/>
  <c r="Q164" i="1" a="1"/>
  <c r="Q164" i="1" s="1"/>
  <c r="S164" i="15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P124" i="1" a="1"/>
  <c r="P124" i="1" s="1"/>
  <c r="P161" i="1" a="1"/>
  <c r="P161" i="1" s="1"/>
  <c r="Q115" i="1" a="1"/>
  <c r="Q115" i="1" s="1"/>
  <c r="S115" i="15" s="1"/>
  <c r="Q129" i="1" a="1"/>
  <c r="Q129" i="1" s="1"/>
  <c r="S129" i="15" s="1"/>
  <c r="Q142" i="1" a="1"/>
  <c r="Q142" i="1" s="1"/>
  <c r="S142" i="15" s="1"/>
  <c r="Q155" i="1" a="1"/>
  <c r="Q155" i="1" s="1"/>
  <c r="S155" i="15" s="1"/>
  <c r="O165" i="1"/>
  <c r="M165" i="15" s="1"/>
  <c r="N165" i="15" s="1" a="1"/>
  <c r="N165" i="15" s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P112" i="1" a="1"/>
  <c r="P112" i="1" s="1"/>
  <c r="Q116" i="1" a="1"/>
  <c r="Q116" i="1" s="1"/>
  <c r="S116" i="15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M164" i="1" a="1"/>
  <c r="M164" i="1" s="1"/>
  <c r="M169" i="1" a="1"/>
  <c r="M169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M165" i="1" a="1"/>
  <c r="M165" i="1" s="1"/>
  <c r="L10" i="1" a="1"/>
  <c r="L10" i="1" s="1"/>
  <c r="L19" i="1" a="1"/>
  <c r="L19" i="1" s="1"/>
  <c r="L28" i="1" a="1"/>
  <c r="L28" i="1" s="1"/>
  <c r="L37" i="1" a="1"/>
  <c r="L37" i="1" s="1"/>
  <c r="P137" i="1" a="1"/>
  <c r="P137" i="1" s="1"/>
  <c r="Q143" i="1" a="1"/>
  <c r="Q143" i="1" s="1"/>
  <c r="S143" i="15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M166" i="1" a="1"/>
  <c r="M166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16" i="1" a="1"/>
  <c r="L16" i="1" s="1"/>
  <c r="L25" i="1" a="1"/>
  <c r="L25" i="1" s="1"/>
  <c r="L34" i="1" a="1"/>
  <c r="L34" i="1" s="1"/>
  <c r="K37" i="1" a="1"/>
  <c r="K37" i="1" s="1"/>
  <c r="Q168" i="1" a="1"/>
  <c r="Q168" i="1" s="1"/>
  <c r="S168" i="15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M163" i="1" a="1"/>
  <c r="M163" i="1" s="1"/>
  <c r="M167" i="1" a="1"/>
  <c r="M167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M168" i="1" a="1"/>
  <c r="M168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L167" i="1" a="1"/>
  <c r="L167" i="1" s="1"/>
  <c r="K39" i="1" a="1"/>
  <c r="K39" i="1" s="1"/>
  <c r="L39" i="15" s="1"/>
  <c r="K82" i="1" a="1"/>
  <c r="K82" i="1" s="1"/>
  <c r="K88" i="1" a="1"/>
  <c r="K88" i="1" s="1"/>
  <c r="K94" i="1" a="1"/>
  <c r="K94" i="1" s="1"/>
  <c r="K100" i="1" a="1"/>
  <c r="K100" i="1" s="1"/>
  <c r="K106" i="1" a="1"/>
  <c r="K106" i="1" s="1"/>
  <c r="K112" i="1" a="1"/>
  <c r="K112" i="1" s="1"/>
  <c r="K118" i="1" a="1"/>
  <c r="K118" i="1" s="1"/>
  <c r="K124" i="1" a="1"/>
  <c r="K124" i="1" s="1"/>
  <c r="K130" i="1" a="1"/>
  <c r="K130" i="1" s="1"/>
  <c r="K136" i="1" a="1"/>
  <c r="K136" i="1" s="1"/>
  <c r="K142" i="1" a="1"/>
  <c r="K142" i="1" s="1"/>
  <c r="K148" i="1" a="1"/>
  <c r="K148" i="1" s="1"/>
  <c r="L148" i="15" s="1"/>
  <c r="K154" i="1" a="1"/>
  <c r="K154" i="1" s="1"/>
  <c r="K160" i="1" a="1"/>
  <c r="K160" i="1" s="1"/>
  <c r="K166" i="1" a="1"/>
  <c r="K166" i="1" s="1"/>
  <c r="H4" i="1" a="1"/>
  <c r="H4" i="1" s="1"/>
  <c r="J4" i="15" s="1"/>
  <c r="H17" i="1" a="1"/>
  <c r="H17" i="1" s="1"/>
  <c r="J17" i="15" s="1"/>
  <c r="H23" i="1" a="1"/>
  <c r="H23" i="1" s="1"/>
  <c r="J23" i="15" s="1"/>
  <c r="H29" i="1" a="1"/>
  <c r="H29" i="1" s="1"/>
  <c r="J29" i="15" s="1"/>
  <c r="H35" i="1" a="1"/>
  <c r="H35" i="1" s="1"/>
  <c r="J35" i="15" s="1"/>
  <c r="H41" i="1" a="1"/>
  <c r="H41" i="1" s="1"/>
  <c r="J41" i="15" s="1"/>
  <c r="H47" i="1" a="1"/>
  <c r="H47" i="1" s="1"/>
  <c r="J47" i="15" s="1"/>
  <c r="H53" i="1" a="1"/>
  <c r="H53" i="1" s="1"/>
  <c r="J53" i="15" s="1"/>
  <c r="H59" i="1" a="1"/>
  <c r="H59" i="1" s="1"/>
  <c r="J59" i="15" s="1"/>
  <c r="H65" i="1" a="1"/>
  <c r="H65" i="1" s="1"/>
  <c r="J65" i="15" s="1"/>
  <c r="H71" i="1" a="1"/>
  <c r="H71" i="1" s="1"/>
  <c r="J71" i="15" s="1"/>
  <c r="H77" i="1" a="1"/>
  <c r="H77" i="1" s="1"/>
  <c r="J77" i="15" s="1"/>
  <c r="H83" i="1" a="1"/>
  <c r="H83" i="1" s="1"/>
  <c r="J83" i="15" s="1"/>
  <c r="H89" i="1" a="1"/>
  <c r="H89" i="1" s="1"/>
  <c r="J89" i="15" s="1"/>
  <c r="H95" i="1" a="1"/>
  <c r="H95" i="1" s="1"/>
  <c r="J95" i="15" s="1"/>
  <c r="H101" i="1" a="1"/>
  <c r="H101" i="1" s="1"/>
  <c r="J101" i="15" s="1"/>
  <c r="M88" i="1" a="1"/>
  <c r="M88" i="1" s="1"/>
  <c r="M170" i="1" a="1"/>
  <c r="M170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3" i="1" a="1"/>
  <c r="L123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L163" i="1" a="1"/>
  <c r="L163" i="1" s="1"/>
  <c r="L168" i="1" a="1"/>
  <c r="L168" i="1" s="1"/>
  <c r="K40" i="1" a="1"/>
  <c r="K40" i="1" s="1"/>
  <c r="K47" i="1" a="1"/>
  <c r="K47" i="1" s="1"/>
  <c r="K59" i="1" a="1"/>
  <c r="K59" i="1" s="1"/>
  <c r="K83" i="1" a="1"/>
  <c r="K83" i="1" s="1"/>
  <c r="K89" i="1" a="1"/>
  <c r="K89" i="1" s="1"/>
  <c r="L89" i="15" s="1"/>
  <c r="K95" i="1" a="1"/>
  <c r="K95" i="1" s="1"/>
  <c r="K101" i="1" a="1"/>
  <c r="K101" i="1" s="1"/>
  <c r="K107" i="1" a="1"/>
  <c r="K107" i="1" s="1"/>
  <c r="K113" i="1" a="1"/>
  <c r="K113" i="1" s="1"/>
  <c r="K119" i="1" a="1"/>
  <c r="K119" i="1" s="1"/>
  <c r="K125" i="1" a="1"/>
  <c r="K125" i="1" s="1"/>
  <c r="K131" i="1" a="1"/>
  <c r="K131" i="1" s="1"/>
  <c r="L131" i="15" s="1"/>
  <c r="K137" i="1" a="1"/>
  <c r="K137" i="1" s="1"/>
  <c r="L137" i="15" s="1"/>
  <c r="K143" i="1" a="1"/>
  <c r="K143" i="1" s="1"/>
  <c r="K149" i="1" a="1"/>
  <c r="K149" i="1" s="1"/>
  <c r="K155" i="1" a="1"/>
  <c r="K155" i="1" s="1"/>
  <c r="K161" i="1" a="1"/>
  <c r="K161" i="1" s="1"/>
  <c r="L161" i="15" s="1"/>
  <c r="K167" i="1" a="1"/>
  <c r="K167" i="1" s="1"/>
  <c r="H12" i="1" a="1"/>
  <c r="H12" i="1" s="1"/>
  <c r="J12" i="15" s="1"/>
  <c r="H18" i="1" a="1"/>
  <c r="H18" i="1" s="1"/>
  <c r="J18" i="15" s="1"/>
  <c r="H24" i="1" a="1"/>
  <c r="H24" i="1" s="1"/>
  <c r="J24" i="15" s="1"/>
  <c r="H30" i="1" a="1"/>
  <c r="H30" i="1" s="1"/>
  <c r="J30" i="15" s="1"/>
  <c r="H36" i="1" a="1"/>
  <c r="H36" i="1" s="1"/>
  <c r="J36" i="15" s="1"/>
  <c r="H42" i="1" a="1"/>
  <c r="H42" i="1" s="1"/>
  <c r="J42" i="15" s="1"/>
  <c r="H48" i="1" a="1"/>
  <c r="H48" i="1" s="1"/>
  <c r="J48" i="15" s="1"/>
  <c r="H54" i="1" a="1"/>
  <c r="H54" i="1" s="1"/>
  <c r="J54" i="15" s="1"/>
  <c r="H60" i="1" a="1"/>
  <c r="H60" i="1" s="1"/>
  <c r="J60" i="15" s="1"/>
  <c r="H66" i="1" a="1"/>
  <c r="H66" i="1" s="1"/>
  <c r="J66" i="15" s="1"/>
  <c r="H72" i="1" a="1"/>
  <c r="H72" i="1" s="1"/>
  <c r="J72" i="15" s="1"/>
  <c r="H78" i="1" a="1"/>
  <c r="H78" i="1" s="1"/>
  <c r="J78" i="15" s="1"/>
  <c r="H84" i="1" a="1"/>
  <c r="H84" i="1" s="1"/>
  <c r="J84" i="15" s="1"/>
  <c r="H90" i="1" a="1"/>
  <c r="H90" i="1" s="1"/>
  <c r="J90" i="15" s="1"/>
  <c r="H96" i="1" a="1"/>
  <c r="H96" i="1" s="1"/>
  <c r="J96" i="15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L164" i="1" a="1"/>
  <c r="L164" i="1" s="1"/>
  <c r="K27" i="1" a="1"/>
  <c r="K27" i="1" s="1"/>
  <c r="K41" i="1" a="1"/>
  <c r="K41" i="1" s="1"/>
  <c r="L41" i="15" s="1"/>
  <c r="K84" i="1" a="1"/>
  <c r="K84" i="1" s="1"/>
  <c r="L84" i="15" s="1"/>
  <c r="K90" i="1" a="1"/>
  <c r="K90" i="1" s="1"/>
  <c r="K96" i="1" a="1"/>
  <c r="K96" i="1" s="1"/>
  <c r="K102" i="1" a="1"/>
  <c r="K102" i="1" s="1"/>
  <c r="K108" i="1" a="1"/>
  <c r="K108" i="1" s="1"/>
  <c r="K114" i="1" a="1"/>
  <c r="K114" i="1" s="1"/>
  <c r="K120" i="1" a="1"/>
  <c r="K120" i="1" s="1"/>
  <c r="K126" i="1" a="1"/>
  <c r="K126" i="1" s="1"/>
  <c r="K132" i="1" a="1"/>
  <c r="K132" i="1" s="1"/>
  <c r="L132" i="15" s="1"/>
  <c r="K138" i="1" a="1"/>
  <c r="K138" i="1" s="1"/>
  <c r="K144" i="1" a="1"/>
  <c r="K144" i="1" s="1"/>
  <c r="K150" i="1" a="1"/>
  <c r="K150" i="1" s="1"/>
  <c r="L150" i="15" s="1"/>
  <c r="K156" i="1" a="1"/>
  <c r="K156" i="1" s="1"/>
  <c r="K162" i="1" a="1"/>
  <c r="K162" i="1" s="1"/>
  <c r="K168" i="1" a="1"/>
  <c r="K168" i="1" s="1"/>
  <c r="H13" i="1" a="1"/>
  <c r="H13" i="1" s="1"/>
  <c r="J13" i="15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L165" i="1" a="1"/>
  <c r="L165" i="1" s="1"/>
  <c r="L169" i="1" a="1"/>
  <c r="L169" i="1" s="1"/>
  <c r="K28" i="1" a="1"/>
  <c r="K28" i="1" s="1"/>
  <c r="K49" i="1" a="1"/>
  <c r="K49" i="1" s="1"/>
  <c r="K79" i="1" a="1"/>
  <c r="K79" i="1" s="1"/>
  <c r="K85" i="1" a="1"/>
  <c r="K85" i="1" s="1"/>
  <c r="K91" i="1" a="1"/>
  <c r="K91" i="1" s="1"/>
  <c r="K97" i="1" a="1"/>
  <c r="K97" i="1" s="1"/>
  <c r="K103" i="1" a="1"/>
  <c r="K103" i="1" s="1"/>
  <c r="K109" i="1" a="1"/>
  <c r="K109" i="1" s="1"/>
  <c r="L109" i="15" s="1"/>
  <c r="K115" i="1" a="1"/>
  <c r="K115" i="1" s="1"/>
  <c r="K121" i="1" a="1"/>
  <c r="K121" i="1" s="1"/>
  <c r="L121" i="15" s="1"/>
  <c r="K127" i="1" a="1"/>
  <c r="K127" i="1" s="1"/>
  <c r="K133" i="1" a="1"/>
  <c r="K133" i="1" s="1"/>
  <c r="K139" i="1" a="1"/>
  <c r="K139" i="1" s="1"/>
  <c r="K145" i="1" a="1"/>
  <c r="K145" i="1" s="1"/>
  <c r="L145" i="15" s="1"/>
  <c r="K151" i="1" a="1"/>
  <c r="K151" i="1" s="1"/>
  <c r="K157" i="1" a="1"/>
  <c r="K157" i="1" s="1"/>
  <c r="K163" i="1" a="1"/>
  <c r="K163" i="1" s="1"/>
  <c r="L163" i="15" s="1"/>
  <c r="K169" i="1" a="1"/>
  <c r="K169" i="1" s="1"/>
  <c r="H14" i="1" a="1"/>
  <c r="H14" i="1" s="1"/>
  <c r="J14" i="15" s="1"/>
  <c r="H20" i="1" a="1"/>
  <c r="H20" i="1" s="1"/>
  <c r="J20" i="15" s="1"/>
  <c r="H26" i="1" a="1"/>
  <c r="H26" i="1" s="1"/>
  <c r="J26" i="15" s="1"/>
  <c r="H32" i="1" a="1"/>
  <c r="H32" i="1" s="1"/>
  <c r="J32" i="15" s="1"/>
  <c r="H38" i="1" a="1"/>
  <c r="H38" i="1" s="1"/>
  <c r="J38" i="15" s="1"/>
  <c r="H44" i="1" a="1"/>
  <c r="H44" i="1" s="1"/>
  <c r="J44" i="15" s="1"/>
  <c r="H50" i="1" a="1"/>
  <c r="H50" i="1" s="1"/>
  <c r="J50" i="15" s="1"/>
  <c r="H56" i="1" a="1"/>
  <c r="H56" i="1" s="1"/>
  <c r="J56" i="15" s="1"/>
  <c r="H62" i="1" a="1"/>
  <c r="H62" i="1" s="1"/>
  <c r="J62" i="15" s="1"/>
  <c r="H68" i="1" a="1"/>
  <c r="H68" i="1" s="1"/>
  <c r="J68" i="15" s="1"/>
  <c r="H74" i="1" a="1"/>
  <c r="H74" i="1" s="1"/>
  <c r="J74" i="15" s="1"/>
  <c r="H80" i="1" a="1"/>
  <c r="H80" i="1" s="1"/>
  <c r="J80" i="15" s="1"/>
  <c r="M105" i="1" a="1"/>
  <c r="M105" i="1" s="1"/>
  <c r="M132" i="1" a="1"/>
  <c r="M132" i="1" s="1"/>
  <c r="M159" i="1" a="1"/>
  <c r="M159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L170" i="1" a="1"/>
  <c r="L170" i="1" s="1"/>
  <c r="K86" i="1" a="1"/>
  <c r="K86" i="1" s="1"/>
  <c r="K92" i="1" a="1"/>
  <c r="K92" i="1" s="1"/>
  <c r="K98" i="1" a="1"/>
  <c r="K98" i="1" s="1"/>
  <c r="K104" i="1" a="1"/>
  <c r="K104" i="1" s="1"/>
  <c r="K110" i="1" a="1"/>
  <c r="K110" i="1" s="1"/>
  <c r="L110" i="15" s="1"/>
  <c r="K116" i="1" a="1"/>
  <c r="K116" i="1" s="1"/>
  <c r="L116" i="15" s="1"/>
  <c r="K122" i="1" a="1"/>
  <c r="K122" i="1" s="1"/>
  <c r="K128" i="1" a="1"/>
  <c r="K128" i="1" s="1"/>
  <c r="K134" i="1" a="1"/>
  <c r="K134" i="1" s="1"/>
  <c r="K140" i="1" a="1"/>
  <c r="K140" i="1" s="1"/>
  <c r="K146" i="1" a="1"/>
  <c r="K146" i="1" s="1"/>
  <c r="K152" i="1" a="1"/>
  <c r="K152" i="1" s="1"/>
  <c r="K158" i="1" a="1"/>
  <c r="K158" i="1" s="1"/>
  <c r="K164" i="1" a="1"/>
  <c r="K164" i="1" s="1"/>
  <c r="K170" i="1" a="1"/>
  <c r="K170" i="1" s="1"/>
  <c r="H15" i="1" a="1"/>
  <c r="H15" i="1" s="1"/>
  <c r="J15" i="15" s="1"/>
  <c r="H21" i="1" a="1"/>
  <c r="H21" i="1" s="1"/>
  <c r="J21" i="15" s="1"/>
  <c r="H27" i="1" a="1"/>
  <c r="H27" i="1" s="1"/>
  <c r="J27" i="15" s="1"/>
  <c r="H33" i="1" a="1"/>
  <c r="H33" i="1" s="1"/>
  <c r="J33" i="15" s="1"/>
  <c r="H39" i="1" a="1"/>
  <c r="H39" i="1" s="1"/>
  <c r="J39" i="15" s="1"/>
  <c r="H45" i="1" a="1"/>
  <c r="H45" i="1" s="1"/>
  <c r="J45" i="15" s="1"/>
  <c r="H51" i="1" a="1"/>
  <c r="H51" i="1" s="1"/>
  <c r="J51" i="15" s="1"/>
  <c r="H57" i="1" a="1"/>
  <c r="H57" i="1" s="1"/>
  <c r="J57" i="15" s="1"/>
  <c r="H63" i="1" a="1"/>
  <c r="H63" i="1" s="1"/>
  <c r="J63" i="15" s="1"/>
  <c r="H69" i="1" a="1"/>
  <c r="H69" i="1" s="1"/>
  <c r="J69" i="15" s="1"/>
  <c r="H75" i="1" a="1"/>
  <c r="H75" i="1" s="1"/>
  <c r="J75" i="15" s="1"/>
  <c r="H81" i="1" a="1"/>
  <c r="H81" i="1" s="1"/>
  <c r="J81" i="15" s="1"/>
  <c r="H87" i="1" a="1"/>
  <c r="H87" i="1" s="1"/>
  <c r="J87" i="15" s="1"/>
  <c r="H93" i="1" a="1"/>
  <c r="H93" i="1" s="1"/>
  <c r="J93" i="15" s="1"/>
  <c r="H99" i="1" a="1"/>
  <c r="H99" i="1" s="1"/>
  <c r="J99" i="15" s="1"/>
  <c r="H105" i="1" a="1"/>
  <c r="H105" i="1" s="1"/>
  <c r="J105" i="15" s="1"/>
  <c r="H111" i="1" a="1"/>
  <c r="H111" i="1" s="1"/>
  <c r="J111" i="15" s="1"/>
  <c r="H117" i="1" a="1"/>
  <c r="H117" i="1" s="1"/>
  <c r="J117" i="15" s="1"/>
  <c r="H123" i="1" a="1"/>
  <c r="H123" i="1" s="1"/>
  <c r="J123" i="15" s="1"/>
  <c r="H129" i="1" a="1"/>
  <c r="H129" i="1" s="1"/>
  <c r="J129" i="15" s="1"/>
  <c r="H135" i="1" a="1"/>
  <c r="H135" i="1" s="1"/>
  <c r="J135" i="15" s="1"/>
  <c r="H141" i="1" a="1"/>
  <c r="H141" i="1" s="1"/>
  <c r="J141" i="15" s="1"/>
  <c r="H147" i="1" a="1"/>
  <c r="H147" i="1" s="1"/>
  <c r="J147" i="15" s="1"/>
  <c r="H153" i="1" a="1"/>
  <c r="H153" i="1" s="1"/>
  <c r="J153" i="15" s="1"/>
  <c r="H159" i="1" a="1"/>
  <c r="H159" i="1" s="1"/>
  <c r="J159" i="15" s="1"/>
  <c r="M57" i="1" a="1"/>
  <c r="M57" i="1" s="1"/>
  <c r="L108" i="1" a="1"/>
  <c r="L108" i="1" s="1"/>
  <c r="L135" i="1" a="1"/>
  <c r="L135" i="1" s="1"/>
  <c r="L162" i="1" a="1"/>
  <c r="L162" i="1" s="1"/>
  <c r="K105" i="1" a="1"/>
  <c r="K105" i="1" s="1"/>
  <c r="K141" i="1" a="1"/>
  <c r="K141" i="1" s="1"/>
  <c r="H16" i="1" a="1"/>
  <c r="H16" i="1" s="1"/>
  <c r="J16" i="15" s="1"/>
  <c r="H34" i="1" a="1"/>
  <c r="H34" i="1" s="1"/>
  <c r="J34" i="15" s="1"/>
  <c r="H52" i="1" a="1"/>
  <c r="H52" i="1" s="1"/>
  <c r="J52" i="15" s="1"/>
  <c r="H70" i="1" a="1"/>
  <c r="H70" i="1" s="1"/>
  <c r="J70" i="15" s="1"/>
  <c r="H86" i="1" a="1"/>
  <c r="H86" i="1" s="1"/>
  <c r="J86" i="15" s="1"/>
  <c r="H98" i="1" a="1"/>
  <c r="H98" i="1" s="1"/>
  <c r="J98" i="15" s="1"/>
  <c r="H107" i="1" a="1"/>
  <c r="H107" i="1" s="1"/>
  <c r="J107" i="15" s="1"/>
  <c r="H114" i="1" a="1"/>
  <c r="H114" i="1" s="1"/>
  <c r="J114" i="15" s="1"/>
  <c r="H121" i="1" a="1"/>
  <c r="H121" i="1" s="1"/>
  <c r="J121" i="15" s="1"/>
  <c r="H128" i="1" a="1"/>
  <c r="H128" i="1" s="1"/>
  <c r="J128" i="15" s="1"/>
  <c r="H136" i="1" a="1"/>
  <c r="H136" i="1" s="1"/>
  <c r="J136" i="15" s="1"/>
  <c r="H143" i="1" a="1"/>
  <c r="H143" i="1" s="1"/>
  <c r="J143" i="15" s="1"/>
  <c r="H150" i="1" a="1"/>
  <c r="H150" i="1" s="1"/>
  <c r="J150" i="15" s="1"/>
  <c r="H157" i="1" a="1"/>
  <c r="H157" i="1" s="1"/>
  <c r="J157" i="15" s="1"/>
  <c r="H164" i="1" a="1"/>
  <c r="H164" i="1" s="1"/>
  <c r="J164" i="15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G164" i="1" a="1"/>
  <c r="G164" i="1" s="1"/>
  <c r="G170" i="1" a="1"/>
  <c r="G170" i="1" s="1"/>
  <c r="H169" i="1" a="1"/>
  <c r="H169" i="1" s="1"/>
  <c r="J169" i="15" s="1"/>
  <c r="F47" i="1" a="1"/>
  <c r="F47" i="1" s="1"/>
  <c r="R47" i="15" s="1"/>
  <c r="F56" i="1" a="1"/>
  <c r="F56" i="1" s="1"/>
  <c r="R56" i="15" s="1"/>
  <c r="F84" i="1" a="1"/>
  <c r="F84" i="1" s="1"/>
  <c r="R84" i="15" s="1"/>
  <c r="F108" i="1" a="1"/>
  <c r="F108" i="1" s="1"/>
  <c r="R108" i="15" s="1"/>
  <c r="F113" i="1" a="1"/>
  <c r="F113" i="1" s="1"/>
  <c r="R113" i="15" s="1"/>
  <c r="F117" i="1" a="1"/>
  <c r="F117" i="1" s="1"/>
  <c r="R117" i="15" s="1"/>
  <c r="F123" i="1" a="1"/>
  <c r="F123" i="1" s="1"/>
  <c r="R123" i="15" s="1"/>
  <c r="F127" i="1" a="1"/>
  <c r="F127" i="1" s="1"/>
  <c r="R127" i="15" s="1"/>
  <c r="F132" i="1" a="1"/>
  <c r="F132" i="1" s="1"/>
  <c r="R132" i="15" s="1"/>
  <c r="F146" i="1" a="1"/>
  <c r="F146" i="1" s="1"/>
  <c r="R146" i="15" s="1"/>
  <c r="F150" i="1" a="1"/>
  <c r="F150" i="1" s="1"/>
  <c r="R150" i="15" s="1"/>
  <c r="F164" i="1" a="1"/>
  <c r="F164" i="1" s="1"/>
  <c r="R164" i="15" s="1"/>
  <c r="F168" i="1" a="1"/>
  <c r="F168" i="1" s="1"/>
  <c r="R168" i="15" s="1"/>
  <c r="D12" i="1" a="1"/>
  <c r="D12" i="1" s="1"/>
  <c r="I12" i="15" s="1"/>
  <c r="D15" i="1" a="1"/>
  <c r="D15" i="1" s="1"/>
  <c r="I15" i="15" s="1"/>
  <c r="D18" i="1" a="1"/>
  <c r="D18" i="1" s="1"/>
  <c r="I18" i="15" s="1"/>
  <c r="D21" i="1" a="1"/>
  <c r="D21" i="1" s="1"/>
  <c r="I21" i="15" s="1"/>
  <c r="D24" i="1" a="1"/>
  <c r="D24" i="1" s="1"/>
  <c r="I24" i="15" s="1"/>
  <c r="D27" i="1" a="1"/>
  <c r="D27" i="1" s="1"/>
  <c r="I27" i="15" s="1"/>
  <c r="D30" i="1" a="1"/>
  <c r="D30" i="1" s="1"/>
  <c r="I30" i="15" s="1"/>
  <c r="D33" i="1" a="1"/>
  <c r="D33" i="1" s="1"/>
  <c r="I33" i="15" s="1"/>
  <c r="D39" i="1" a="1"/>
  <c r="D39" i="1" s="1"/>
  <c r="I39" i="15" s="1"/>
  <c r="D42" i="1" a="1"/>
  <c r="D42" i="1" s="1"/>
  <c r="I42" i="15" s="1"/>
  <c r="D45" i="1" a="1"/>
  <c r="D45" i="1" s="1"/>
  <c r="I45" i="15" s="1"/>
  <c r="L47" i="1" a="1"/>
  <c r="L47" i="1" s="1"/>
  <c r="L112" i="1" a="1"/>
  <c r="L112" i="1" s="1"/>
  <c r="L139" i="1" a="1"/>
  <c r="L139" i="1" s="1"/>
  <c r="L166" i="1" a="1"/>
  <c r="L166" i="1" s="1"/>
  <c r="K38" i="1" a="1"/>
  <c r="K38" i="1" s="1"/>
  <c r="K111" i="1" a="1"/>
  <c r="K111" i="1" s="1"/>
  <c r="K147" i="1" a="1"/>
  <c r="K147" i="1" s="1"/>
  <c r="H19" i="1" a="1"/>
  <c r="H19" i="1" s="1"/>
  <c r="J19" i="15" s="1"/>
  <c r="H37" i="1" a="1"/>
  <c r="H37" i="1" s="1"/>
  <c r="J37" i="15" s="1"/>
  <c r="H55" i="1" a="1"/>
  <c r="H55" i="1" s="1"/>
  <c r="J55" i="15" s="1"/>
  <c r="H73" i="1" a="1"/>
  <c r="H73" i="1" s="1"/>
  <c r="J73" i="15" s="1"/>
  <c r="H88" i="1" a="1"/>
  <c r="H88" i="1" s="1"/>
  <c r="J88" i="15" s="1"/>
  <c r="H100" i="1" a="1"/>
  <c r="H100" i="1" s="1"/>
  <c r="J100" i="15" s="1"/>
  <c r="H108" i="1" a="1"/>
  <c r="H108" i="1" s="1"/>
  <c r="J108" i="15" s="1"/>
  <c r="H115" i="1" a="1"/>
  <c r="H115" i="1" s="1"/>
  <c r="J115" i="15" s="1"/>
  <c r="H122" i="1" a="1"/>
  <c r="H122" i="1" s="1"/>
  <c r="J122" i="15" s="1"/>
  <c r="H130" i="1" a="1"/>
  <c r="H130" i="1" s="1"/>
  <c r="J130" i="15" s="1"/>
  <c r="H137" i="1" a="1"/>
  <c r="H137" i="1" s="1"/>
  <c r="J137" i="15" s="1"/>
  <c r="H144" i="1" a="1"/>
  <c r="H144" i="1" s="1"/>
  <c r="J144" i="15" s="1"/>
  <c r="H151" i="1" a="1"/>
  <c r="H151" i="1" s="1"/>
  <c r="J151" i="15" s="1"/>
  <c r="H158" i="1" a="1"/>
  <c r="H158" i="1" s="1"/>
  <c r="J158" i="15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5" i="1" a="1"/>
  <c r="G165" i="1" s="1"/>
  <c r="G2" i="1" a="1"/>
  <c r="G2" i="1" s="1"/>
  <c r="F3" i="1" a="1"/>
  <c r="F3" i="1" s="1"/>
  <c r="R3" i="15" s="1"/>
  <c r="F49" i="1" a="1"/>
  <c r="F49" i="1" s="1"/>
  <c r="R49" i="15" s="1"/>
  <c r="F64" i="1" a="1"/>
  <c r="F64" i="1" s="1"/>
  <c r="R64" i="15" s="1"/>
  <c r="F94" i="1" a="1"/>
  <c r="F94" i="1" s="1"/>
  <c r="R94" i="15" s="1"/>
  <c r="F109" i="1" a="1"/>
  <c r="F109" i="1" s="1"/>
  <c r="R109" i="15" s="1"/>
  <c r="F114" i="1" a="1"/>
  <c r="F114" i="1" s="1"/>
  <c r="R114" i="15" s="1"/>
  <c r="F118" i="1" a="1"/>
  <c r="F118" i="1" s="1"/>
  <c r="R118" i="15" s="1"/>
  <c r="F128" i="1" a="1"/>
  <c r="F128" i="1" s="1"/>
  <c r="R128" i="15" s="1"/>
  <c r="F133" i="1" a="1"/>
  <c r="F133" i="1" s="1"/>
  <c r="R133" i="15" s="1"/>
  <c r="F137" i="1" a="1"/>
  <c r="F137" i="1" s="1"/>
  <c r="R137" i="15" s="1"/>
  <c r="F142" i="1" a="1"/>
  <c r="F142" i="1" s="1"/>
  <c r="R142" i="15" s="1"/>
  <c r="F147" i="1" a="1"/>
  <c r="F147" i="1" s="1"/>
  <c r="R147" i="15" s="1"/>
  <c r="F151" i="1" a="1"/>
  <c r="F151" i="1" s="1"/>
  <c r="R151" i="15" s="1"/>
  <c r="F155" i="1" a="1"/>
  <c r="F155" i="1" s="1"/>
  <c r="R155" i="15" s="1"/>
  <c r="F160" i="1" a="1"/>
  <c r="F160" i="1" s="1"/>
  <c r="R160" i="15" s="1"/>
  <c r="F165" i="1" a="1"/>
  <c r="F165" i="1" s="1"/>
  <c r="R165" i="15" s="1"/>
  <c r="F169" i="1" a="1"/>
  <c r="F169" i="1" s="1"/>
  <c r="R169" i="15" s="1"/>
  <c r="L90" i="1" a="1"/>
  <c r="L90" i="1" s="1"/>
  <c r="L117" i="1" a="1"/>
  <c r="L117" i="1" s="1"/>
  <c r="L144" i="1" a="1"/>
  <c r="L144" i="1" s="1"/>
  <c r="L2" i="1" a="1"/>
  <c r="L2" i="1" s="1"/>
  <c r="K117" i="1" a="1"/>
  <c r="K117" i="1" s="1"/>
  <c r="K153" i="1" a="1"/>
  <c r="K153" i="1" s="1"/>
  <c r="H22" i="1" a="1"/>
  <c r="H22" i="1" s="1"/>
  <c r="J22" i="15" s="1"/>
  <c r="H40" i="1" a="1"/>
  <c r="H40" i="1" s="1"/>
  <c r="J40" i="15" s="1"/>
  <c r="H58" i="1" a="1"/>
  <c r="H58" i="1" s="1"/>
  <c r="J58" i="15" s="1"/>
  <c r="H76" i="1" a="1"/>
  <c r="H76" i="1" s="1"/>
  <c r="J76" i="15" s="1"/>
  <c r="H91" i="1" a="1"/>
  <c r="H91" i="1" s="1"/>
  <c r="J91" i="15" s="1"/>
  <c r="H102" i="1" a="1"/>
  <c r="H102" i="1" s="1"/>
  <c r="J102" i="15" s="1"/>
  <c r="H109" i="1" a="1"/>
  <c r="H109" i="1" s="1"/>
  <c r="J109" i="15" s="1"/>
  <c r="H116" i="1" a="1"/>
  <c r="H116" i="1" s="1"/>
  <c r="J116" i="15" s="1"/>
  <c r="H124" i="1" a="1"/>
  <c r="H124" i="1" s="1"/>
  <c r="J124" i="15" s="1"/>
  <c r="H131" i="1" a="1"/>
  <c r="H131" i="1" s="1"/>
  <c r="J131" i="15" s="1"/>
  <c r="H138" i="1" a="1"/>
  <c r="H138" i="1" s="1"/>
  <c r="J138" i="15" s="1"/>
  <c r="H145" i="1" a="1"/>
  <c r="H145" i="1" s="1"/>
  <c r="J145" i="15" s="1"/>
  <c r="H152" i="1" a="1"/>
  <c r="H152" i="1" s="1"/>
  <c r="J152" i="15" s="1"/>
  <c r="H160" i="1" a="1"/>
  <c r="H160" i="1" s="1"/>
  <c r="J160" i="15" s="1"/>
  <c r="L94" i="1" a="1"/>
  <c r="L94" i="1" s="1"/>
  <c r="L121" i="1" a="1"/>
  <c r="L121" i="1" s="1"/>
  <c r="L148" i="1" a="1"/>
  <c r="L148" i="1" s="1"/>
  <c r="K87" i="1" a="1"/>
  <c r="K87" i="1" s="1"/>
  <c r="L87" i="15" s="1"/>
  <c r="K123" i="1" a="1"/>
  <c r="K123" i="1" s="1"/>
  <c r="K159" i="1" a="1"/>
  <c r="K159" i="1" s="1"/>
  <c r="H25" i="1" a="1"/>
  <c r="H25" i="1" s="1"/>
  <c r="J25" i="15" s="1"/>
  <c r="H43" i="1" a="1"/>
  <c r="H43" i="1" s="1"/>
  <c r="J43" i="15" s="1"/>
  <c r="H61" i="1" a="1"/>
  <c r="H61" i="1" s="1"/>
  <c r="J61" i="15" s="1"/>
  <c r="H79" i="1" a="1"/>
  <c r="H79" i="1" s="1"/>
  <c r="J79" i="15" s="1"/>
  <c r="H92" i="1" a="1"/>
  <c r="H92" i="1" s="1"/>
  <c r="J92" i="15" s="1"/>
  <c r="H103" i="1" a="1"/>
  <c r="H103" i="1" s="1"/>
  <c r="J103" i="15" s="1"/>
  <c r="H110" i="1" a="1"/>
  <c r="H110" i="1" s="1"/>
  <c r="J110" i="15" s="1"/>
  <c r="H118" i="1" a="1"/>
  <c r="H118" i="1" s="1"/>
  <c r="J118" i="15" s="1"/>
  <c r="H125" i="1" a="1"/>
  <c r="H125" i="1" s="1"/>
  <c r="J125" i="15" s="1"/>
  <c r="H132" i="1" a="1"/>
  <c r="H132" i="1" s="1"/>
  <c r="J132" i="15" s="1"/>
  <c r="H139" i="1" a="1"/>
  <c r="H139" i="1" s="1"/>
  <c r="J139" i="15" s="1"/>
  <c r="H146" i="1" a="1"/>
  <c r="H146" i="1" s="1"/>
  <c r="J146" i="15" s="1"/>
  <c r="H154" i="1" a="1"/>
  <c r="H154" i="1" s="1"/>
  <c r="J154" i="15" s="1"/>
  <c r="H161" i="1" a="1"/>
  <c r="H161" i="1" s="1"/>
  <c r="J161" i="15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G167" i="1" a="1"/>
  <c r="G167" i="1" s="1"/>
  <c r="H166" i="1" a="1"/>
  <c r="H166" i="1" s="1"/>
  <c r="J166" i="15" s="1"/>
  <c r="F12" i="1" a="1"/>
  <c r="F12" i="1" s="1"/>
  <c r="R12" i="15" s="1"/>
  <c r="F54" i="1" a="1"/>
  <c r="F54" i="1" s="1"/>
  <c r="R54" i="15" s="1"/>
  <c r="F75" i="1" a="1"/>
  <c r="F75" i="1" s="1"/>
  <c r="R75" i="15" s="1"/>
  <c r="F106" i="1" a="1"/>
  <c r="F106" i="1" s="1"/>
  <c r="R106" i="15" s="1"/>
  <c r="F110" i="1" a="1"/>
  <c r="F110" i="1" s="1"/>
  <c r="R110" i="15" s="1"/>
  <c r="F115" i="1" a="1"/>
  <c r="F115" i="1" s="1"/>
  <c r="R115" i="15" s="1"/>
  <c r="F120" i="1" a="1"/>
  <c r="F120" i="1" s="1"/>
  <c r="R120" i="15" s="1"/>
  <c r="F130" i="1" a="1"/>
  <c r="F130" i="1" s="1"/>
  <c r="R130" i="15" s="1"/>
  <c r="F135" i="1" a="1"/>
  <c r="F135" i="1" s="1"/>
  <c r="R135" i="15" s="1"/>
  <c r="F139" i="1" a="1"/>
  <c r="F139" i="1" s="1"/>
  <c r="R139" i="15" s="1"/>
  <c r="F143" i="1" a="1"/>
  <c r="F143" i="1" s="1"/>
  <c r="R143" i="15" s="1"/>
  <c r="F148" i="1" a="1"/>
  <c r="F148" i="1" s="1"/>
  <c r="R148" i="15" s="1"/>
  <c r="F153" i="1" a="1"/>
  <c r="F153" i="1" s="1"/>
  <c r="R153" i="15" s="1"/>
  <c r="F157" i="1" a="1"/>
  <c r="F157" i="1" s="1"/>
  <c r="R157" i="15" s="1"/>
  <c r="F161" i="1" a="1"/>
  <c r="F161" i="1" s="1"/>
  <c r="R161" i="15" s="1"/>
  <c r="F166" i="1" a="1"/>
  <c r="F166" i="1" s="1"/>
  <c r="R166" i="15" s="1"/>
  <c r="D167" i="1" a="1"/>
  <c r="D167" i="1" s="1"/>
  <c r="I167" i="15" s="1"/>
  <c r="C6" i="1" a="1"/>
  <c r="C6" i="1" s="1"/>
  <c r="E6" i="15" s="1"/>
  <c r="L99" i="1" a="1"/>
  <c r="L99" i="1" s="1"/>
  <c r="L126" i="1" a="1"/>
  <c r="L126" i="1" s="1"/>
  <c r="L153" i="1" a="1"/>
  <c r="L153" i="1" s="1"/>
  <c r="K93" i="1" a="1"/>
  <c r="K93" i="1" s="1"/>
  <c r="K129" i="1" a="1"/>
  <c r="K129" i="1" s="1"/>
  <c r="K165" i="1" a="1"/>
  <c r="K165" i="1" s="1"/>
  <c r="H28" i="1" a="1"/>
  <c r="H28" i="1" s="1"/>
  <c r="J28" i="15" s="1"/>
  <c r="H46" i="1" a="1"/>
  <c r="H46" i="1" s="1"/>
  <c r="J46" i="15" s="1"/>
  <c r="H64" i="1" a="1"/>
  <c r="H64" i="1" s="1"/>
  <c r="J64" i="15" s="1"/>
  <c r="H82" i="1" a="1"/>
  <c r="H82" i="1" s="1"/>
  <c r="J82" i="15" s="1"/>
  <c r="H94" i="1" a="1"/>
  <c r="H94" i="1" s="1"/>
  <c r="J94" i="15" s="1"/>
  <c r="H104" i="1" a="1"/>
  <c r="H104" i="1" s="1"/>
  <c r="J104" i="15" s="1"/>
  <c r="H112" i="1" a="1"/>
  <c r="H112" i="1" s="1"/>
  <c r="J112" i="15" s="1"/>
  <c r="H119" i="1" a="1"/>
  <c r="H119" i="1" s="1"/>
  <c r="J119" i="15" s="1"/>
  <c r="H126" i="1" a="1"/>
  <c r="H126" i="1" s="1"/>
  <c r="J126" i="15" s="1"/>
  <c r="H133" i="1" a="1"/>
  <c r="H133" i="1" s="1"/>
  <c r="J133" i="15" s="1"/>
  <c r="H140" i="1" a="1"/>
  <c r="H140" i="1" s="1"/>
  <c r="J140" i="15" s="1"/>
  <c r="H148" i="1" a="1"/>
  <c r="H148" i="1" s="1"/>
  <c r="J148" i="15" s="1"/>
  <c r="H155" i="1" a="1"/>
  <c r="H155" i="1" s="1"/>
  <c r="J155" i="15" s="1"/>
  <c r="H162" i="1" a="1"/>
  <c r="H162" i="1" s="1"/>
  <c r="J162" i="15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G168" i="1" a="1"/>
  <c r="G168" i="1" s="1"/>
  <c r="H167" i="1" a="1"/>
  <c r="H167" i="1" s="1"/>
  <c r="J167" i="15" s="1"/>
  <c r="F30" i="1" a="1"/>
  <c r="F30" i="1" s="1"/>
  <c r="R30" i="15" s="1"/>
  <c r="F55" i="1" a="1"/>
  <c r="F55" i="1" s="1"/>
  <c r="R55" i="15" s="1"/>
  <c r="F80" i="1" a="1"/>
  <c r="F80" i="1" s="1"/>
  <c r="R80" i="15" s="1"/>
  <c r="F111" i="1" a="1"/>
  <c r="F111" i="1" s="1"/>
  <c r="R111" i="15" s="1"/>
  <c r="F121" i="1" a="1"/>
  <c r="F121" i="1" s="1"/>
  <c r="R121" i="15" s="1"/>
  <c r="F125" i="1" a="1"/>
  <c r="F125" i="1" s="1"/>
  <c r="R125" i="15" s="1"/>
  <c r="F140" i="1" a="1"/>
  <c r="F140" i="1" s="1"/>
  <c r="R140" i="15" s="1"/>
  <c r="F144" i="1" a="1"/>
  <c r="F144" i="1" s="1"/>
  <c r="R144" i="15" s="1"/>
  <c r="F158" i="1" a="1"/>
  <c r="F158" i="1" s="1"/>
  <c r="R158" i="15" s="1"/>
  <c r="F162" i="1" a="1"/>
  <c r="F162" i="1" s="1"/>
  <c r="R162" i="15" s="1"/>
  <c r="D4" i="1" a="1"/>
  <c r="D4" i="1" s="1"/>
  <c r="I4" i="15" s="1"/>
  <c r="D14" i="1" a="1"/>
  <c r="D14" i="1" s="1"/>
  <c r="I14" i="15" s="1"/>
  <c r="D17" i="1" a="1"/>
  <c r="D17" i="1" s="1"/>
  <c r="I17" i="15" s="1"/>
  <c r="D20" i="1" a="1"/>
  <c r="D20" i="1" s="1"/>
  <c r="I20" i="15" s="1"/>
  <c r="D23" i="1" a="1"/>
  <c r="D23" i="1" s="1"/>
  <c r="I23" i="15" s="1"/>
  <c r="D26" i="1" a="1"/>
  <c r="D26" i="1" s="1"/>
  <c r="I26" i="15" s="1"/>
  <c r="D29" i="1" a="1"/>
  <c r="D29" i="1" s="1"/>
  <c r="I29" i="15" s="1"/>
  <c r="D32" i="1" a="1"/>
  <c r="D32" i="1" s="1"/>
  <c r="I32" i="15" s="1"/>
  <c r="D35" i="1" a="1"/>
  <c r="D35" i="1" s="1"/>
  <c r="I35" i="15" s="1"/>
  <c r="D41" i="1" a="1"/>
  <c r="D41" i="1" s="1"/>
  <c r="I41" i="15" s="1"/>
  <c r="D44" i="1" a="1"/>
  <c r="D44" i="1" s="1"/>
  <c r="I44" i="15" s="1"/>
  <c r="D47" i="1" a="1"/>
  <c r="D47" i="1" s="1"/>
  <c r="I47" i="15" s="1"/>
  <c r="D50" i="1" a="1"/>
  <c r="D50" i="1" s="1"/>
  <c r="I50" i="15" s="1"/>
  <c r="D53" i="1" a="1"/>
  <c r="D53" i="1" s="1"/>
  <c r="I53" i="15" s="1"/>
  <c r="D56" i="1" a="1"/>
  <c r="D56" i="1" s="1"/>
  <c r="I56" i="15" s="1"/>
  <c r="D59" i="1" a="1"/>
  <c r="D59" i="1" s="1"/>
  <c r="I59" i="15" s="1"/>
  <c r="D62" i="1" a="1"/>
  <c r="D62" i="1" s="1"/>
  <c r="I62" i="15" s="1"/>
  <c r="D65" i="1" a="1"/>
  <c r="D65" i="1" s="1"/>
  <c r="I65" i="15" s="1"/>
  <c r="D68" i="1" a="1"/>
  <c r="D68" i="1" s="1"/>
  <c r="I68" i="15" s="1"/>
  <c r="H67" i="1" a="1"/>
  <c r="H67" i="1" s="1"/>
  <c r="J67" i="15" s="1"/>
  <c r="H127" i="1" a="1"/>
  <c r="H127" i="1" s="1"/>
  <c r="J127" i="15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G166" i="1" a="1"/>
  <c r="G166" i="1" s="1"/>
  <c r="F53" i="1" a="1"/>
  <c r="F53" i="1" s="1"/>
  <c r="R53" i="15" s="1"/>
  <c r="F124" i="1" a="1"/>
  <c r="F124" i="1" s="1"/>
  <c r="R124" i="15" s="1"/>
  <c r="F138" i="1" a="1"/>
  <c r="F138" i="1" s="1"/>
  <c r="R138" i="15" s="1"/>
  <c r="F152" i="1" a="1"/>
  <c r="F152" i="1" s="1"/>
  <c r="R152" i="15" s="1"/>
  <c r="D16" i="1" a="1"/>
  <c r="D16" i="1" s="1"/>
  <c r="I16" i="15" s="1"/>
  <c r="D25" i="1" a="1"/>
  <c r="D25" i="1" s="1"/>
  <c r="I25" i="15" s="1"/>
  <c r="D34" i="1" a="1"/>
  <c r="D34" i="1" s="1"/>
  <c r="I34" i="15" s="1"/>
  <c r="D43" i="1" a="1"/>
  <c r="D43" i="1" s="1"/>
  <c r="I43" i="15" s="1"/>
  <c r="D55" i="1" a="1"/>
  <c r="D55" i="1" s="1"/>
  <c r="I55" i="15" s="1"/>
  <c r="D60" i="1" a="1"/>
  <c r="D60" i="1" s="1"/>
  <c r="I60" i="15" s="1"/>
  <c r="D64" i="1" a="1"/>
  <c r="D64" i="1" s="1"/>
  <c r="I64" i="15" s="1"/>
  <c r="D69" i="1" a="1"/>
  <c r="D69" i="1" s="1"/>
  <c r="I69" i="15" s="1"/>
  <c r="D76" i="1" a="1"/>
  <c r="D76" i="1" s="1"/>
  <c r="I76" i="15" s="1"/>
  <c r="D80" i="1" a="1"/>
  <c r="D80" i="1" s="1"/>
  <c r="I80" i="15" s="1"/>
  <c r="D87" i="1" a="1"/>
  <c r="D87" i="1" s="1"/>
  <c r="I87" i="15" s="1"/>
  <c r="D94" i="1" a="1"/>
  <c r="D94" i="1" s="1"/>
  <c r="I94" i="15" s="1"/>
  <c r="D98" i="1" a="1"/>
  <c r="D98" i="1" s="1"/>
  <c r="I98" i="15" s="1"/>
  <c r="D105" i="1" a="1"/>
  <c r="D105" i="1" s="1"/>
  <c r="I105" i="15" s="1"/>
  <c r="D112" i="1" a="1"/>
  <c r="D112" i="1" s="1"/>
  <c r="I112" i="15" s="1"/>
  <c r="D116" i="1" a="1"/>
  <c r="D116" i="1" s="1"/>
  <c r="I116" i="15" s="1"/>
  <c r="D123" i="1" a="1"/>
  <c r="D123" i="1" s="1"/>
  <c r="I123" i="15" s="1"/>
  <c r="D130" i="1" a="1"/>
  <c r="D130" i="1" s="1"/>
  <c r="I130" i="15" s="1"/>
  <c r="D134" i="1" a="1"/>
  <c r="D134" i="1" s="1"/>
  <c r="I134" i="15" s="1"/>
  <c r="D141" i="1" a="1"/>
  <c r="D141" i="1" s="1"/>
  <c r="I141" i="15" s="1"/>
  <c r="D148" i="1" a="1"/>
  <c r="D148" i="1" s="1"/>
  <c r="I148" i="15" s="1"/>
  <c r="D152" i="1" a="1"/>
  <c r="D152" i="1" s="1"/>
  <c r="I152" i="15" s="1"/>
  <c r="D159" i="1" a="1"/>
  <c r="D159" i="1" s="1"/>
  <c r="I159" i="15" s="1"/>
  <c r="C18" i="1" a="1"/>
  <c r="C18" i="1" s="1"/>
  <c r="E18" i="15" s="1"/>
  <c r="C33" i="1" a="1"/>
  <c r="C33" i="1" s="1"/>
  <c r="E33" i="15" s="1"/>
  <c r="C48" i="1" a="1"/>
  <c r="C48" i="1" s="1"/>
  <c r="E48" i="15" s="1"/>
  <c r="C70" i="1" a="1"/>
  <c r="C70" i="1" s="1"/>
  <c r="E70" i="15" s="1"/>
  <c r="C88" i="1" a="1"/>
  <c r="C88" i="1" s="1"/>
  <c r="E88" i="15" s="1"/>
  <c r="C103" i="1" a="1"/>
  <c r="C103" i="1" s="1"/>
  <c r="E103" i="15" s="1"/>
  <c r="C120" i="1" a="1"/>
  <c r="C120" i="1" s="1"/>
  <c r="E120" i="15" s="1"/>
  <c r="C133" i="1" a="1"/>
  <c r="C133" i="1" s="1"/>
  <c r="E133" i="15" s="1"/>
  <c r="C148" i="1" a="1"/>
  <c r="C148" i="1" s="1"/>
  <c r="E148" i="15" s="1"/>
  <c r="K99" i="1" a="1"/>
  <c r="K99" i="1" s="1"/>
  <c r="H85" i="1" a="1"/>
  <c r="H85" i="1" s="1"/>
  <c r="J85" i="15" s="1"/>
  <c r="H134" i="1" a="1"/>
  <c r="H134" i="1" s="1"/>
  <c r="J134" i="15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G169" i="1" a="1"/>
  <c r="G169" i="1" s="1"/>
  <c r="F112" i="1" a="1"/>
  <c r="F112" i="1" s="1"/>
  <c r="R112" i="15" s="1"/>
  <c r="F126" i="1" a="1"/>
  <c r="F126" i="1" s="1"/>
  <c r="R126" i="15" s="1"/>
  <c r="F141" i="1" a="1"/>
  <c r="F141" i="1" s="1"/>
  <c r="R141" i="15" s="1"/>
  <c r="F154" i="1" a="1"/>
  <c r="F154" i="1" s="1"/>
  <c r="R154" i="15" s="1"/>
  <c r="F167" i="1" a="1"/>
  <c r="F167" i="1" s="1"/>
  <c r="R167" i="15" s="1"/>
  <c r="D51" i="1" a="1"/>
  <c r="D51" i="1" s="1"/>
  <c r="I51" i="15" s="1"/>
  <c r="D73" i="1" a="1"/>
  <c r="D73" i="1" s="1"/>
  <c r="I73" i="15" s="1"/>
  <c r="D77" i="1" a="1"/>
  <c r="D77" i="1" s="1"/>
  <c r="I77" i="15" s="1"/>
  <c r="D84" i="1" a="1"/>
  <c r="D84" i="1" s="1"/>
  <c r="I84" i="15" s="1"/>
  <c r="D91" i="1" a="1"/>
  <c r="D91" i="1" s="1"/>
  <c r="I91" i="15" s="1"/>
  <c r="D95" i="1" a="1"/>
  <c r="D95" i="1" s="1"/>
  <c r="I95" i="15" s="1"/>
  <c r="D102" i="1" a="1"/>
  <c r="D102" i="1" s="1"/>
  <c r="I102" i="15" s="1"/>
  <c r="D109" i="1" a="1"/>
  <c r="D109" i="1" s="1"/>
  <c r="I109" i="15" s="1"/>
  <c r="D113" i="1" a="1"/>
  <c r="D113" i="1" s="1"/>
  <c r="I113" i="15" s="1"/>
  <c r="D120" i="1" a="1"/>
  <c r="D120" i="1" s="1"/>
  <c r="I120" i="15" s="1"/>
  <c r="D127" i="1" a="1"/>
  <c r="D127" i="1" s="1"/>
  <c r="I127" i="15" s="1"/>
  <c r="D131" i="1" a="1"/>
  <c r="D131" i="1" s="1"/>
  <c r="I131" i="15" s="1"/>
  <c r="D138" i="1" a="1"/>
  <c r="D138" i="1" s="1"/>
  <c r="I138" i="15" s="1"/>
  <c r="D145" i="1" a="1"/>
  <c r="D145" i="1" s="1"/>
  <c r="I145" i="15" s="1"/>
  <c r="D149" i="1" a="1"/>
  <c r="D149" i="1" s="1"/>
  <c r="I149" i="15" s="1"/>
  <c r="D156" i="1" a="1"/>
  <c r="D156" i="1" s="1"/>
  <c r="I156" i="15" s="1"/>
  <c r="D163" i="1" a="1"/>
  <c r="D163" i="1" s="1"/>
  <c r="I163" i="15" s="1"/>
  <c r="D168" i="1" a="1"/>
  <c r="D168" i="1" s="1"/>
  <c r="I168" i="15" s="1"/>
  <c r="C21" i="1" a="1"/>
  <c r="C21" i="1" s="1"/>
  <c r="E21" i="15" s="1"/>
  <c r="C52" i="1" a="1"/>
  <c r="C52" i="1" s="1"/>
  <c r="E52" i="15" s="1"/>
  <c r="C72" i="1" a="1"/>
  <c r="C72" i="1" s="1"/>
  <c r="E72" i="15" s="1"/>
  <c r="C90" i="1" a="1"/>
  <c r="C90" i="1" s="1"/>
  <c r="E90" i="15" s="1"/>
  <c r="C106" i="1" a="1"/>
  <c r="C106" i="1" s="1"/>
  <c r="E106" i="15" s="1"/>
  <c r="C121" i="1" a="1"/>
  <c r="C121" i="1" s="1"/>
  <c r="E121" i="15" s="1"/>
  <c r="C136" i="1" a="1"/>
  <c r="C136" i="1" s="1"/>
  <c r="E136" i="15" s="1"/>
  <c r="C150" i="1" a="1"/>
  <c r="C150" i="1" s="1"/>
  <c r="E150" i="15" s="1"/>
  <c r="C160" i="1" a="1"/>
  <c r="C160" i="1" s="1"/>
  <c r="E160" i="15" s="1"/>
  <c r="L103" i="1" a="1"/>
  <c r="L103" i="1" s="1"/>
  <c r="K135" i="1" a="1"/>
  <c r="K135" i="1" s="1"/>
  <c r="L135" i="15" s="1"/>
  <c r="H97" i="1" a="1"/>
  <c r="H97" i="1" s="1"/>
  <c r="J97" i="15" s="1"/>
  <c r="H142" i="1" a="1"/>
  <c r="H142" i="1" s="1"/>
  <c r="J142" i="15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H165" i="1" a="1"/>
  <c r="H165" i="1" s="1"/>
  <c r="J165" i="15" s="1"/>
  <c r="F65" i="1" a="1"/>
  <c r="F65" i="1" s="1"/>
  <c r="R65" i="15" s="1"/>
  <c r="F129" i="1" a="1"/>
  <c r="F129" i="1" s="1"/>
  <c r="R129" i="15" s="1"/>
  <c r="F156" i="1" a="1"/>
  <c r="F156" i="1" s="1"/>
  <c r="R156" i="15" s="1"/>
  <c r="D3" i="1" a="1"/>
  <c r="D3" i="1" s="1"/>
  <c r="I3" i="15" s="1"/>
  <c r="D19" i="1" a="1"/>
  <c r="D19" i="1" s="1"/>
  <c r="I19" i="15" s="1"/>
  <c r="D28" i="1" a="1"/>
  <c r="D28" i="1" s="1"/>
  <c r="I28" i="15" s="1"/>
  <c r="D46" i="1" a="1"/>
  <c r="D46" i="1" s="1"/>
  <c r="I46" i="15" s="1"/>
  <c r="D52" i="1" a="1"/>
  <c r="D52" i="1" s="1"/>
  <c r="I52" i="15" s="1"/>
  <c r="D57" i="1" a="1"/>
  <c r="D57" i="1" s="1"/>
  <c r="I57" i="15" s="1"/>
  <c r="D61" i="1" a="1"/>
  <c r="D61" i="1" s="1"/>
  <c r="I61" i="15" s="1"/>
  <c r="D66" i="1" a="1"/>
  <c r="D66" i="1" s="1"/>
  <c r="I66" i="15" s="1"/>
  <c r="D70" i="1" a="1"/>
  <c r="D70" i="1" s="1"/>
  <c r="I70" i="15" s="1"/>
  <c r="D74" i="1" a="1"/>
  <c r="D74" i="1" s="1"/>
  <c r="I74" i="15" s="1"/>
  <c r="D81" i="1" a="1"/>
  <c r="D81" i="1" s="1"/>
  <c r="I81" i="15" s="1"/>
  <c r="D88" i="1" a="1"/>
  <c r="D88" i="1" s="1"/>
  <c r="I88" i="15" s="1"/>
  <c r="D92" i="1" a="1"/>
  <c r="D92" i="1" s="1"/>
  <c r="I92" i="15" s="1"/>
  <c r="D99" i="1" a="1"/>
  <c r="D99" i="1" s="1"/>
  <c r="I99" i="15" s="1"/>
  <c r="D106" i="1" a="1"/>
  <c r="D106" i="1" s="1"/>
  <c r="I106" i="15" s="1"/>
  <c r="D110" i="1" a="1"/>
  <c r="D110" i="1" s="1"/>
  <c r="I110" i="15" s="1"/>
  <c r="D117" i="1" a="1"/>
  <c r="D117" i="1" s="1"/>
  <c r="I117" i="15" s="1"/>
  <c r="D124" i="1" a="1"/>
  <c r="D124" i="1" s="1"/>
  <c r="I124" i="15" s="1"/>
  <c r="D128" i="1" a="1"/>
  <c r="D128" i="1" s="1"/>
  <c r="I128" i="15" s="1"/>
  <c r="D135" i="1" a="1"/>
  <c r="D135" i="1" s="1"/>
  <c r="I135" i="15" s="1"/>
  <c r="D142" i="1" a="1"/>
  <c r="D142" i="1" s="1"/>
  <c r="I142" i="15" s="1"/>
  <c r="D146" i="1" a="1"/>
  <c r="D146" i="1" s="1"/>
  <c r="I146" i="15" s="1"/>
  <c r="D153" i="1" a="1"/>
  <c r="D153" i="1" s="1"/>
  <c r="I153" i="15" s="1"/>
  <c r="D160" i="1" a="1"/>
  <c r="D160" i="1" s="1"/>
  <c r="I160" i="15" s="1"/>
  <c r="D164" i="1" a="1"/>
  <c r="D164" i="1" s="1"/>
  <c r="I164" i="15" s="1"/>
  <c r="J168" i="1" a="1"/>
  <c r="J168" i="1" s="1"/>
  <c r="C24" i="1" a="1"/>
  <c r="C24" i="1" s="1"/>
  <c r="E24" i="15" s="1"/>
  <c r="C34" i="1" a="1"/>
  <c r="C34" i="1" s="1"/>
  <c r="E34" i="15" s="1"/>
  <c r="C54" i="1" a="1"/>
  <c r="C54" i="1" s="1"/>
  <c r="E54" i="15" s="1"/>
  <c r="C76" i="1" a="1"/>
  <c r="C76" i="1" s="1"/>
  <c r="E76" i="15" s="1"/>
  <c r="C94" i="1" a="1"/>
  <c r="C94" i="1" s="1"/>
  <c r="E94" i="15" s="1"/>
  <c r="C108" i="1" a="1"/>
  <c r="C108" i="1" s="1"/>
  <c r="E108" i="15" s="1"/>
  <c r="C124" i="1" a="1"/>
  <c r="C124" i="1" s="1"/>
  <c r="E124" i="15" s="1"/>
  <c r="C138" i="1" a="1"/>
  <c r="C138" i="1" s="1"/>
  <c r="E138" i="15" s="1"/>
  <c r="C151" i="1" a="1"/>
  <c r="C151" i="1" s="1"/>
  <c r="E151" i="15" s="1"/>
  <c r="C162" i="1" a="1"/>
  <c r="C162" i="1" s="1"/>
  <c r="E162" i="15" s="1"/>
  <c r="L130" i="1" a="1"/>
  <c r="L130" i="1" s="1"/>
  <c r="H3" i="1" a="1"/>
  <c r="H3" i="1" s="1"/>
  <c r="J3" i="15" s="1"/>
  <c r="H106" i="1" a="1"/>
  <c r="H106" i="1" s="1"/>
  <c r="J106" i="15" s="1"/>
  <c r="H149" i="1" a="1"/>
  <c r="H149" i="1" s="1"/>
  <c r="J149" i="15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H168" i="1" a="1"/>
  <c r="H168" i="1" s="1"/>
  <c r="J168" i="15" s="1"/>
  <c r="F81" i="1" a="1"/>
  <c r="F81" i="1" s="1"/>
  <c r="R81" i="15" s="1"/>
  <c r="F116" i="1" a="1"/>
  <c r="F116" i="1" s="1"/>
  <c r="R116" i="15" s="1"/>
  <c r="F131" i="1" a="1"/>
  <c r="F131" i="1" s="1"/>
  <c r="R131" i="15" s="1"/>
  <c r="F145" i="1" a="1"/>
  <c r="F145" i="1" s="1"/>
  <c r="R145" i="15" s="1"/>
  <c r="F159" i="1" a="1"/>
  <c r="F159" i="1" s="1"/>
  <c r="R159" i="15" s="1"/>
  <c r="D71" i="1" a="1"/>
  <c r="D71" i="1" s="1"/>
  <c r="I71" i="15" s="1"/>
  <c r="D78" i="1" a="1"/>
  <c r="D78" i="1" s="1"/>
  <c r="I78" i="15" s="1"/>
  <c r="D85" i="1" a="1"/>
  <c r="D85" i="1" s="1"/>
  <c r="I85" i="15" s="1"/>
  <c r="D89" i="1" a="1"/>
  <c r="D89" i="1" s="1"/>
  <c r="I89" i="15" s="1"/>
  <c r="D96" i="1" a="1"/>
  <c r="D96" i="1" s="1"/>
  <c r="I96" i="15" s="1"/>
  <c r="D103" i="1" a="1"/>
  <c r="D103" i="1" s="1"/>
  <c r="I103" i="15" s="1"/>
  <c r="D107" i="1" a="1"/>
  <c r="D107" i="1" s="1"/>
  <c r="I107" i="15" s="1"/>
  <c r="D114" i="1" a="1"/>
  <c r="D114" i="1" s="1"/>
  <c r="I114" i="15" s="1"/>
  <c r="D121" i="1" a="1"/>
  <c r="D121" i="1" s="1"/>
  <c r="I121" i="15" s="1"/>
  <c r="D125" i="1" a="1"/>
  <c r="D125" i="1" s="1"/>
  <c r="I125" i="15" s="1"/>
  <c r="D132" i="1" a="1"/>
  <c r="D132" i="1" s="1"/>
  <c r="I132" i="15" s="1"/>
  <c r="D139" i="1" a="1"/>
  <c r="D139" i="1" s="1"/>
  <c r="I139" i="15" s="1"/>
  <c r="D143" i="1" a="1"/>
  <c r="D143" i="1" s="1"/>
  <c r="I143" i="15" s="1"/>
  <c r="D150" i="1" a="1"/>
  <c r="D150" i="1" s="1"/>
  <c r="I150" i="15" s="1"/>
  <c r="D157" i="1" a="1"/>
  <c r="D157" i="1" s="1"/>
  <c r="I157" i="15" s="1"/>
  <c r="D161" i="1" a="1"/>
  <c r="D161" i="1" s="1"/>
  <c r="I161" i="15" s="1"/>
  <c r="D165" i="1" a="1"/>
  <c r="D165" i="1" s="1"/>
  <c r="I165" i="15" s="1"/>
  <c r="D169" i="1" a="1"/>
  <c r="D169" i="1" s="1"/>
  <c r="I169" i="15" s="1"/>
  <c r="C12" i="1" a="1"/>
  <c r="C12" i="1" s="1"/>
  <c r="E12" i="15" s="1"/>
  <c r="C36" i="1" a="1"/>
  <c r="C36" i="1" s="1"/>
  <c r="E36" i="15" s="1"/>
  <c r="C58" i="1" a="1"/>
  <c r="C58" i="1" s="1"/>
  <c r="E58" i="15" s="1"/>
  <c r="C78" i="1" a="1"/>
  <c r="C78" i="1" s="1"/>
  <c r="E78" i="15" s="1"/>
  <c r="C96" i="1" a="1"/>
  <c r="C96" i="1" s="1"/>
  <c r="E96" i="15" s="1"/>
  <c r="C112" i="1" a="1"/>
  <c r="C112" i="1" s="1"/>
  <c r="E112" i="15" s="1"/>
  <c r="C126" i="1" a="1"/>
  <c r="C126" i="1" s="1"/>
  <c r="E126" i="15" s="1"/>
  <c r="C139" i="1" a="1"/>
  <c r="C139" i="1" s="1"/>
  <c r="E139" i="15" s="1"/>
  <c r="C153" i="1" a="1"/>
  <c r="C153" i="1" s="1"/>
  <c r="E153" i="15" s="1"/>
  <c r="L157" i="1" a="1"/>
  <c r="L157" i="1" s="1"/>
  <c r="H31" i="1" a="1"/>
  <c r="H31" i="1" s="1"/>
  <c r="J31" i="15" s="1"/>
  <c r="H113" i="1" a="1"/>
  <c r="H113" i="1" s="1"/>
  <c r="J113" i="15" s="1"/>
  <c r="H156" i="1" a="1"/>
  <c r="H156" i="1" s="1"/>
  <c r="J156" i="15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R4" i="15" s="1"/>
  <c r="F103" i="1" a="1"/>
  <c r="F103" i="1" s="1"/>
  <c r="R103" i="15" s="1"/>
  <c r="F119" i="1" a="1"/>
  <c r="F119" i="1" s="1"/>
  <c r="R119" i="15" s="1"/>
  <c r="F134" i="1" a="1"/>
  <c r="F134" i="1" s="1"/>
  <c r="R134" i="15" s="1"/>
  <c r="D13" i="1" a="1"/>
  <c r="D13" i="1" s="1"/>
  <c r="I13" i="15" s="1"/>
  <c r="D22" i="1" a="1"/>
  <c r="D22" i="1" s="1"/>
  <c r="I22" i="15" s="1"/>
  <c r="D31" i="1" a="1"/>
  <c r="D31" i="1" s="1"/>
  <c r="I31" i="15" s="1"/>
  <c r="D40" i="1" a="1"/>
  <c r="D40" i="1" s="1"/>
  <c r="I40" i="15" s="1"/>
  <c r="D48" i="1" a="1"/>
  <c r="D48" i="1" s="1"/>
  <c r="I48" i="15" s="1"/>
  <c r="D54" i="1" a="1"/>
  <c r="D54" i="1" s="1"/>
  <c r="I54" i="15" s="1"/>
  <c r="D58" i="1" a="1"/>
  <c r="D58" i="1" s="1"/>
  <c r="I58" i="15" s="1"/>
  <c r="D63" i="1" a="1"/>
  <c r="D63" i="1" s="1"/>
  <c r="I63" i="15" s="1"/>
  <c r="D67" i="1" a="1"/>
  <c r="D67" i="1" s="1"/>
  <c r="I67" i="15" s="1"/>
  <c r="D75" i="1" a="1"/>
  <c r="D75" i="1" s="1"/>
  <c r="I75" i="15" s="1"/>
  <c r="D82" i="1" a="1"/>
  <c r="D82" i="1" s="1"/>
  <c r="I82" i="15" s="1"/>
  <c r="D86" i="1" a="1"/>
  <c r="D86" i="1" s="1"/>
  <c r="I86" i="15" s="1"/>
  <c r="D93" i="1" a="1"/>
  <c r="D93" i="1" s="1"/>
  <c r="I93" i="15" s="1"/>
  <c r="D100" i="1" a="1"/>
  <c r="D100" i="1" s="1"/>
  <c r="I100" i="15" s="1"/>
  <c r="D104" i="1" a="1"/>
  <c r="D104" i="1" s="1"/>
  <c r="I104" i="15" s="1"/>
  <c r="D111" i="1" a="1"/>
  <c r="D111" i="1" s="1"/>
  <c r="I111" i="15" s="1"/>
  <c r="D118" i="1" a="1"/>
  <c r="D118" i="1" s="1"/>
  <c r="I118" i="15" s="1"/>
  <c r="D122" i="1" a="1"/>
  <c r="D122" i="1" s="1"/>
  <c r="I122" i="15" s="1"/>
  <c r="D129" i="1" a="1"/>
  <c r="D129" i="1" s="1"/>
  <c r="I129" i="15" s="1"/>
  <c r="D136" i="1" a="1"/>
  <c r="D136" i="1" s="1"/>
  <c r="I136" i="15" s="1"/>
  <c r="D140" i="1" a="1"/>
  <c r="D140" i="1" s="1"/>
  <c r="I140" i="15" s="1"/>
  <c r="D147" i="1" a="1"/>
  <c r="D147" i="1" s="1"/>
  <c r="I147" i="15" s="1"/>
  <c r="D154" i="1" a="1"/>
  <c r="D154" i="1" s="1"/>
  <c r="I154" i="15" s="1"/>
  <c r="D158" i="1" a="1"/>
  <c r="D158" i="1" s="1"/>
  <c r="I158" i="15" s="1"/>
  <c r="C15" i="1" a="1"/>
  <c r="C15" i="1" s="1"/>
  <c r="E15" i="15" s="1"/>
  <c r="C27" i="1" a="1"/>
  <c r="C27" i="1" s="1"/>
  <c r="E27" i="15" s="1"/>
  <c r="C40" i="1" a="1"/>
  <c r="C40" i="1" s="1"/>
  <c r="E40" i="15" s="1"/>
  <c r="C60" i="1" a="1"/>
  <c r="C60" i="1" s="1"/>
  <c r="E60" i="15" s="1"/>
  <c r="C79" i="1" a="1"/>
  <c r="C79" i="1" s="1"/>
  <c r="E79" i="15" s="1"/>
  <c r="C97" i="1" a="1"/>
  <c r="C97" i="1" s="1"/>
  <c r="E97" i="15" s="1"/>
  <c r="C114" i="1" a="1"/>
  <c r="C114" i="1" s="1"/>
  <c r="E114" i="15" s="1"/>
  <c r="C130" i="1" a="1"/>
  <c r="C130" i="1" s="1"/>
  <c r="E130" i="15" s="1"/>
  <c r="C142" i="1" a="1"/>
  <c r="C142" i="1" s="1"/>
  <c r="E142" i="15" s="1"/>
  <c r="C154" i="1" a="1"/>
  <c r="C154" i="1" s="1"/>
  <c r="E154" i="15" s="1"/>
  <c r="C166" i="1" a="1"/>
  <c r="C166" i="1" s="1"/>
  <c r="E166" i="15" s="1"/>
  <c r="D133" i="1" a="1"/>
  <c r="D133" i="1" s="1"/>
  <c r="I133" i="15" s="1"/>
  <c r="D151" i="1" a="1"/>
  <c r="D151" i="1" s="1"/>
  <c r="I151" i="15" s="1"/>
  <c r="D162" i="1" a="1"/>
  <c r="D162" i="1" s="1"/>
  <c r="I162" i="15" s="1"/>
  <c r="C30" i="1" a="1"/>
  <c r="C30" i="1" s="1"/>
  <c r="E30" i="15" s="1"/>
  <c r="C42" i="1" a="1"/>
  <c r="C42" i="1" s="1"/>
  <c r="E42" i="15" s="1"/>
  <c r="C84" i="1" a="1"/>
  <c r="C84" i="1" s="1"/>
  <c r="E84" i="15" s="1"/>
  <c r="C102" i="1" a="1"/>
  <c r="C102" i="1" s="1"/>
  <c r="E102" i="15" s="1"/>
  <c r="C132" i="1" a="1"/>
  <c r="C132" i="1" s="1"/>
  <c r="E132" i="15" s="1"/>
  <c r="C156" i="1" a="1"/>
  <c r="C156" i="1" s="1"/>
  <c r="E156" i="15" s="1"/>
  <c r="H49" i="1" a="1"/>
  <c r="H49" i="1" s="1"/>
  <c r="J49" i="15" s="1"/>
  <c r="H120" i="1" a="1"/>
  <c r="H120" i="1" s="1"/>
  <c r="J120" i="15" s="1"/>
  <c r="H163" i="1" a="1"/>
  <c r="H163" i="1" s="1"/>
  <c r="J163" i="15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G163" i="1" a="1"/>
  <c r="G163" i="1" s="1"/>
  <c r="F44" i="1" a="1"/>
  <c r="F44" i="1" s="1"/>
  <c r="R44" i="15" s="1"/>
  <c r="F107" i="1" a="1"/>
  <c r="F107" i="1" s="1"/>
  <c r="R107" i="15" s="1"/>
  <c r="F122" i="1" a="1"/>
  <c r="F122" i="1" s="1"/>
  <c r="R122" i="15" s="1"/>
  <c r="F136" i="1" a="1"/>
  <c r="F136" i="1" s="1"/>
  <c r="R136" i="15" s="1"/>
  <c r="F149" i="1" a="1"/>
  <c r="F149" i="1" s="1"/>
  <c r="R149" i="15" s="1"/>
  <c r="F163" i="1" a="1"/>
  <c r="F163" i="1" s="1"/>
  <c r="R163" i="15" s="1"/>
  <c r="D49" i="1" a="1"/>
  <c r="D49" i="1" s="1"/>
  <c r="I49" i="15" s="1"/>
  <c r="D72" i="1" a="1"/>
  <c r="D72" i="1" s="1"/>
  <c r="I72" i="15" s="1"/>
  <c r="D79" i="1" a="1"/>
  <c r="D79" i="1" s="1"/>
  <c r="I79" i="15" s="1"/>
  <c r="D83" i="1" a="1"/>
  <c r="D83" i="1" s="1"/>
  <c r="I83" i="15" s="1"/>
  <c r="D90" i="1" a="1"/>
  <c r="D90" i="1" s="1"/>
  <c r="I90" i="15" s="1"/>
  <c r="D97" i="1" a="1"/>
  <c r="D97" i="1" s="1"/>
  <c r="I97" i="15" s="1"/>
  <c r="D101" i="1" a="1"/>
  <c r="D101" i="1" s="1"/>
  <c r="I101" i="15" s="1"/>
  <c r="D108" i="1" a="1"/>
  <c r="D108" i="1" s="1"/>
  <c r="I108" i="15" s="1"/>
  <c r="D115" i="1" a="1"/>
  <c r="D115" i="1" s="1"/>
  <c r="I115" i="15" s="1"/>
  <c r="D119" i="1" a="1"/>
  <c r="D119" i="1" s="1"/>
  <c r="I119" i="15" s="1"/>
  <c r="D126" i="1" a="1"/>
  <c r="D126" i="1" s="1"/>
  <c r="I126" i="15" s="1"/>
  <c r="D137" i="1" a="1"/>
  <c r="D137" i="1" s="1"/>
  <c r="I137" i="15" s="1"/>
  <c r="D144" i="1" a="1"/>
  <c r="D144" i="1" s="1"/>
  <c r="I144" i="15" s="1"/>
  <c r="D155" i="1" a="1"/>
  <c r="D155" i="1" s="1"/>
  <c r="I155" i="15" s="1"/>
  <c r="D166" i="1" a="1"/>
  <c r="D166" i="1" s="1"/>
  <c r="I166" i="15" s="1"/>
  <c r="C66" i="1" a="1"/>
  <c r="C66" i="1" s="1"/>
  <c r="E66" i="15" s="1"/>
  <c r="C115" i="1" a="1"/>
  <c r="C115" i="1" s="1"/>
  <c r="E115" i="15" s="1"/>
  <c r="C144" i="1" a="1"/>
  <c r="C144" i="1" s="1"/>
  <c r="E144" i="15" s="1"/>
  <c r="H7" i="1" a="1"/>
  <c r="H7" i="1" s="1"/>
  <c r="J7" i="15" s="1"/>
  <c r="C28" i="1" a="1"/>
  <c r="C28" i="1" s="1"/>
  <c r="E28" i="15" s="1"/>
  <c r="J165" i="1" a="1"/>
  <c r="J165" i="1" s="1"/>
  <c r="J169" i="1" a="1"/>
  <c r="J169" i="1" s="1"/>
  <c r="C165" i="1" a="1"/>
  <c r="C165" i="1" s="1"/>
  <c r="E165" i="15" s="1"/>
  <c r="C87" i="1" a="1"/>
  <c r="C87" i="1" s="1"/>
  <c r="E87" i="15" s="1"/>
  <c r="N168" i="1" a="1"/>
  <c r="N168" i="1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E157" i="15" s="1"/>
  <c r="C31" i="1" a="1"/>
  <c r="C31" i="1" s="1"/>
  <c r="E31" i="15" s="1"/>
  <c r="C5" i="1" a="1"/>
  <c r="C5" i="1" s="1"/>
  <c r="E5" i="15" s="1"/>
  <c r="C161" i="1" a="1"/>
  <c r="C161" i="1" s="1"/>
  <c r="E161" i="15" s="1"/>
  <c r="C149" i="1" a="1"/>
  <c r="C149" i="1" s="1"/>
  <c r="E149" i="15" s="1"/>
  <c r="C137" i="1" a="1"/>
  <c r="C137" i="1" s="1"/>
  <c r="E137" i="15" s="1"/>
  <c r="C125" i="1" a="1"/>
  <c r="C125" i="1" s="1"/>
  <c r="E125" i="15" s="1"/>
  <c r="C113" i="1" a="1"/>
  <c r="C113" i="1" s="1"/>
  <c r="E113" i="15" s="1"/>
  <c r="C101" i="1" a="1"/>
  <c r="C101" i="1" s="1"/>
  <c r="E101" i="15" s="1"/>
  <c r="C89" i="1" a="1"/>
  <c r="C89" i="1" s="1"/>
  <c r="E89" i="15" s="1"/>
  <c r="C77" i="1" a="1"/>
  <c r="C77" i="1" s="1"/>
  <c r="E77" i="15" s="1"/>
  <c r="C65" i="1" a="1"/>
  <c r="C65" i="1" s="1"/>
  <c r="E65" i="15" s="1"/>
  <c r="C53" i="1" a="1"/>
  <c r="C53" i="1" s="1"/>
  <c r="E53" i="15" s="1"/>
  <c r="C41" i="1" a="1"/>
  <c r="C41" i="1" s="1"/>
  <c r="E41" i="15" s="1"/>
  <c r="C29" i="1" a="1"/>
  <c r="C29" i="1" s="1"/>
  <c r="E29" i="15" s="1"/>
  <c r="C17" i="1" a="1"/>
  <c r="C17" i="1" s="1"/>
  <c r="E17" i="15" s="1"/>
  <c r="C67" i="1" a="1"/>
  <c r="C67" i="1" s="1"/>
  <c r="E67" i="15" s="1"/>
  <c r="J166" i="1" a="1"/>
  <c r="J166" i="1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E129" i="15" s="1"/>
  <c r="C111" i="1" a="1"/>
  <c r="C111" i="1" s="1"/>
  <c r="E111" i="15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14" i="1" a="1"/>
  <c r="J14" i="1" s="1"/>
  <c r="C147" i="1" a="1"/>
  <c r="C147" i="1" s="1"/>
  <c r="E147" i="15" s="1"/>
  <c r="C64" i="1" a="1"/>
  <c r="C64" i="1" s="1"/>
  <c r="E64" i="15" s="1"/>
  <c r="H10" i="1" a="1"/>
  <c r="H10" i="1" s="1"/>
  <c r="J10" i="15" s="1"/>
  <c r="N165" i="1" a="1"/>
  <c r="N165" i="1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P169" i="1" a="1"/>
  <c r="P16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E145" i="15" s="1"/>
  <c r="C55" i="1" a="1"/>
  <c r="C55" i="1" s="1"/>
  <c r="E55" i="15" s="1"/>
  <c r="C9" i="1" a="1"/>
  <c r="C9" i="1" s="1"/>
  <c r="E9" i="15" s="1"/>
  <c r="C13" i="1" a="1"/>
  <c r="C13" i="1" s="1"/>
  <c r="E13" i="15" s="1"/>
  <c r="C63" i="1" a="1"/>
  <c r="C63" i="1" s="1"/>
  <c r="E63" i="15" s="1"/>
  <c r="C61" i="1" a="1"/>
  <c r="C61" i="1" s="1"/>
  <c r="E61" i="15" s="1"/>
  <c r="C75" i="1" a="1"/>
  <c r="C75" i="1" s="1"/>
  <c r="E75" i="15" s="1"/>
  <c r="C11" i="1" a="1"/>
  <c r="C11" i="1" s="1"/>
  <c r="E11" i="15" s="1"/>
  <c r="C158" i="1" a="1"/>
  <c r="C158" i="1" s="1"/>
  <c r="E158" i="15" s="1"/>
  <c r="C146" i="1" a="1"/>
  <c r="C146" i="1" s="1"/>
  <c r="E146" i="15" s="1"/>
  <c r="C134" i="1" a="1"/>
  <c r="C134" i="1" s="1"/>
  <c r="E134" i="15" s="1"/>
  <c r="C122" i="1" a="1"/>
  <c r="C122" i="1" s="1"/>
  <c r="E122" i="15" s="1"/>
  <c r="C110" i="1" a="1"/>
  <c r="C110" i="1" s="1"/>
  <c r="E110" i="15" s="1"/>
  <c r="C98" i="1" a="1"/>
  <c r="C98" i="1" s="1"/>
  <c r="E98" i="15" s="1"/>
  <c r="C86" i="1" a="1"/>
  <c r="C86" i="1" s="1"/>
  <c r="E86" i="15" s="1"/>
  <c r="C74" i="1" a="1"/>
  <c r="C74" i="1" s="1"/>
  <c r="E74" i="15" s="1"/>
  <c r="C62" i="1" a="1"/>
  <c r="C62" i="1" s="1"/>
  <c r="E62" i="15" s="1"/>
  <c r="C50" i="1" a="1"/>
  <c r="C50" i="1" s="1"/>
  <c r="E50" i="15" s="1"/>
  <c r="C38" i="1" a="1"/>
  <c r="C38" i="1" s="1"/>
  <c r="E38" i="15" s="1"/>
  <c r="C26" i="1" a="1"/>
  <c r="C26" i="1" s="1"/>
  <c r="E26" i="15" s="1"/>
  <c r="C14" i="1" a="1"/>
  <c r="C14" i="1" s="1"/>
  <c r="E14" i="15" s="1"/>
  <c r="C109" i="1" a="1"/>
  <c r="C109" i="1" s="1"/>
  <c r="E109" i="15" s="1"/>
  <c r="C37" i="1" a="1"/>
  <c r="C37" i="1" s="1"/>
  <c r="E37" i="15" s="1"/>
  <c r="J21" i="1" a="1"/>
  <c r="J21" i="1" s="1"/>
  <c r="J9" i="1" a="1"/>
  <c r="J9" i="1" s="1"/>
  <c r="C93" i="1" a="1"/>
  <c r="C93" i="1" s="1"/>
  <c r="E93" i="15" s="1"/>
  <c r="C141" i="1" a="1"/>
  <c r="C141" i="1" s="1"/>
  <c r="E141" i="15" s="1"/>
  <c r="C51" i="1" a="1"/>
  <c r="C51" i="1" s="1"/>
  <c r="E51" i="15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E3" i="15" s="1"/>
  <c r="C7" i="1" a="1"/>
  <c r="C7" i="1" s="1"/>
  <c r="E7" i="15" s="1"/>
  <c r="N167" i="1" a="1"/>
  <c r="N167" i="1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E135" i="15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E57" i="15" s="1"/>
  <c r="C25" i="1" a="1"/>
  <c r="C25" i="1" s="1"/>
  <c r="E25" i="15" s="1"/>
  <c r="C169" i="1" a="1"/>
  <c r="C169" i="1" s="1"/>
  <c r="E169" i="15" s="1"/>
  <c r="C105" i="1" a="1"/>
  <c r="C105" i="1" s="1"/>
  <c r="E105" i="15" s="1"/>
  <c r="J167" i="1" a="1"/>
  <c r="J167" i="1" s="1"/>
  <c r="C118" i="1" a="1"/>
  <c r="C118" i="1" s="1"/>
  <c r="E118" i="15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63" i="1" a="1"/>
  <c r="J163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E127" i="15" s="1"/>
  <c r="C19" i="1" a="1"/>
  <c r="C19" i="1" s="1"/>
  <c r="E19" i="15" s="1"/>
  <c r="C117" i="1" a="1"/>
  <c r="C117" i="1" s="1"/>
  <c r="E117" i="15" s="1"/>
  <c r="C167" i="1" a="1"/>
  <c r="C167" i="1" s="1"/>
  <c r="E167" i="15" s="1"/>
  <c r="C155" i="1" a="1"/>
  <c r="C155" i="1" s="1"/>
  <c r="E155" i="15" s="1"/>
  <c r="C143" i="1" a="1"/>
  <c r="C143" i="1" s="1"/>
  <c r="E143" i="15" s="1"/>
  <c r="C131" i="1" a="1"/>
  <c r="C131" i="1" s="1"/>
  <c r="E131" i="15" s="1"/>
  <c r="C119" i="1" a="1"/>
  <c r="C119" i="1" s="1"/>
  <c r="E119" i="15" s="1"/>
  <c r="C107" i="1" a="1"/>
  <c r="C107" i="1" s="1"/>
  <c r="E107" i="15" s="1"/>
  <c r="C95" i="1" a="1"/>
  <c r="C95" i="1" s="1"/>
  <c r="E95" i="15" s="1"/>
  <c r="C83" i="1" a="1"/>
  <c r="C83" i="1" s="1"/>
  <c r="E83" i="15" s="1"/>
  <c r="C71" i="1" a="1"/>
  <c r="C71" i="1" s="1"/>
  <c r="E71" i="15" s="1"/>
  <c r="C59" i="1" a="1"/>
  <c r="C59" i="1" s="1"/>
  <c r="E59" i="15" s="1"/>
  <c r="C47" i="1" a="1"/>
  <c r="C47" i="1" s="1"/>
  <c r="E47" i="15" s="1"/>
  <c r="C35" i="1" a="1"/>
  <c r="C35" i="1" s="1"/>
  <c r="E35" i="15" s="1"/>
  <c r="C23" i="1" a="1"/>
  <c r="C23" i="1" s="1"/>
  <c r="E23" i="15" s="1"/>
  <c r="C99" i="1" a="1"/>
  <c r="C99" i="1" s="1"/>
  <c r="E99" i="15" s="1"/>
  <c r="J4" i="1" a="1"/>
  <c r="J4" i="1" s="1"/>
  <c r="C2" i="1" a="1"/>
  <c r="C2" i="1" s="1"/>
  <c r="E2" i="15" s="1"/>
  <c r="C43" i="1" a="1"/>
  <c r="C43" i="1" s="1"/>
  <c r="E43" i="15" s="1"/>
  <c r="C16" i="1" a="1"/>
  <c r="C16" i="1" s="1"/>
  <c r="E16" i="15" s="1"/>
  <c r="J164" i="1" a="1"/>
  <c r="J164" i="1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E10" i="15" s="1"/>
  <c r="C100" i="1" a="1"/>
  <c r="C100" i="1" s="1"/>
  <c r="E100" i="15" s="1"/>
  <c r="J33" i="1" a="1"/>
  <c r="J33" i="1" s="1"/>
  <c r="J15" i="1" a="1"/>
  <c r="J15" i="1" s="1"/>
  <c r="C82" i="1" a="1"/>
  <c r="C82" i="1" s="1"/>
  <c r="E82" i="15" s="1"/>
  <c r="J3" i="1" a="1"/>
  <c r="J3" i="1" s="1"/>
  <c r="C123" i="1" a="1"/>
  <c r="C123" i="1" s="1"/>
  <c r="E123" i="15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85" i="1" a="1"/>
  <c r="C85" i="1" s="1"/>
  <c r="E85" i="15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C163" i="1" a="1"/>
  <c r="C163" i="1" s="1"/>
  <c r="E163" i="15" s="1"/>
  <c r="C39" i="1" a="1"/>
  <c r="C39" i="1" s="1"/>
  <c r="E39" i="15" s="1"/>
  <c r="C164" i="1" a="1"/>
  <c r="C164" i="1" s="1"/>
  <c r="E164" i="15" s="1"/>
  <c r="C152" i="1" a="1"/>
  <c r="C152" i="1" s="1"/>
  <c r="E152" i="15" s="1"/>
  <c r="C140" i="1" a="1"/>
  <c r="C140" i="1" s="1"/>
  <c r="E140" i="15" s="1"/>
  <c r="C128" i="1" a="1"/>
  <c r="C128" i="1" s="1"/>
  <c r="E128" i="15" s="1"/>
  <c r="C116" i="1" a="1"/>
  <c r="C116" i="1" s="1"/>
  <c r="E116" i="15" s="1"/>
  <c r="C104" i="1" a="1"/>
  <c r="C104" i="1" s="1"/>
  <c r="E104" i="15" s="1"/>
  <c r="C92" i="1" a="1"/>
  <c r="C92" i="1" s="1"/>
  <c r="E92" i="15" s="1"/>
  <c r="C80" i="1" a="1"/>
  <c r="C80" i="1" s="1"/>
  <c r="E80" i="15" s="1"/>
  <c r="C68" i="1" a="1"/>
  <c r="C68" i="1" s="1"/>
  <c r="E68" i="15" s="1"/>
  <c r="C56" i="1" a="1"/>
  <c r="C56" i="1" s="1"/>
  <c r="E56" i="15" s="1"/>
  <c r="C44" i="1" a="1"/>
  <c r="C44" i="1" s="1"/>
  <c r="E44" i="15" s="1"/>
  <c r="C32" i="1" a="1"/>
  <c r="C32" i="1" s="1"/>
  <c r="E32" i="15" s="1"/>
  <c r="C20" i="1" a="1"/>
  <c r="C20" i="1" s="1"/>
  <c r="E20" i="15" s="1"/>
  <c r="C4" i="1" a="1"/>
  <c r="C4" i="1" s="1"/>
  <c r="E4" i="15" s="1"/>
  <c r="C73" i="1" a="1"/>
  <c r="C73" i="1" s="1"/>
  <c r="E73" i="15" s="1"/>
  <c r="C46" i="1" a="1"/>
  <c r="C46" i="1" s="1"/>
  <c r="E46" i="15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N169" i="1" a="1"/>
  <c r="N169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E91" i="15" s="1"/>
  <c r="C168" i="1" a="1"/>
  <c r="C168" i="1" s="1"/>
  <c r="E168" i="15" s="1"/>
  <c r="C45" i="1" a="1"/>
  <c r="C45" i="1" s="1"/>
  <c r="E45" i="15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E81" i="15" s="1"/>
  <c r="J22" i="1" a="1"/>
  <c r="J22" i="1" s="1"/>
  <c r="C159" i="1" a="1"/>
  <c r="C159" i="1" s="1"/>
  <c r="E159" i="15" s="1"/>
  <c r="N166" i="1" a="1"/>
  <c r="N166" i="1" s="1"/>
  <c r="C8" i="1" a="1"/>
  <c r="C8" i="1" s="1"/>
  <c r="E8" i="15" s="1"/>
  <c r="Q169" i="1" a="1"/>
  <c r="Q169" i="1" s="1"/>
  <c r="S169" i="15" s="1"/>
  <c r="C69" i="1" a="1"/>
  <c r="C69" i="1" s="1"/>
  <c r="E69" i="15" s="1"/>
  <c r="P95" i="1" a="1"/>
  <c r="P95" i="1" s="1"/>
  <c r="F105" i="1" a="1"/>
  <c r="F105" i="1" s="1"/>
  <c r="R105" i="15" s="1"/>
  <c r="J10" i="1" a="1"/>
  <c r="J10" i="1" s="1"/>
  <c r="P102" i="1" a="1"/>
  <c r="P102" i="1" s="1"/>
  <c r="P39" i="1" a="1"/>
  <c r="P39" i="1" s="1"/>
  <c r="D10" i="1" a="1"/>
  <c r="D10" i="1" s="1"/>
  <c r="I10" i="15" s="1"/>
  <c r="P37" i="1" a="1"/>
  <c r="P37" i="1" s="1"/>
  <c r="P94" i="1" a="1"/>
  <c r="P94" i="1" s="1"/>
  <c r="Q94" i="1" a="1"/>
  <c r="Q94" i="1" s="1"/>
  <c r="S94" i="15" s="1"/>
  <c r="P105" i="1" a="1"/>
  <c r="P105" i="1" s="1"/>
  <c r="J7" i="1" a="1"/>
  <c r="J7" i="1" s="1"/>
  <c r="P89" i="1" a="1"/>
  <c r="P89" i="1" s="1"/>
  <c r="P41" i="1" a="1"/>
  <c r="P41" i="1" s="1"/>
  <c r="P99" i="1" a="1"/>
  <c r="P99" i="1" s="1"/>
  <c r="P88" i="1" a="1"/>
  <c r="P88" i="1" s="1"/>
  <c r="P93" i="1" a="1"/>
  <c r="P93" i="1" s="1"/>
  <c r="F9" i="1" a="1"/>
  <c r="F9" i="1" s="1"/>
  <c r="R9" i="15" s="1"/>
  <c r="P87" i="1" a="1"/>
  <c r="P87" i="1" s="1"/>
  <c r="H9" i="1" a="1"/>
  <c r="H9" i="1" s="1"/>
  <c r="J9" i="15" s="1"/>
  <c r="P47" i="1" a="1"/>
  <c r="P47" i="1" s="1"/>
  <c r="H6" i="1" a="1"/>
  <c r="H6" i="1" s="1"/>
  <c r="J6" i="15" s="1"/>
  <c r="F7" i="1" a="1"/>
  <c r="F7" i="1" s="1"/>
  <c r="R7" i="15" s="1"/>
  <c r="P40" i="1" a="1"/>
  <c r="P40" i="1" s="1"/>
  <c r="D9" i="1" a="1"/>
  <c r="D9" i="1" s="1"/>
  <c r="I9" i="15" s="1"/>
  <c r="P90" i="1" a="1"/>
  <c r="P90" i="1" s="1"/>
  <c r="P98" i="1" a="1"/>
  <c r="P98" i="1" s="1"/>
  <c r="P103" i="1" a="1"/>
  <c r="P103" i="1" s="1"/>
  <c r="Q92" i="1" a="1"/>
  <c r="Q92" i="1" s="1"/>
  <c r="S92" i="15" s="1"/>
  <c r="Q101" i="1" a="1"/>
  <c r="Q101" i="1" s="1"/>
  <c r="S101" i="15" s="1"/>
  <c r="P92" i="1" a="1"/>
  <c r="P92" i="1" s="1"/>
  <c r="Q100" i="1" a="1"/>
  <c r="Q100" i="1" s="1"/>
  <c r="S100" i="15" s="1"/>
  <c r="D7" i="1" a="1"/>
  <c r="D7" i="1" s="1"/>
  <c r="I7" i="15" s="1"/>
  <c r="P38" i="1" a="1"/>
  <c r="P38" i="1" s="1"/>
  <c r="F10" i="1" a="1"/>
  <c r="F10" i="1" s="1"/>
  <c r="R10" i="15" s="1"/>
  <c r="P97" i="1" a="1"/>
  <c r="P97" i="1" s="1"/>
  <c r="P101" i="1" a="1"/>
  <c r="P101" i="1" s="1"/>
  <c r="P91" i="1" a="1"/>
  <c r="P91" i="1" s="1"/>
  <c r="P96" i="1" a="1"/>
  <c r="P96" i="1" s="1"/>
  <c r="P100" i="1" a="1"/>
  <c r="P100" i="1" s="1"/>
  <c r="Q38" i="1" a="1"/>
  <c r="Q38" i="1" s="1"/>
  <c r="S38" i="15" s="1"/>
  <c r="F17" i="1" a="1"/>
  <c r="F17" i="1" s="1"/>
  <c r="R17" i="15" s="1"/>
  <c r="F34" i="1" a="1"/>
  <c r="F34" i="1" s="1"/>
  <c r="R34" i="15" s="1"/>
  <c r="F46" i="1" a="1"/>
  <c r="F46" i="1" s="1"/>
  <c r="R46" i="15" s="1"/>
  <c r="F86" i="1" a="1"/>
  <c r="F86" i="1" s="1"/>
  <c r="R86" i="15" s="1"/>
  <c r="F67" i="1" a="1"/>
  <c r="F67" i="1" s="1"/>
  <c r="R67" i="15" s="1"/>
  <c r="F11" i="1" a="1"/>
  <c r="F11" i="1" s="1"/>
  <c r="R11" i="15" s="1"/>
  <c r="F38" i="1" a="1"/>
  <c r="F38" i="1" s="1"/>
  <c r="R38" i="15" s="1"/>
  <c r="F90" i="1" a="1"/>
  <c r="F90" i="1" s="1"/>
  <c r="R90" i="15" s="1"/>
  <c r="F37" i="1" a="1"/>
  <c r="F37" i="1" s="1"/>
  <c r="R37" i="15" s="1"/>
  <c r="F26" i="1" a="1"/>
  <c r="F26" i="1" s="1"/>
  <c r="R26" i="15" s="1"/>
  <c r="F24" i="1" a="1"/>
  <c r="F24" i="1" s="1"/>
  <c r="R24" i="15" s="1"/>
  <c r="F35" i="1" a="1"/>
  <c r="F35" i="1" s="1"/>
  <c r="R35" i="15" s="1"/>
  <c r="F69" i="1" a="1"/>
  <c r="F69" i="1" s="1"/>
  <c r="R69" i="15" s="1"/>
  <c r="F5" i="1" a="1"/>
  <c r="F5" i="1" s="1"/>
  <c r="R5" i="15" s="1"/>
  <c r="F21" i="1" a="1"/>
  <c r="F21" i="1" s="1"/>
  <c r="R21" i="15" s="1"/>
  <c r="F16" i="1" a="1"/>
  <c r="F16" i="1" s="1"/>
  <c r="R16" i="15" s="1"/>
  <c r="Q104" i="1" a="1"/>
  <c r="Q104" i="1" s="1"/>
  <c r="S104" i="15" s="1"/>
  <c r="Q96" i="1" a="1"/>
  <c r="Q96" i="1" s="1"/>
  <c r="S96" i="15" s="1"/>
  <c r="Q41" i="1" a="1"/>
  <c r="Q41" i="1" s="1"/>
  <c r="S41" i="15" s="1"/>
  <c r="F50" i="1" a="1"/>
  <c r="F50" i="1" s="1"/>
  <c r="R50" i="15" s="1"/>
  <c r="D5" i="1" a="1"/>
  <c r="D5" i="1" s="1"/>
  <c r="I5" i="15" s="1"/>
  <c r="F25" i="1" a="1"/>
  <c r="F25" i="1" s="1"/>
  <c r="R25" i="15" s="1"/>
  <c r="H5" i="1" a="1"/>
  <c r="H5" i="1" s="1"/>
  <c r="J5" i="15" s="1"/>
  <c r="F45" i="1" a="1"/>
  <c r="F45" i="1" s="1"/>
  <c r="R45" i="15" s="1"/>
  <c r="F91" i="1" a="1"/>
  <c r="F91" i="1" s="1"/>
  <c r="R91" i="15" s="1"/>
  <c r="J5" i="1" a="1"/>
  <c r="J5" i="1" s="1"/>
  <c r="D11" i="1" a="1"/>
  <c r="D11" i="1" s="1"/>
  <c r="I11" i="15" s="1"/>
  <c r="H2" i="1" a="1"/>
  <c r="H2" i="1" s="1"/>
  <c r="J2" i="15" s="1"/>
  <c r="F93" i="1" a="1"/>
  <c r="F93" i="1" s="1"/>
  <c r="R93" i="15" s="1"/>
  <c r="F100" i="1" a="1"/>
  <c r="F100" i="1" s="1"/>
  <c r="R100" i="15" s="1"/>
  <c r="F23" i="1" a="1"/>
  <c r="F23" i="1" s="1"/>
  <c r="R23" i="15" s="1"/>
  <c r="F6" i="1" a="1"/>
  <c r="F6" i="1" s="1"/>
  <c r="R6" i="15" s="1"/>
  <c r="D2" i="1" a="1"/>
  <c r="D2" i="1" s="1"/>
  <c r="I2" i="15" s="1"/>
  <c r="F27" i="1" a="1"/>
  <c r="F27" i="1" s="1"/>
  <c r="R27" i="15" s="1"/>
  <c r="F39" i="1" a="1"/>
  <c r="F39" i="1" s="1"/>
  <c r="R39" i="15" s="1"/>
  <c r="Q99" i="1" a="1"/>
  <c r="Q99" i="1" s="1"/>
  <c r="S99" i="15" s="1"/>
  <c r="Q95" i="1" a="1"/>
  <c r="Q95" i="1" s="1"/>
  <c r="S95" i="15" s="1"/>
  <c r="F96" i="1" a="1"/>
  <c r="F96" i="1" s="1"/>
  <c r="R96" i="15" s="1"/>
  <c r="F36" i="1" a="1"/>
  <c r="F36" i="1" s="1"/>
  <c r="R36" i="15" s="1"/>
  <c r="H8" i="1" a="1"/>
  <c r="H8" i="1" s="1"/>
  <c r="J8" i="15" s="1"/>
  <c r="F20" i="1" a="1"/>
  <c r="F20" i="1" s="1"/>
  <c r="R20" i="15" s="1"/>
  <c r="F62" i="1" a="1"/>
  <c r="F62" i="1" s="1"/>
  <c r="R62" i="15" s="1"/>
  <c r="F33" i="1" a="1"/>
  <c r="F33" i="1" s="1"/>
  <c r="R33" i="15" s="1"/>
  <c r="F14" i="1" a="1"/>
  <c r="F14" i="1" s="1"/>
  <c r="R14" i="15" s="1"/>
  <c r="F57" i="1" a="1"/>
  <c r="F57" i="1" s="1"/>
  <c r="R57" i="15" s="1"/>
  <c r="F70" i="1" a="1"/>
  <c r="F70" i="1" s="1"/>
  <c r="R70" i="15" s="1"/>
  <c r="F42" i="1" a="1"/>
  <c r="F42" i="1" s="1"/>
  <c r="R42" i="15" s="1"/>
  <c r="F99" i="1" a="1"/>
  <c r="F99" i="1" s="1"/>
  <c r="R99" i="15" s="1"/>
  <c r="F43" i="1" a="1"/>
  <c r="F43" i="1" s="1"/>
  <c r="R43" i="15" s="1"/>
  <c r="J11" i="1" a="1"/>
  <c r="J11" i="1" s="1"/>
  <c r="F102" i="1" a="1"/>
  <c r="F102" i="1" s="1"/>
  <c r="R102" i="15" s="1"/>
  <c r="F28" i="1" a="1"/>
  <c r="F28" i="1" s="1"/>
  <c r="R28" i="15" s="1"/>
  <c r="F101" i="1" a="1"/>
  <c r="F101" i="1" s="1"/>
  <c r="R101" i="15" s="1"/>
  <c r="Q91" i="1" a="1"/>
  <c r="Q91" i="1" s="1"/>
  <c r="S91" i="15" s="1"/>
  <c r="Q39" i="1" a="1"/>
  <c r="Q39" i="1" s="1"/>
  <c r="S39" i="15" s="1"/>
  <c r="Q47" i="1" a="1"/>
  <c r="Q47" i="1" s="1"/>
  <c r="S47" i="15" s="1"/>
  <c r="Q102" i="1" a="1"/>
  <c r="Q102" i="1" s="1"/>
  <c r="S102" i="15" s="1"/>
  <c r="Q105" i="1" a="1"/>
  <c r="Q105" i="1" s="1"/>
  <c r="S105" i="15" s="1"/>
  <c r="F41" i="1" a="1"/>
  <c r="F41" i="1" s="1"/>
  <c r="R41" i="15" s="1"/>
  <c r="F78" i="1" a="1"/>
  <c r="F78" i="1" s="1"/>
  <c r="R78" i="15" s="1"/>
  <c r="F32" i="1" a="1"/>
  <c r="F32" i="1" s="1"/>
  <c r="R32" i="15" s="1"/>
  <c r="F79" i="1" a="1"/>
  <c r="F79" i="1" s="1"/>
  <c r="R79" i="15" s="1"/>
  <c r="F82" i="1" a="1"/>
  <c r="F82" i="1" s="1"/>
  <c r="R82" i="15" s="1"/>
  <c r="F59" i="1" a="1"/>
  <c r="F59" i="1" s="1"/>
  <c r="R59" i="15" s="1"/>
  <c r="F58" i="1" a="1"/>
  <c r="F58" i="1" s="1"/>
  <c r="R58" i="15" s="1"/>
  <c r="F104" i="1" a="1"/>
  <c r="F104" i="1" s="1"/>
  <c r="R104" i="15" s="1"/>
  <c r="F74" i="1" a="1"/>
  <c r="F74" i="1" s="1"/>
  <c r="R74" i="15" s="1"/>
  <c r="J6" i="1" a="1"/>
  <c r="J6" i="1" s="1"/>
  <c r="F61" i="1" a="1"/>
  <c r="F61" i="1" s="1"/>
  <c r="R61" i="15" s="1"/>
  <c r="F40" i="1" a="1"/>
  <c r="F40" i="1" s="1"/>
  <c r="R40" i="15" s="1"/>
  <c r="F13" i="1" a="1"/>
  <c r="F13" i="1" s="1"/>
  <c r="R13" i="15" s="1"/>
  <c r="F97" i="1" a="1"/>
  <c r="F97" i="1" s="1"/>
  <c r="R97" i="15" s="1"/>
  <c r="F73" i="1" a="1"/>
  <c r="F73" i="1" s="1"/>
  <c r="R73" i="15" s="1"/>
  <c r="D6" i="1" a="1"/>
  <c r="D6" i="1" s="1"/>
  <c r="I6" i="15" s="1"/>
  <c r="Q97" i="1" a="1"/>
  <c r="Q97" i="1" s="1"/>
  <c r="S97" i="15" s="1"/>
  <c r="Q89" i="1" a="1"/>
  <c r="Q89" i="1" s="1"/>
  <c r="S89" i="15" s="1"/>
  <c r="I44" i="8"/>
  <c r="I84" i="8"/>
  <c r="I56" i="8"/>
  <c r="I58" i="8"/>
  <c r="I21" i="8"/>
  <c r="I4" i="8"/>
  <c r="I27" i="8"/>
  <c r="K27" i="4" s="1"/>
  <c r="I74" i="8"/>
  <c r="I22" i="8"/>
  <c r="I60" i="8"/>
  <c r="I90" i="8"/>
  <c r="I57" i="8"/>
  <c r="I97" i="8"/>
  <c r="I86" i="8"/>
  <c r="I12" i="8"/>
  <c r="K12" i="4" s="1"/>
  <c r="K75" i="1" s="1" a="1"/>
  <c r="K75" i="1" s="1"/>
  <c r="I72" i="8"/>
  <c r="I45" i="8"/>
  <c r="I33" i="8"/>
  <c r="K33" i="4" s="1"/>
  <c r="K48" i="1" s="1" a="1"/>
  <c r="K48" i="1" s="1"/>
  <c r="I54" i="8"/>
  <c r="I20" i="8"/>
  <c r="I18" i="8"/>
  <c r="K256" i="4"/>
  <c r="K255" i="4"/>
  <c r="K258" i="4"/>
  <c r="K253" i="4"/>
  <c r="K254" i="4"/>
  <c r="K257" i="4"/>
  <c r="K259" i="4"/>
  <c r="K260" i="4"/>
  <c r="I89" i="8"/>
  <c r="I73" i="8"/>
  <c r="I103" i="8"/>
  <c r="I100" i="8"/>
  <c r="I53" i="8"/>
  <c r="I7" i="8"/>
  <c r="I75" i="8"/>
  <c r="I79" i="8"/>
  <c r="I19" i="8"/>
  <c r="K19" i="4" s="1"/>
  <c r="I93" i="8"/>
  <c r="I61" i="8"/>
  <c r="I13" i="8"/>
  <c r="I83" i="8"/>
  <c r="I8" i="8"/>
  <c r="I23" i="8"/>
  <c r="I11" i="8"/>
  <c r="K11" i="4" s="1"/>
  <c r="K55" i="1" s="1" a="1"/>
  <c r="K55" i="1" s="1"/>
  <c r="I96" i="8"/>
  <c r="I91" i="8"/>
  <c r="I29" i="8"/>
  <c r="I25" i="8"/>
  <c r="K25" i="4" s="1"/>
  <c r="K45" i="1" s="1" a="1"/>
  <c r="K45" i="1" s="1"/>
  <c r="I31" i="8"/>
  <c r="I52" i="8"/>
  <c r="I39" i="8"/>
  <c r="K39" i="4" s="1"/>
  <c r="K69" i="1" s="1" a="1"/>
  <c r="K69" i="1" s="1"/>
  <c r="I34" i="8"/>
  <c r="I37" i="8"/>
  <c r="I65" i="8"/>
  <c r="I63" i="8"/>
  <c r="I66" i="8"/>
  <c r="I99" i="8"/>
  <c r="P2" i="4"/>
  <c r="L4" i="1" s="1" a="1"/>
  <c r="L4" i="1" s="1"/>
  <c r="I64" i="8"/>
  <c r="I98" i="8"/>
  <c r="I69" i="8"/>
  <c r="I15" i="8"/>
  <c r="I78" i="8"/>
  <c r="I10" i="8"/>
  <c r="K10" i="4" s="1"/>
  <c r="K76" i="1" s="1" a="1"/>
  <c r="K76" i="1" s="1"/>
  <c r="I16" i="8"/>
  <c r="I46" i="8"/>
  <c r="I26" i="8"/>
  <c r="I30" i="8"/>
  <c r="I95" i="8"/>
  <c r="I88" i="8"/>
  <c r="I70" i="8"/>
  <c r="I82" i="8"/>
  <c r="I9" i="8"/>
  <c r="I49" i="8"/>
  <c r="I71" i="8"/>
  <c r="I43" i="8"/>
  <c r="I77" i="8"/>
  <c r="I51" i="8"/>
  <c r="I35" i="8"/>
  <c r="I81" i="8"/>
  <c r="I55" i="8"/>
  <c r="I50" i="8"/>
  <c r="I38" i="8"/>
  <c r="I68" i="8"/>
  <c r="I6" i="8"/>
  <c r="I101" i="8"/>
  <c r="I59" i="8"/>
  <c r="I42" i="8"/>
  <c r="K42" i="4" s="1"/>
  <c r="I41" i="8"/>
  <c r="I76" i="8"/>
  <c r="I17" i="8"/>
  <c r="I24" i="8"/>
  <c r="I67" i="8"/>
  <c r="I3" i="8"/>
  <c r="I47" i="8"/>
  <c r="I92" i="8"/>
  <c r="I80" i="8"/>
  <c r="I40" i="8"/>
  <c r="K40" i="4" s="1"/>
  <c r="K53" i="1" s="1" a="1"/>
  <c r="K53" i="1" s="1"/>
  <c r="I28" i="8"/>
  <c r="I14" i="8"/>
  <c r="I62" i="8"/>
  <c r="I102" i="8"/>
  <c r="I5" i="8"/>
  <c r="I104" i="8"/>
  <c r="I94" i="8"/>
  <c r="I36" i="8"/>
  <c r="I85" i="8"/>
  <c r="I48" i="8"/>
  <c r="I32" i="8"/>
  <c r="L76" i="15" l="1"/>
  <c r="L45" i="15"/>
  <c r="L55" i="15"/>
  <c r="L165" i="15"/>
  <c r="L123" i="15"/>
  <c r="L117" i="15"/>
  <c r="L141" i="15"/>
  <c r="L164" i="15"/>
  <c r="L140" i="15"/>
  <c r="L92" i="15"/>
  <c r="L151" i="15"/>
  <c r="L127" i="15"/>
  <c r="L103" i="15"/>
  <c r="L79" i="15"/>
  <c r="L162" i="15"/>
  <c r="L138" i="15"/>
  <c r="L114" i="15"/>
  <c r="L167" i="15"/>
  <c r="L143" i="15"/>
  <c r="L119" i="15"/>
  <c r="L95" i="15"/>
  <c r="L47" i="15"/>
  <c r="L154" i="15"/>
  <c r="L130" i="15"/>
  <c r="L106" i="15"/>
  <c r="L82" i="15"/>
  <c r="L105" i="15"/>
  <c r="L134" i="15"/>
  <c r="L86" i="15"/>
  <c r="L169" i="15"/>
  <c r="L49" i="15"/>
  <c r="L156" i="15"/>
  <c r="L108" i="15"/>
  <c r="L40" i="15"/>
  <c r="L100" i="15"/>
  <c r="C2" i="8"/>
  <c r="F2" i="8" s="1"/>
  <c r="L53" i="15"/>
  <c r="L75" i="15"/>
  <c r="L152" i="15"/>
  <c r="L104" i="15"/>
  <c r="L115" i="15"/>
  <c r="L102" i="15"/>
  <c r="L83" i="15"/>
  <c r="L142" i="15"/>
  <c r="L90" i="15"/>
  <c r="L69" i="15"/>
  <c r="L129" i="15"/>
  <c r="L147" i="15"/>
  <c r="L158" i="15"/>
  <c r="L97" i="15"/>
  <c r="L113" i="15"/>
  <c r="L124" i="15"/>
  <c r="L93" i="15"/>
  <c r="L111" i="15"/>
  <c r="L128" i="15"/>
  <c r="L139" i="15"/>
  <c r="L91" i="15"/>
  <c r="L28" i="15"/>
  <c r="L126" i="15"/>
  <c r="L155" i="15"/>
  <c r="L107" i="15"/>
  <c r="L166" i="15"/>
  <c r="L118" i="15"/>
  <c r="L94" i="15"/>
  <c r="L48" i="15"/>
  <c r="L99" i="15"/>
  <c r="L159" i="15"/>
  <c r="L153" i="15"/>
  <c r="L38" i="15"/>
  <c r="L170" i="15"/>
  <c r="L146" i="15"/>
  <c r="L122" i="15"/>
  <c r="L98" i="15"/>
  <c r="L157" i="15"/>
  <c r="L133" i="15"/>
  <c r="L85" i="15"/>
  <c r="L168" i="15"/>
  <c r="L144" i="15"/>
  <c r="L120" i="15"/>
  <c r="L96" i="15"/>
  <c r="L27" i="15"/>
  <c r="L149" i="15"/>
  <c r="L125" i="15"/>
  <c r="L101" i="15"/>
  <c r="L59" i="15"/>
  <c r="L160" i="15"/>
  <c r="L136" i="15"/>
  <c r="L112" i="15"/>
  <c r="L88" i="15"/>
  <c r="L37" i="15"/>
  <c r="L7" i="1" a="1"/>
  <c r="L7" i="1" s="1"/>
  <c r="L22" i="1" a="1"/>
  <c r="L22" i="1" s="1"/>
  <c r="K6" i="1" a="1"/>
  <c r="K6" i="1" s="1"/>
  <c r="L6" i="15" s="1"/>
  <c r="K10" i="1" a="1"/>
  <c r="K10" i="1" s="1"/>
  <c r="L10" i="15" s="1"/>
  <c r="A2" i="13" a="1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42" i="1" s="1" a="1"/>
  <c r="K42" i="1" s="1"/>
  <c r="L42" i="15" s="1"/>
  <c r="K13" i="4"/>
  <c r="K50" i="1" s="1" a="1"/>
  <c r="K50" i="1" s="1"/>
  <c r="L50" i="15" s="1"/>
  <c r="K20" i="4"/>
  <c r="K74" i="1" s="1" a="1"/>
  <c r="K74" i="1" s="1"/>
  <c r="L74" i="15" s="1"/>
  <c r="K4" i="4"/>
  <c r="K23" i="4"/>
  <c r="K56" i="1" s="1" a="1"/>
  <c r="K56" i="1" s="1"/>
  <c r="L56" i="15" s="1"/>
  <c r="K6" i="4"/>
  <c r="K7" i="4"/>
  <c r="K13" i="1" s="1" a="1"/>
  <c r="K13" i="1" s="1"/>
  <c r="L13" i="15" s="1"/>
  <c r="K14" i="4"/>
  <c r="L57" i="1" a="1"/>
  <c r="L57" i="1" s="1"/>
  <c r="K34" i="4"/>
  <c r="K64" i="1" s="1" a="1"/>
  <c r="K64" i="1" s="1"/>
  <c r="L64" i="15" s="1"/>
  <c r="K17" i="4"/>
  <c r="K73" i="1" s="1" a="1"/>
  <c r="K73" i="1" s="1"/>
  <c r="L73" i="15" s="1"/>
  <c r="K36" i="4"/>
  <c r="K52" i="1" s="1" a="1"/>
  <c r="K52" i="1" s="1"/>
  <c r="L52" i="15" s="1"/>
  <c r="K37" i="4"/>
  <c r="K65" i="1" s="1" a="1"/>
  <c r="K65" i="1" s="1"/>
  <c r="L65" i="15" s="1"/>
  <c r="K8" i="4"/>
  <c r="K21" i="4"/>
  <c r="K28" i="4"/>
  <c r="K30" i="4"/>
  <c r="K63" i="1" s="1" a="1"/>
  <c r="K63" i="1" s="1"/>
  <c r="L63" i="15" s="1"/>
  <c r="K31" i="4"/>
  <c r="K38" i="4"/>
  <c r="K12" i="1" s="1" a="1"/>
  <c r="K12" i="1" s="1"/>
  <c r="L12" i="15" s="1"/>
  <c r="K15" i="4"/>
  <c r="K46" i="1" s="1" a="1"/>
  <c r="K46" i="1" s="1"/>
  <c r="L46" i="15" s="1"/>
  <c r="K22" i="4"/>
  <c r="K61" i="1" s="1" a="1"/>
  <c r="K61" i="1" s="1"/>
  <c r="L61" i="15" s="1"/>
  <c r="K41" i="4"/>
  <c r="K77" i="1" s="1" a="1"/>
  <c r="K77" i="1" s="1"/>
  <c r="L77" i="15" s="1"/>
  <c r="K5" i="4"/>
  <c r="K16" i="1" s="1" a="1"/>
  <c r="K16" i="1" s="1"/>
  <c r="L16" i="15" s="1"/>
  <c r="K24" i="4"/>
  <c r="K32" i="4"/>
  <c r="K71" i="1" s="1" a="1"/>
  <c r="K71" i="1" s="1"/>
  <c r="L71" i="15" s="1"/>
  <c r="K9" i="4"/>
  <c r="K16" i="4"/>
  <c r="K80" i="1" s="1" a="1"/>
  <c r="K80" i="1" s="1"/>
  <c r="L80" i="15" s="1"/>
  <c r="K35" i="4"/>
  <c r="K68" i="1" s="1" a="1"/>
  <c r="K68" i="1" s="1"/>
  <c r="L68" i="15" s="1"/>
  <c r="K18" i="4"/>
  <c r="K26" i="4"/>
  <c r="K14" i="1" s="1" a="1"/>
  <c r="K14" i="1" s="1"/>
  <c r="L14" i="15" s="1"/>
  <c r="K3" i="4"/>
  <c r="K21" i="1" s="1" a="1"/>
  <c r="K21" i="1" s="1"/>
  <c r="L21" i="15" s="1"/>
  <c r="K9" i="1" a="1"/>
  <c r="K9" i="1" s="1"/>
  <c r="L9" i="15" s="1"/>
  <c r="K3" i="1" a="1"/>
  <c r="K3" i="1" s="1"/>
  <c r="L3" i="15" s="1"/>
  <c r="K11" i="1" a="1"/>
  <c r="K11" i="1" s="1"/>
  <c r="L11" i="15" s="1"/>
  <c r="K2" i="1" a="1"/>
  <c r="K2" i="1" s="1"/>
  <c r="L2" i="15" s="1"/>
  <c r="D2" i="8"/>
  <c r="G2" i="8" s="1"/>
  <c r="E2" i="8"/>
  <c r="H2" i="8" s="1"/>
  <c r="C34" i="13" l="1"/>
  <c r="C33" i="13"/>
  <c r="E41" i="13"/>
  <c r="C32" i="13"/>
  <c r="E40" i="13"/>
  <c r="C31" i="13"/>
  <c r="E39" i="13"/>
  <c r="C18" i="13"/>
  <c r="D18" i="13"/>
  <c r="B41" i="13"/>
  <c r="E37" i="13"/>
  <c r="B35" i="13"/>
  <c r="E31" i="13"/>
  <c r="B32" i="13"/>
  <c r="D40" i="13"/>
  <c r="B25" i="13"/>
  <c r="D39" i="13"/>
  <c r="D37" i="13"/>
  <c r="D34" i="13"/>
  <c r="D33" i="13"/>
  <c r="D32" i="13"/>
  <c r="D25" i="13"/>
  <c r="B22" i="13"/>
  <c r="D19" i="13"/>
  <c r="C41" i="13"/>
  <c r="E38" i="13"/>
  <c r="C35" i="13"/>
  <c r="B34" i="13"/>
  <c r="E35" i="13"/>
  <c r="E34" i="13"/>
  <c r="D20" i="13"/>
  <c r="E33" i="13"/>
  <c r="B29" i="13"/>
  <c r="E25" i="13"/>
  <c r="B23" i="13"/>
  <c r="E19" i="13"/>
  <c r="B17" i="13"/>
  <c r="B30" i="13"/>
  <c r="D38" i="13"/>
  <c r="D31" i="13"/>
  <c r="B40" i="13"/>
  <c r="D24" i="13"/>
  <c r="C24" i="13"/>
  <c r="D30" i="13"/>
  <c r="C30" i="13"/>
  <c r="D36" i="13"/>
  <c r="C36" i="13"/>
  <c r="C37" i="13"/>
  <c r="C25" i="13"/>
  <c r="C38" i="13"/>
  <c r="C39" i="13"/>
  <c r="E29" i="13"/>
  <c r="D41" i="13"/>
  <c r="B28" i="13"/>
  <c r="C17" i="13"/>
  <c r="E20" i="13"/>
  <c r="C23" i="13"/>
  <c r="E26" i="13"/>
  <c r="C29" i="13"/>
  <c r="E32" i="13"/>
  <c r="B36" i="13"/>
  <c r="E21" i="13"/>
  <c r="B37" i="13"/>
  <c r="B38" i="13"/>
  <c r="C21" i="13"/>
  <c r="C40" i="13"/>
  <c r="B33" i="13"/>
  <c r="B39" i="13"/>
  <c r="E36" i="13"/>
  <c r="D35" i="13"/>
  <c r="E18" i="13"/>
  <c r="C28" i="13"/>
  <c r="E23" i="13"/>
  <c r="B19" i="13"/>
  <c r="D27" i="13"/>
  <c r="D29" i="13"/>
  <c r="B26" i="13"/>
  <c r="C20" i="13"/>
  <c r="E28" i="13"/>
  <c r="B18" i="13"/>
  <c r="D26" i="13"/>
  <c r="E17" i="13"/>
  <c r="C27" i="13"/>
  <c r="D21" i="13"/>
  <c r="B31" i="13"/>
  <c r="C19" i="13"/>
  <c r="E27" i="13"/>
  <c r="B20" i="13"/>
  <c r="D28" i="13"/>
  <c r="E22" i="13"/>
  <c r="B24" i="13"/>
  <c r="C26" i="13"/>
  <c r="D22" i="13"/>
  <c r="B21" i="13"/>
  <c r="B27" i="13"/>
  <c r="E24" i="13"/>
  <c r="D23" i="13"/>
  <c r="E30" i="13"/>
  <c r="C22" i="13"/>
  <c r="D17" i="13"/>
  <c r="K8" i="1" a="1"/>
  <c r="K8" i="1" s="1"/>
  <c r="L8" i="15" s="1"/>
  <c r="K23" i="1" a="1"/>
  <c r="K23" i="1" s="1"/>
  <c r="L23" i="15" s="1"/>
  <c r="K25" i="1" a="1"/>
  <c r="K25" i="1" s="1"/>
  <c r="L25" i="15" s="1"/>
  <c r="K24" i="1" a="1"/>
  <c r="K24" i="1" s="1"/>
  <c r="L24" i="15" s="1"/>
  <c r="K44" i="1" a="1"/>
  <c r="K44" i="1" s="1"/>
  <c r="L44" i="15" s="1"/>
  <c r="K19" i="1" a="1"/>
  <c r="K19" i="1" s="1"/>
  <c r="L19" i="15" s="1"/>
  <c r="K51" i="1" a="1"/>
  <c r="K51" i="1" s="1"/>
  <c r="L51" i="15" s="1"/>
  <c r="K20" i="1" a="1"/>
  <c r="K20" i="1" s="1"/>
  <c r="L20" i="15" s="1"/>
  <c r="K54" i="1" a="1"/>
  <c r="K54" i="1" s="1"/>
  <c r="L54" i="15" s="1"/>
  <c r="K26" i="1" a="1"/>
  <c r="K26" i="1" s="1"/>
  <c r="L26" i="15" s="1"/>
  <c r="K58" i="1" a="1"/>
  <c r="K58" i="1" s="1"/>
  <c r="L58" i="15" s="1"/>
  <c r="K15" i="1" a="1"/>
  <c r="K15" i="1" s="1"/>
  <c r="L15" i="15" s="1"/>
  <c r="K5" i="1" a="1"/>
  <c r="K5" i="1" s="1"/>
  <c r="L5" i="15" s="1"/>
  <c r="K66" i="1" a="1"/>
  <c r="K66" i="1" s="1"/>
  <c r="L66" i="15" s="1"/>
  <c r="K17" i="1" a="1"/>
  <c r="K17" i="1" s="1"/>
  <c r="L17" i="15" s="1"/>
  <c r="K67" i="1" a="1"/>
  <c r="K67" i="1" s="1"/>
  <c r="L67" i="15" s="1"/>
  <c r="K18" i="1" a="1"/>
  <c r="K18" i="1" s="1"/>
  <c r="L18" i="15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L72" i="15" s="1"/>
  <c r="K34" i="1" a="1"/>
  <c r="K34" i="1" s="1"/>
  <c r="L34" i="15" s="1"/>
  <c r="K78" i="1" a="1"/>
  <c r="K78" i="1" s="1"/>
  <c r="L78" i="15" s="1"/>
  <c r="K29" i="1" a="1"/>
  <c r="K29" i="1" s="1"/>
  <c r="L29" i="15" s="1"/>
  <c r="K81" i="1" a="1"/>
  <c r="K81" i="1" s="1"/>
  <c r="L81" i="15" s="1"/>
  <c r="K31" i="1" a="1"/>
  <c r="K31" i="1" s="1"/>
  <c r="L31" i="15" s="1"/>
  <c r="K60" i="1" a="1"/>
  <c r="K60" i="1" s="1"/>
  <c r="L60" i="15" s="1"/>
  <c r="K35" i="1" a="1"/>
  <c r="K35" i="1" s="1"/>
  <c r="L35" i="15" s="1"/>
  <c r="K70" i="1" a="1"/>
  <c r="K70" i="1" s="1"/>
  <c r="L70" i="15" s="1"/>
  <c r="K32" i="1" a="1"/>
  <c r="K32" i="1" s="1"/>
  <c r="L32" i="15" s="1"/>
  <c r="K43" i="1" a="1"/>
  <c r="K43" i="1" s="1"/>
  <c r="L43" i="15" s="1"/>
  <c r="K30" i="1" a="1"/>
  <c r="K30" i="1" s="1"/>
  <c r="L30" i="15" s="1"/>
  <c r="K62" i="1" a="1"/>
  <c r="K62" i="1" s="1"/>
  <c r="L62" i="15" s="1"/>
  <c r="K36" i="1" a="1"/>
  <c r="K36" i="1" s="1"/>
  <c r="L36" i="15" s="1"/>
  <c r="I2" i="8"/>
  <c r="K2" i="4" s="1"/>
  <c r="K7" i="1" s="1" a="1"/>
  <c r="K7" i="1" s="1"/>
  <c r="L7" i="15" s="1"/>
  <c r="K33" i="1" l="1" a="1"/>
  <c r="K33" i="1" s="1"/>
  <c r="L33" i="15" s="1"/>
  <c r="K22" i="1" a="1"/>
  <c r="K22" i="1" s="1"/>
  <c r="L22" i="15" s="1"/>
  <c r="D2" i="13"/>
  <c r="C2" i="13"/>
  <c r="E2" i="13"/>
  <c r="B2" i="13"/>
  <c r="Q33" i="1" a="1"/>
  <c r="Q33" i="1" s="1"/>
  <c r="S33" i="15" s="1"/>
  <c r="K4" i="1" a="1"/>
  <c r="K4" i="1" s="1"/>
  <c r="L4" i="15" s="1"/>
  <c r="K57" i="1" a="1"/>
  <c r="K57" i="1" s="1"/>
  <c r="L57" i="15" s="1"/>
  <c r="P16" i="1" l="1" a="1"/>
  <c r="P16" i="1" s="1"/>
  <c r="P12" i="1" a="1"/>
  <c r="P12" i="1" s="1"/>
  <c r="P43" i="1" a="1"/>
  <c r="P43" i="1" s="1"/>
  <c r="P72" i="1" a="1"/>
  <c r="P72" i="1" s="1"/>
  <c r="P34" i="1" a="1"/>
  <c r="P34" i="1" s="1"/>
  <c r="P33" i="1" a="1"/>
  <c r="P33" i="1" s="1"/>
  <c r="P32" i="1" a="1"/>
  <c r="P32" i="1" s="1"/>
  <c r="P36" i="1" a="1"/>
  <c r="P36" i="1" s="1"/>
  <c r="P35" i="1" a="1"/>
  <c r="P35" i="1" s="1"/>
  <c r="P5" i="1" l="1" a="1"/>
  <c r="P5" i="1" s="1"/>
  <c r="Q20" i="1" a="1"/>
  <c r="Q20" i="1" s="1"/>
  <c r="S20" i="15" s="1"/>
  <c r="Q18" i="1" a="1"/>
  <c r="Q18" i="1" s="1"/>
  <c r="S18" i="15" s="1"/>
  <c r="Q72" i="1" a="1"/>
  <c r="Q72" i="1" s="1"/>
  <c r="S72" i="15" s="1"/>
  <c r="Q34" i="1" a="1"/>
  <c r="Q34" i="1" s="1"/>
  <c r="S34" i="15" s="1"/>
  <c r="Q62" i="1" a="1"/>
  <c r="Q62" i="1" s="1"/>
  <c r="S62" i="15" s="1"/>
  <c r="Q36" i="1" a="1"/>
  <c r="Q36" i="1" s="1"/>
  <c r="S36" i="15" s="1"/>
  <c r="Q35" i="1" a="1"/>
  <c r="Q35" i="1" s="1"/>
  <c r="S35" i="15" s="1"/>
  <c r="Q32" i="1" a="1"/>
  <c r="Q32" i="1" s="1"/>
  <c r="S32" i="15" s="1"/>
  <c r="Q43" i="1" a="1"/>
  <c r="Q43" i="1" s="1"/>
  <c r="S43" i="15" s="1"/>
  <c r="Q60" i="1" l="1" a="1"/>
  <c r="Q60" i="1" s="1"/>
  <c r="S60" i="15" s="1"/>
  <c r="P61" i="1" a="1"/>
  <c r="P61" i="1" s="1"/>
  <c r="P66" i="1" a="1"/>
  <c r="P66" i="1" s="1"/>
  <c r="F28" i="13" s="1"/>
  <c r="Q59" i="1" a="1"/>
  <c r="Q59" i="1" s="1"/>
  <c r="S59" i="15" s="1"/>
  <c r="P65" i="1" a="1"/>
  <c r="P65" i="1" s="1"/>
  <c r="F27" i="13" s="1"/>
  <c r="P63" i="1" a="1"/>
  <c r="P63" i="1" s="1"/>
  <c r="F25" i="13" s="1"/>
  <c r="Q61" i="1" a="1"/>
  <c r="Q61" i="1" s="1"/>
  <c r="S61" i="15" s="1"/>
  <c r="P69" i="1" a="1"/>
  <c r="P69" i="1" s="1"/>
  <c r="F31" i="13" s="1"/>
  <c r="P56" i="1" a="1"/>
  <c r="P56" i="1" s="1"/>
  <c r="F20" i="13" s="1"/>
  <c r="P68" i="1" a="1"/>
  <c r="P68" i="1" s="1"/>
  <c r="F30" i="13" s="1"/>
  <c r="Q27" i="1" a="1"/>
  <c r="Q27" i="1" s="1"/>
  <c r="S27" i="15" s="1"/>
  <c r="Q49" i="1" a="1"/>
  <c r="Q49" i="1" s="1"/>
  <c r="S49" i="15" s="1"/>
  <c r="P54" i="1" a="1"/>
  <c r="P54" i="1" s="1"/>
  <c r="F18" i="13" s="1"/>
  <c r="P31" i="1" a="1"/>
  <c r="P31" i="1" s="1"/>
  <c r="F12" i="13" s="1"/>
  <c r="Q29" i="1" a="1"/>
  <c r="Q29" i="1" s="1"/>
  <c r="S29" i="15" s="1"/>
  <c r="P53" i="1" a="1"/>
  <c r="P53" i="1" s="1"/>
  <c r="F17" i="13" s="1"/>
  <c r="P24" i="1" a="1"/>
  <c r="P24" i="1" s="1"/>
  <c r="P55" i="1" a="1"/>
  <c r="P55" i="1" s="1"/>
  <c r="F19" i="13" s="1"/>
  <c r="P10" i="1" a="1"/>
  <c r="P10" i="1" s="1"/>
  <c r="P73" i="1" a="1"/>
  <c r="P73" i="1" s="1"/>
  <c r="P20" i="1" a="1"/>
  <c r="P20" i="1" s="1"/>
  <c r="P9" i="1" a="1"/>
  <c r="P9" i="1" s="1"/>
  <c r="P21" i="1" a="1"/>
  <c r="P21" i="1" s="1"/>
  <c r="P67" i="1" a="1"/>
  <c r="P67" i="1" s="1"/>
  <c r="F29" i="13" s="1"/>
  <c r="P13" i="1" a="1"/>
  <c r="P13" i="1" s="1"/>
  <c r="F11" i="13" s="1"/>
  <c r="P15" i="1" a="1"/>
  <c r="P15" i="1" s="1"/>
  <c r="P46" i="1" a="1"/>
  <c r="P46" i="1" s="1"/>
  <c r="P23" i="1" a="1"/>
  <c r="P23" i="1" s="1"/>
  <c r="F4" i="13" s="1"/>
  <c r="P3" i="1" a="1"/>
  <c r="P3" i="1" s="1"/>
  <c r="P18" i="1" a="1"/>
  <c r="P18" i="1" s="1"/>
  <c r="F13" i="13" s="1"/>
  <c r="P22" i="1" a="1"/>
  <c r="P22" i="1" s="1"/>
  <c r="F3" i="13" s="1"/>
  <c r="P7" i="1" a="1"/>
  <c r="P7" i="1" s="1"/>
  <c r="P19" i="1" a="1"/>
  <c r="P19" i="1" s="1"/>
  <c r="P4" i="1" a="1"/>
  <c r="P4" i="1" s="1"/>
  <c r="P11" i="1" a="1"/>
  <c r="P11" i="1" s="1"/>
  <c r="F9" i="13" s="1"/>
  <c r="Q9" i="1" a="1"/>
  <c r="Q9" i="1" s="1"/>
  <c r="S9" i="15" s="1"/>
  <c r="P44" i="1" a="1"/>
  <c r="P44" i="1" s="1"/>
  <c r="P8" i="1" a="1"/>
  <c r="P8" i="1" s="1"/>
  <c r="P25" i="1" a="1"/>
  <c r="P25" i="1" s="1"/>
  <c r="Q22" i="1" a="1"/>
  <c r="Q22" i="1" s="1"/>
  <c r="S22" i="15" s="1"/>
  <c r="Q24" i="1" a="1"/>
  <c r="Q24" i="1" s="1"/>
  <c r="S24" i="15" s="1"/>
  <c r="Q12" i="1" a="1"/>
  <c r="Q12" i="1" s="1"/>
  <c r="S12" i="15" s="1"/>
  <c r="Q11" i="1" a="1"/>
  <c r="Q11" i="1" s="1"/>
  <c r="S11" i="15" s="1"/>
  <c r="Q5" i="1" a="1"/>
  <c r="Q5" i="1" s="1"/>
  <c r="S5" i="15" s="1"/>
  <c r="Q3" i="1" a="1"/>
  <c r="Q3" i="1" s="1"/>
  <c r="S3" i="15" s="1"/>
  <c r="Q14" i="1" a="1"/>
  <c r="Q14" i="1" s="1"/>
  <c r="S14" i="15" s="1"/>
  <c r="Q19" i="1" a="1"/>
  <c r="Q19" i="1" s="1"/>
  <c r="S19" i="15" s="1"/>
  <c r="Q2" i="1" a="1"/>
  <c r="Q2" i="1" s="1"/>
  <c r="S2" i="15" s="1"/>
  <c r="Q13" i="1" a="1"/>
  <c r="Q13" i="1" s="1"/>
  <c r="S13" i="15" s="1"/>
  <c r="Q8" i="1" a="1"/>
  <c r="Q8" i="1" s="1"/>
  <c r="S8" i="15" s="1"/>
  <c r="Q4" i="1" a="1"/>
  <c r="Q4" i="1" s="1"/>
  <c r="S4" i="15" s="1"/>
  <c r="Q17" i="1" a="1"/>
  <c r="Q17" i="1" s="1"/>
  <c r="S17" i="15" s="1"/>
  <c r="Q7" i="1" a="1"/>
  <c r="Q7" i="1" s="1"/>
  <c r="S7" i="15" s="1"/>
  <c r="Q10" i="1" a="1"/>
  <c r="Q10" i="1" s="1"/>
  <c r="S10" i="15" s="1"/>
  <c r="J44" i="12"/>
  <c r="K125" i="12"/>
  <c r="H107" i="12"/>
  <c r="J114" i="12"/>
  <c r="H67" i="12"/>
  <c r="J2" i="12"/>
  <c r="H206" i="12"/>
  <c r="H112" i="12"/>
  <c r="J243" i="12"/>
  <c r="J117" i="12"/>
  <c r="J361" i="12"/>
  <c r="K186" i="12"/>
  <c r="H359" i="12"/>
  <c r="J8" i="12"/>
  <c r="H227" i="12"/>
  <c r="J395" i="12"/>
  <c r="H135" i="12"/>
  <c r="H218" i="12"/>
  <c r="H143" i="12"/>
  <c r="J36" i="12"/>
  <c r="H191" i="12"/>
  <c r="H194" i="12"/>
  <c r="H176" i="12"/>
  <c r="J288" i="12"/>
  <c r="J405" i="12"/>
  <c r="K112" i="12"/>
  <c r="H125" i="12"/>
  <c r="J111" i="12"/>
  <c r="H234" i="12"/>
  <c r="J102" i="12"/>
  <c r="J366" i="12"/>
  <c r="H33" i="12"/>
  <c r="J158" i="12"/>
  <c r="H266" i="12"/>
  <c r="J39" i="12"/>
  <c r="J21" i="12"/>
  <c r="H35" i="12"/>
  <c r="J318" i="12"/>
  <c r="J334" i="12"/>
  <c r="J198" i="12"/>
  <c r="J63" i="12"/>
  <c r="K132" i="12"/>
  <c r="H432" i="12"/>
  <c r="H312" i="12"/>
  <c r="K130" i="12"/>
  <c r="H16" i="12"/>
  <c r="H326" i="12"/>
  <c r="J400" i="12"/>
  <c r="H185" i="12"/>
  <c r="J182" i="12"/>
  <c r="J64" i="12"/>
  <c r="K177" i="12"/>
  <c r="J280" i="12"/>
  <c r="K243" i="12"/>
  <c r="K150" i="12"/>
  <c r="K35" i="12"/>
  <c r="H275" i="12"/>
  <c r="J25" i="12"/>
  <c r="H419" i="12"/>
  <c r="J252" i="12"/>
  <c r="J142" i="12"/>
  <c r="H306" i="12"/>
  <c r="H149" i="12"/>
  <c r="H410" i="12"/>
  <c r="K222" i="12"/>
  <c r="K17" i="12"/>
  <c r="J357" i="12"/>
  <c r="H255" i="12"/>
  <c r="H84" i="12"/>
  <c r="H343" i="12"/>
  <c r="K195" i="12"/>
  <c r="H220" i="12"/>
  <c r="H205" i="12"/>
  <c r="J271" i="12"/>
  <c r="J56" i="12"/>
  <c r="K73" i="12"/>
  <c r="H401" i="12"/>
  <c r="H54" i="12"/>
  <c r="J344" i="12"/>
  <c r="H47" i="12"/>
  <c r="H350" i="12"/>
  <c r="K108" i="12"/>
  <c r="J223" i="12"/>
  <c r="K202" i="12"/>
  <c r="J313" i="12"/>
  <c r="K155" i="12"/>
  <c r="J204" i="12"/>
  <c r="H237" i="12"/>
  <c r="H353" i="12"/>
  <c r="K19" i="12"/>
  <c r="H244" i="12"/>
  <c r="J169" i="12"/>
  <c r="H431" i="12"/>
  <c r="K42" i="12"/>
  <c r="J108" i="12"/>
  <c r="J372" i="12"/>
  <c r="J273" i="12"/>
  <c r="H371" i="12"/>
  <c r="J227" i="12"/>
  <c r="J333" i="12"/>
  <c r="H209" i="12"/>
  <c r="H226" i="12"/>
  <c r="J141" i="12"/>
  <c r="H167" i="12"/>
  <c r="K56" i="12"/>
  <c r="H59" i="12"/>
  <c r="J193" i="12"/>
  <c r="J188" i="12"/>
  <c r="H151" i="12"/>
  <c r="J237" i="12"/>
  <c r="J348" i="12"/>
  <c r="H293" i="12"/>
  <c r="J46" i="12"/>
  <c r="J155" i="12"/>
  <c r="J269" i="12"/>
  <c r="H340" i="12"/>
  <c r="K188" i="12"/>
  <c r="J242" i="12"/>
  <c r="H280" i="12"/>
  <c r="J42" i="12"/>
  <c r="H60" i="12"/>
  <c r="H160" i="12"/>
  <c r="K45" i="12"/>
  <c r="J123" i="12"/>
  <c r="J409" i="12"/>
  <c r="J89" i="12"/>
  <c r="H360" i="12"/>
  <c r="H45" i="12"/>
  <c r="J386" i="12"/>
  <c r="H273" i="12"/>
  <c r="H85" i="12"/>
  <c r="H335" i="12"/>
  <c r="J23" i="12"/>
  <c r="J4" i="12"/>
  <c r="J107" i="12"/>
  <c r="J82" i="12"/>
  <c r="J176" i="12"/>
  <c r="J248" i="12"/>
  <c r="H113" i="12"/>
  <c r="J92" i="12"/>
  <c r="J301" i="12"/>
  <c r="K180" i="12"/>
  <c r="H387" i="12"/>
  <c r="H105" i="12"/>
  <c r="K193" i="12"/>
  <c r="H378" i="12"/>
  <c r="H72" i="12"/>
  <c r="H90" i="12"/>
  <c r="H274" i="12"/>
  <c r="K167" i="12"/>
  <c r="H115" i="12"/>
  <c r="H426" i="12"/>
  <c r="K156" i="12"/>
  <c r="H99" i="12"/>
  <c r="J170" i="12"/>
  <c r="H216" i="12"/>
  <c r="K32" i="12"/>
  <c r="H325" i="12"/>
  <c r="K13" i="12"/>
  <c r="J406" i="12"/>
  <c r="H384" i="12"/>
  <c r="H123" i="12"/>
  <c r="H404" i="12"/>
  <c r="H415" i="12"/>
  <c r="K58" i="12"/>
  <c r="J254" i="12"/>
  <c r="H246" i="12"/>
  <c r="H48" i="12"/>
  <c r="K149" i="12"/>
  <c r="H29" i="12"/>
  <c r="K24" i="12"/>
  <c r="J374" i="12"/>
  <c r="H267" i="12"/>
  <c r="K121" i="12"/>
  <c r="J249" i="12"/>
  <c r="J430" i="12"/>
  <c r="K117" i="12"/>
  <c r="J309" i="12"/>
  <c r="H260" i="12"/>
  <c r="J245" i="12"/>
  <c r="H116" i="12"/>
  <c r="J139" i="12"/>
  <c r="J199" i="12"/>
  <c r="H71" i="12"/>
  <c r="J17" i="12"/>
  <c r="K54" i="12"/>
  <c r="J128" i="12"/>
  <c r="J290" i="12"/>
  <c r="J360" i="12"/>
  <c r="J216" i="12"/>
  <c r="J52" i="12"/>
  <c r="H229" i="12"/>
  <c r="J401" i="12"/>
  <c r="K184" i="12"/>
  <c r="J325" i="12"/>
  <c r="J210" i="12"/>
  <c r="J148" i="12"/>
  <c r="K78" i="12"/>
  <c r="J413" i="12"/>
  <c r="J175" i="12"/>
  <c r="H433" i="12"/>
  <c r="J345" i="12"/>
  <c r="J215" i="12"/>
  <c r="J408" i="12"/>
  <c r="J354" i="12"/>
  <c r="K135" i="12"/>
  <c r="K31" i="12"/>
  <c r="H166" i="12"/>
  <c r="H342" i="12"/>
  <c r="H315" i="12"/>
  <c r="H262" i="12"/>
  <c r="H403" i="12"/>
  <c r="J319" i="12"/>
  <c r="J332" i="12"/>
  <c r="K241" i="12"/>
  <c r="K75" i="12"/>
  <c r="J5" i="12"/>
  <c r="J414" i="12"/>
  <c r="J347" i="12"/>
  <c r="J35" i="12"/>
  <c r="H207" i="12"/>
  <c r="K138" i="12"/>
  <c r="K14" i="12"/>
  <c r="H436" i="12"/>
  <c r="J136" i="12"/>
  <c r="J297" i="12"/>
  <c r="J367" i="12"/>
  <c r="J20" i="12"/>
  <c r="H328" i="12"/>
  <c r="H211" i="12"/>
  <c r="J341" i="12"/>
  <c r="H323" i="12"/>
  <c r="K246" i="12"/>
  <c r="H422" i="12"/>
  <c r="K139" i="12"/>
  <c r="H141" i="12"/>
  <c r="J30" i="12"/>
  <c r="H382" i="12"/>
  <c r="H362" i="12"/>
  <c r="J429" i="12"/>
  <c r="J281" i="12"/>
  <c r="J424" i="12"/>
  <c r="H73" i="12"/>
  <c r="J160" i="12"/>
  <c r="J118" i="12"/>
  <c r="K148" i="12"/>
  <c r="K213" i="12"/>
  <c r="K68" i="12"/>
  <c r="J41" i="12"/>
  <c r="H195" i="12"/>
  <c r="J103" i="12"/>
  <c r="J339" i="12"/>
  <c r="H263" i="12"/>
  <c r="J346" i="12"/>
  <c r="J293" i="12"/>
  <c r="H76" i="12"/>
  <c r="H294" i="12"/>
  <c r="K74" i="12"/>
  <c r="J396" i="12"/>
  <c r="H221" i="12"/>
  <c r="H407" i="12"/>
  <c r="H95" i="12"/>
  <c r="K100" i="12"/>
  <c r="H136" i="12"/>
  <c r="H153" i="12"/>
  <c r="H66" i="12"/>
  <c r="H287" i="12"/>
  <c r="H186" i="12"/>
  <c r="K232" i="12"/>
  <c r="J86" i="12"/>
  <c r="H377" i="12"/>
  <c r="J109" i="12"/>
  <c r="K2" i="12"/>
  <c r="H100" i="12"/>
  <c r="K3" i="12"/>
  <c r="J383" i="12"/>
  <c r="K21" i="12"/>
  <c r="H103" i="12"/>
  <c r="J294" i="12"/>
  <c r="J47" i="12"/>
  <c r="H57" i="12"/>
  <c r="K39" i="12"/>
  <c r="H396" i="12"/>
  <c r="J322" i="12"/>
  <c r="K124" i="12"/>
  <c r="J172" i="12"/>
  <c r="H156" i="12"/>
  <c r="H339" i="12"/>
  <c r="H144" i="12"/>
  <c r="K224" i="12"/>
  <c r="K176" i="12"/>
  <c r="H235" i="12"/>
  <c r="J165" i="12"/>
  <c r="J38" i="12"/>
  <c r="H381" i="12"/>
  <c r="H368" i="12"/>
  <c r="H122" i="12"/>
  <c r="J132" i="12"/>
  <c r="K59" i="12"/>
  <c r="K57" i="12"/>
  <c r="H65" i="12"/>
  <c r="K94" i="12"/>
  <c r="H249" i="12"/>
  <c r="K90" i="12"/>
  <c r="J37" i="12"/>
  <c r="K77" i="12"/>
  <c r="K123" i="12"/>
  <c r="J153" i="12"/>
  <c r="K229" i="12"/>
  <c r="J57" i="12"/>
  <c r="J445" i="12"/>
  <c r="H134" i="12"/>
  <c r="J13" i="12"/>
  <c r="H307" i="12"/>
  <c r="H34" i="12"/>
  <c r="J15" i="12"/>
  <c r="K51" i="12"/>
  <c r="K107" i="12"/>
  <c r="H10" i="12"/>
  <c r="K173" i="12"/>
  <c r="K111" i="12"/>
  <c r="J9" i="12"/>
  <c r="H61" i="12"/>
  <c r="J311" i="12"/>
  <c r="K84" i="12"/>
  <c r="H152" i="12"/>
  <c r="K169" i="12"/>
  <c r="H106" i="12"/>
  <c r="H199" i="12"/>
  <c r="J218" i="12"/>
  <c r="J415" i="12"/>
  <c r="J385" i="12"/>
  <c r="H341" i="12"/>
  <c r="H75" i="12"/>
  <c r="J373" i="12"/>
  <c r="J75" i="12"/>
  <c r="K102" i="12"/>
  <c r="H311" i="12"/>
  <c r="J22" i="12"/>
  <c r="K81" i="12"/>
  <c r="H344" i="12"/>
  <c r="J179" i="12"/>
  <c r="H346" i="12"/>
  <c r="H373" i="12"/>
  <c r="J124" i="12"/>
  <c r="H55" i="12"/>
  <c r="H252" i="12"/>
  <c r="K41" i="12"/>
  <c r="H20" i="12"/>
  <c r="H319" i="12"/>
  <c r="J61" i="12"/>
  <c r="H405" i="12"/>
  <c r="J420" i="12"/>
  <c r="H86" i="12"/>
  <c r="H321" i="12"/>
  <c r="K40" i="12"/>
  <c r="J369" i="12"/>
  <c r="K152" i="12"/>
  <c r="J337" i="12"/>
  <c r="J208" i="12"/>
  <c r="K205" i="12"/>
  <c r="K161" i="12"/>
  <c r="K183" i="12"/>
  <c r="J251" i="12"/>
  <c r="H271" i="12"/>
  <c r="H236" i="12"/>
  <c r="J33" i="12"/>
  <c r="J304" i="12"/>
  <c r="J397" i="12"/>
  <c r="H8" i="12"/>
  <c r="J358" i="12"/>
  <c r="J312" i="12"/>
  <c r="H329" i="12"/>
  <c r="H18" i="12"/>
  <c r="K142" i="12"/>
  <c r="K52" i="12"/>
  <c r="K219" i="12"/>
  <c r="J298" i="12"/>
  <c r="H159" i="12"/>
  <c r="J225" i="12"/>
  <c r="J147" i="12"/>
  <c r="H351" i="12"/>
  <c r="K105" i="12"/>
  <c r="K220" i="12"/>
  <c r="H270" i="12"/>
  <c r="H232" i="12"/>
  <c r="K163" i="12"/>
  <c r="H69" i="12"/>
  <c r="K251" i="12"/>
  <c r="J440" i="12"/>
  <c r="H251" i="12"/>
  <c r="J229" i="12"/>
  <c r="J295" i="12"/>
  <c r="H254" i="12"/>
  <c r="H32" i="12"/>
  <c r="H302" i="12"/>
  <c r="J140" i="12"/>
  <c r="K118" i="12"/>
  <c r="K240" i="12"/>
  <c r="J125" i="12"/>
  <c r="J276" i="12"/>
  <c r="H248" i="12"/>
  <c r="J167" i="12"/>
  <c r="K25" i="12"/>
  <c r="K159" i="12"/>
  <c r="H82" i="12"/>
  <c r="H28" i="12"/>
  <c r="K199" i="12"/>
  <c r="H305" i="12"/>
  <c r="J387" i="12"/>
  <c r="H63" i="12"/>
  <c r="K55" i="12"/>
  <c r="K225" i="12"/>
  <c r="J300" i="12"/>
  <c r="J263" i="12"/>
  <c r="H184" i="12"/>
  <c r="J398" i="12"/>
  <c r="H295" i="12"/>
  <c r="J187" i="12"/>
  <c r="K92" i="12"/>
  <c r="J211" i="12"/>
  <c r="J214" i="12"/>
  <c r="J259" i="12"/>
  <c r="H23" i="12"/>
  <c r="H108" i="12"/>
  <c r="J324" i="12"/>
  <c r="J129" i="12"/>
  <c r="H162" i="12"/>
  <c r="H52" i="12"/>
  <c r="H142" i="12"/>
  <c r="J356" i="12"/>
  <c r="H183" i="12"/>
  <c r="H239" i="12"/>
  <c r="H320" i="12"/>
  <c r="H310" i="12"/>
  <c r="H242" i="12"/>
  <c r="J230" i="12"/>
  <c r="K228" i="12"/>
  <c r="J219" i="12"/>
  <c r="H300" i="12"/>
  <c r="J58" i="12"/>
  <c r="H170" i="12"/>
  <c r="H181" i="12"/>
  <c r="K158" i="12"/>
  <c r="H413" i="12"/>
  <c r="K164" i="12"/>
  <c r="H210" i="12"/>
  <c r="H208" i="12"/>
  <c r="K215" i="12"/>
  <c r="H154" i="12"/>
  <c r="H386" i="12"/>
  <c r="J10" i="12"/>
  <c r="H89" i="12"/>
  <c r="K61" i="12"/>
  <c r="J355" i="12"/>
  <c r="J26" i="12"/>
  <c r="K119" i="12"/>
  <c r="J67" i="12"/>
  <c r="J152" i="12"/>
  <c r="H31" i="12"/>
  <c r="K11" i="12"/>
  <c r="H97" i="12"/>
  <c r="H147" i="12"/>
  <c r="K115" i="12"/>
  <c r="J40" i="12"/>
  <c r="J292" i="12"/>
  <c r="K36" i="12"/>
  <c r="H356" i="12"/>
  <c r="K187" i="12"/>
  <c r="H393" i="12"/>
  <c r="K166" i="12"/>
  <c r="H2" i="12"/>
  <c r="H169" i="12"/>
  <c r="J307" i="12"/>
  <c r="H296" i="12"/>
  <c r="J51" i="12"/>
  <c r="H285" i="12"/>
  <c r="K106" i="12"/>
  <c r="H304" i="12"/>
  <c r="J110" i="12"/>
  <c r="J444" i="12"/>
  <c r="J201" i="12"/>
  <c r="K114" i="12"/>
  <c r="H77" i="12"/>
  <c r="J149" i="12"/>
  <c r="H155" i="12"/>
  <c r="H392" i="12"/>
  <c r="J250" i="12"/>
  <c r="J70" i="12"/>
  <c r="K201" i="12"/>
  <c r="K48" i="12"/>
  <c r="J434" i="12"/>
  <c r="J16" i="12"/>
  <c r="H19" i="12"/>
  <c r="J394" i="12"/>
  <c r="H364" i="12"/>
  <c r="H288" i="12"/>
  <c r="H109" i="12"/>
  <c r="K144" i="12"/>
  <c r="J362" i="12"/>
  <c r="J166" i="12"/>
  <c r="H336" i="12"/>
  <c r="H322" i="12"/>
  <c r="J197" i="12"/>
  <c r="H49" i="12"/>
  <c r="J422" i="12"/>
  <c r="H233" i="12"/>
  <c r="J183" i="12"/>
  <c r="J343" i="12"/>
  <c r="J95" i="12"/>
  <c r="H39" i="12"/>
  <c r="J205" i="12"/>
  <c r="K239" i="12"/>
  <c r="K208" i="12"/>
  <c r="J163" i="12"/>
  <c r="J335" i="12"/>
  <c r="J232" i="12"/>
  <c r="H361" i="12"/>
  <c r="H222" i="12"/>
  <c r="H334" i="12"/>
  <c r="H253" i="12"/>
  <c r="J247" i="12"/>
  <c r="H347" i="12"/>
  <c r="K28" i="12"/>
  <c r="J134" i="12"/>
  <c r="H411" i="12"/>
  <c r="J331" i="12"/>
  <c r="J351" i="12"/>
  <c r="J164" i="12"/>
  <c r="H139" i="12"/>
  <c r="J191" i="12"/>
  <c r="J314" i="12"/>
  <c r="H398" i="12"/>
  <c r="H308" i="12"/>
  <c r="K97" i="12"/>
  <c r="J151" i="12"/>
  <c r="J241" i="12"/>
  <c r="J200" i="12"/>
  <c r="J66" i="12"/>
  <c r="J277" i="12"/>
  <c r="J261" i="12"/>
  <c r="H126" i="12"/>
  <c r="H111" i="12"/>
  <c r="H101" i="12"/>
  <c r="J209" i="12"/>
  <c r="J303" i="12"/>
  <c r="K204" i="12"/>
  <c r="J240" i="12"/>
  <c r="J239" i="12"/>
  <c r="H330" i="12"/>
  <c r="J375" i="12"/>
  <c r="K235" i="12"/>
  <c r="H324" i="12"/>
  <c r="K7" i="12"/>
  <c r="J168" i="12"/>
  <c r="K83" i="12"/>
  <c r="K43" i="12"/>
  <c r="K165" i="12"/>
  <c r="K122" i="12"/>
  <c r="J428" i="12"/>
  <c r="H223" i="12"/>
  <c r="H380" i="12"/>
  <c r="J302" i="12"/>
  <c r="H12" i="12"/>
  <c r="H94" i="12"/>
  <c r="J283" i="12"/>
  <c r="J6" i="12"/>
  <c r="H224" i="12"/>
  <c r="K80" i="12"/>
  <c r="K252" i="12"/>
  <c r="J370" i="12"/>
  <c r="K223" i="12"/>
  <c r="J174" i="12"/>
  <c r="H390" i="12"/>
  <c r="J441" i="12"/>
  <c r="J431" i="12"/>
  <c r="K23" i="12"/>
  <c r="J266" i="12"/>
  <c r="K185" i="12"/>
  <c r="K194" i="12"/>
  <c r="J24" i="12"/>
  <c r="J291" i="12"/>
  <c r="H420" i="12"/>
  <c r="H402" i="12"/>
  <c r="K190" i="12"/>
  <c r="K217" i="12"/>
  <c r="K96" i="12"/>
  <c r="K93" i="12"/>
  <c r="H332" i="12"/>
  <c r="J145" i="12"/>
  <c r="J80" i="12"/>
  <c r="H327" i="12"/>
  <c r="H182" i="12"/>
  <c r="H200" i="12"/>
  <c r="J55" i="12"/>
  <c r="J329" i="12"/>
  <c r="J69" i="12"/>
  <c r="J350" i="12"/>
  <c r="H355" i="12"/>
  <c r="J338" i="12"/>
  <c r="K34" i="12"/>
  <c r="H412" i="12"/>
  <c r="J326" i="12"/>
  <c r="J272" i="12"/>
  <c r="J377" i="12"/>
  <c r="J60" i="12"/>
  <c r="H93" i="12"/>
  <c r="J3" i="12"/>
  <c r="J29" i="12"/>
  <c r="J287" i="12"/>
  <c r="J97" i="12"/>
  <c r="K72" i="12"/>
  <c r="J130" i="12"/>
  <c r="H172" i="12"/>
  <c r="K82" i="12"/>
  <c r="J99" i="12"/>
  <c r="K50" i="12"/>
  <c r="J206" i="12"/>
  <c r="H231" i="12"/>
  <c r="J425" i="12"/>
  <c r="H264" i="12"/>
  <c r="J50" i="12"/>
  <c r="J162" i="12"/>
  <c r="H331" i="12"/>
  <c r="J270" i="12"/>
  <c r="J365" i="12"/>
  <c r="J416" i="12"/>
  <c r="H189" i="12"/>
  <c r="J68" i="12"/>
  <c r="H366" i="12"/>
  <c r="H161" i="12"/>
  <c r="H374" i="12"/>
  <c r="H365" i="12"/>
  <c r="J81" i="12"/>
  <c r="J65" i="12"/>
  <c r="K65" i="12"/>
  <c r="J371" i="12"/>
  <c r="J378" i="12"/>
  <c r="H283" i="12"/>
  <c r="K172" i="12"/>
  <c r="J173" i="12"/>
  <c r="H197" i="12"/>
  <c r="H158" i="12"/>
  <c r="J244" i="12"/>
  <c r="K153" i="12"/>
  <c r="J133" i="12"/>
  <c r="H40" i="12"/>
  <c r="H257" i="12"/>
  <c r="K71" i="12"/>
  <c r="H173" i="12"/>
  <c r="K30" i="12"/>
  <c r="H268" i="12"/>
  <c r="J410" i="12"/>
  <c r="J267" i="12"/>
  <c r="H198" i="12"/>
  <c r="K38" i="12"/>
  <c r="J433" i="12"/>
  <c r="K189" i="12"/>
  <c r="K4" i="12"/>
  <c r="K174" i="12"/>
  <c r="K44" i="12"/>
  <c r="K10" i="12"/>
  <c r="J49" i="12"/>
  <c r="J256" i="12"/>
  <c r="J235" i="12"/>
  <c r="J407" i="12"/>
  <c r="J359" i="12"/>
  <c r="J285" i="12"/>
  <c r="J88" i="12"/>
  <c r="J84" i="12"/>
  <c r="K64" i="12"/>
  <c r="H44" i="12"/>
  <c r="J77" i="12"/>
  <c r="H427" i="12"/>
  <c r="H279" i="12"/>
  <c r="J417" i="12"/>
  <c r="J228" i="12"/>
  <c r="J217" i="12"/>
  <c r="K171" i="12"/>
  <c r="H130" i="12"/>
  <c r="K47" i="12"/>
  <c r="J286" i="12"/>
  <c r="H117" i="12"/>
  <c r="H179" i="12"/>
  <c r="H140" i="12"/>
  <c r="J213" i="12"/>
  <c r="H25" i="12"/>
  <c r="J268" i="12"/>
  <c r="K147" i="12"/>
  <c r="H68" i="12"/>
  <c r="H148" i="12"/>
  <c r="K46" i="12"/>
  <c r="K237" i="12"/>
  <c r="H192" i="12"/>
  <c r="H428" i="12"/>
  <c r="J258" i="12"/>
  <c r="H363" i="12"/>
  <c r="H358" i="12"/>
  <c r="J79" i="12"/>
  <c r="H245" i="12"/>
  <c r="J306" i="12"/>
  <c r="J275" i="12"/>
  <c r="H298" i="12"/>
  <c r="H434" i="12"/>
  <c r="J380" i="12"/>
  <c r="K37" i="12"/>
  <c r="J379" i="12"/>
  <c r="H168" i="12"/>
  <c r="J11" i="12"/>
  <c r="J296" i="12"/>
  <c r="K131" i="12"/>
  <c r="J143" i="12"/>
  <c r="J392" i="12"/>
  <c r="K192" i="12"/>
  <c r="J222" i="12"/>
  <c r="H58" i="12"/>
  <c r="H15" i="12"/>
  <c r="K63" i="12"/>
  <c r="J364" i="12"/>
  <c r="H297" i="12"/>
  <c r="J98" i="12"/>
  <c r="H256" i="12"/>
  <c r="J423" i="12"/>
  <c r="H276" i="12"/>
  <c r="J207" i="12"/>
  <c r="J220" i="12"/>
  <c r="K206" i="12"/>
  <c r="J28" i="12"/>
  <c r="J412" i="12"/>
  <c r="J144" i="12"/>
  <c r="J233" i="12"/>
  <c r="K209" i="12"/>
  <c r="K216" i="12"/>
  <c r="H41" i="12"/>
  <c r="J349" i="12"/>
  <c r="J27" i="12"/>
  <c r="J289" i="12"/>
  <c r="H92" i="12"/>
  <c r="H352" i="12"/>
  <c r="J342" i="12"/>
  <c r="K218" i="12"/>
  <c r="J260" i="12"/>
  <c r="H56" i="12"/>
  <c r="J411" i="12"/>
  <c r="H372" i="12"/>
  <c r="H124" i="12"/>
  <c r="H203" i="12"/>
  <c r="J177" i="12"/>
  <c r="K200" i="12"/>
  <c r="J78" i="12"/>
  <c r="J62" i="12"/>
  <c r="J119" i="12"/>
  <c r="J7" i="12"/>
  <c r="H50" i="12"/>
  <c r="H88" i="12"/>
  <c r="H110" i="12"/>
  <c r="K98" i="12"/>
  <c r="H132" i="12"/>
  <c r="K18" i="12"/>
  <c r="K20" i="12"/>
  <c r="H240" i="12"/>
  <c r="J161" i="12"/>
  <c r="J438" i="12"/>
  <c r="J101" i="12"/>
  <c r="H187" i="12"/>
  <c r="J85" i="12"/>
  <c r="J399" i="12"/>
  <c r="H238" i="12"/>
  <c r="H175" i="12"/>
  <c r="K53" i="12"/>
  <c r="H345" i="12"/>
  <c r="H202" i="12"/>
  <c r="K160" i="12"/>
  <c r="H379" i="12"/>
  <c r="K143" i="12"/>
  <c r="H201" i="12"/>
  <c r="H81" i="12"/>
  <c r="K16" i="12"/>
  <c r="K113" i="12"/>
  <c r="K128" i="12"/>
  <c r="H357" i="12"/>
  <c r="K9" i="12"/>
  <c r="J48" i="12"/>
  <c r="J196" i="12"/>
  <c r="J305" i="12"/>
  <c r="J432" i="12"/>
  <c r="K60" i="12"/>
  <c r="K127" i="12"/>
  <c r="H5" i="12"/>
  <c r="H150" i="12"/>
  <c r="J426" i="12"/>
  <c r="J34" i="12"/>
  <c r="K196" i="12"/>
  <c r="J389" i="12"/>
  <c r="H278" i="12"/>
  <c r="H164" i="12"/>
  <c r="J12" i="12"/>
  <c r="J320" i="12"/>
  <c r="J121" i="12"/>
  <c r="J90" i="12"/>
  <c r="H349" i="12"/>
  <c r="H230" i="12"/>
  <c r="J390" i="12"/>
  <c r="J221" i="12"/>
  <c r="J265" i="12"/>
  <c r="K116" i="12"/>
  <c r="J96" i="12"/>
  <c r="J381" i="12"/>
  <c r="J402" i="12"/>
  <c r="J224" i="12"/>
  <c r="K12" i="12"/>
  <c r="J274" i="12"/>
  <c r="J112" i="12"/>
  <c r="H301" i="12"/>
  <c r="H219" i="12"/>
  <c r="H4" i="12"/>
  <c r="J388" i="12"/>
  <c r="J180" i="12"/>
  <c r="J120" i="12"/>
  <c r="J323" i="12"/>
  <c r="K244" i="12"/>
  <c r="H24" i="12"/>
  <c r="H163" i="12"/>
  <c r="H281" i="12"/>
  <c r="H70" i="12"/>
  <c r="H375" i="12"/>
  <c r="K95" i="12"/>
  <c r="H98" i="12"/>
  <c r="H51" i="12"/>
  <c r="H228" i="12"/>
  <c r="H394" i="12"/>
  <c r="H13" i="12"/>
  <c r="K175" i="12"/>
  <c r="J436" i="12"/>
  <c r="H64" i="12"/>
  <c r="J87" i="12"/>
  <c r="J195" i="12"/>
  <c r="K157" i="12"/>
  <c r="K248" i="12"/>
  <c r="J435" i="12"/>
  <c r="H42" i="12"/>
  <c r="J31" i="12"/>
  <c r="H338" i="12"/>
  <c r="K233" i="12"/>
  <c r="J212" i="12"/>
  <c r="H3" i="12"/>
  <c r="H174" i="12"/>
  <c r="H62" i="12"/>
  <c r="K154" i="12"/>
  <c r="H292" i="12"/>
  <c r="J185" i="12"/>
  <c r="H14" i="12"/>
  <c r="H395" i="12"/>
  <c r="J282" i="12"/>
  <c r="J327" i="12"/>
  <c r="K203" i="12"/>
  <c r="H250" i="12"/>
  <c r="K212" i="12"/>
  <c r="K103" i="12"/>
  <c r="K110" i="12"/>
  <c r="H6" i="12"/>
  <c r="J253" i="12"/>
  <c r="H119" i="12"/>
  <c r="J393" i="12"/>
  <c r="K198" i="12"/>
  <c r="H30" i="12"/>
  <c r="K126" i="12"/>
  <c r="J231" i="12"/>
  <c r="J171" i="12"/>
  <c r="H425" i="12"/>
  <c r="J105" i="12"/>
  <c r="J382" i="12"/>
  <c r="J234" i="12"/>
  <c r="H265" i="12"/>
  <c r="J91" i="12"/>
  <c r="H215" i="12"/>
  <c r="K238" i="12"/>
  <c r="H409" i="12"/>
  <c r="K245" i="12"/>
  <c r="K182" i="12"/>
  <c r="K162" i="12"/>
  <c r="H114" i="12"/>
  <c r="K109" i="12"/>
  <c r="K27" i="12"/>
  <c r="H171" i="12"/>
  <c r="K99" i="12"/>
  <c r="K120" i="12"/>
  <c r="H129" i="12"/>
  <c r="J391" i="12"/>
  <c r="H290" i="12"/>
  <c r="H53" i="12"/>
  <c r="H317" i="12"/>
  <c r="J74" i="12"/>
  <c r="K49" i="12"/>
  <c r="J368" i="12"/>
  <c r="H272" i="12"/>
  <c r="H316" i="12"/>
  <c r="J262" i="12"/>
  <c r="H418" i="12"/>
  <c r="H408" i="12"/>
  <c r="H137" i="12"/>
  <c r="H214" i="12"/>
  <c r="H314" i="12"/>
  <c r="H37" i="12"/>
  <c r="H291" i="12"/>
  <c r="J308" i="12"/>
  <c r="H421" i="12"/>
  <c r="J150" i="12"/>
  <c r="J238" i="12"/>
  <c r="H417" i="12"/>
  <c r="H289" i="12"/>
  <c r="H204" i="12"/>
  <c r="H96" i="12"/>
  <c r="J264" i="12"/>
  <c r="J404" i="12"/>
  <c r="K140" i="12"/>
  <c r="H212" i="12"/>
  <c r="H138" i="12"/>
  <c r="J186" i="12"/>
  <c r="H180" i="12"/>
  <c r="K66" i="12"/>
  <c r="K67" i="12"/>
  <c r="J45" i="12"/>
  <c r="J226" i="12"/>
  <c r="K145" i="12"/>
  <c r="H370" i="12"/>
  <c r="H133" i="12"/>
  <c r="H131" i="12"/>
  <c r="J43" i="12"/>
  <c r="H354" i="12"/>
  <c r="K197" i="12"/>
  <c r="K250" i="12"/>
  <c r="H87" i="12"/>
  <c r="H423" i="12"/>
  <c r="H388" i="12"/>
  <c r="K247" i="12"/>
  <c r="H282" i="12"/>
  <c r="H7" i="12"/>
  <c r="K151" i="12"/>
  <c r="H146" i="12"/>
  <c r="K178" i="12"/>
  <c r="J418" i="12"/>
  <c r="K86" i="12"/>
  <c r="J83" i="12"/>
  <c r="J403" i="12"/>
  <c r="K88" i="12"/>
  <c r="J190" i="12"/>
  <c r="K141" i="12"/>
  <c r="H74" i="12"/>
  <c r="J192" i="12"/>
  <c r="H430" i="12"/>
  <c r="H391" i="12"/>
  <c r="J315" i="12"/>
  <c r="K168" i="12"/>
  <c r="J184" i="12"/>
  <c r="J353" i="12"/>
  <c r="H91" i="12"/>
  <c r="J255" i="12"/>
  <c r="K22" i="12"/>
  <c r="H120" i="12"/>
  <c r="J321" i="12"/>
  <c r="J154" i="12"/>
  <c r="K91" i="12"/>
  <c r="H337" i="12"/>
  <c r="H128" i="12"/>
  <c r="J138" i="12"/>
  <c r="K5" i="12"/>
  <c r="H46" i="12"/>
  <c r="J100" i="12"/>
  <c r="J135" i="12"/>
  <c r="H399" i="12"/>
  <c r="H79" i="12"/>
  <c r="H258" i="12"/>
  <c r="H225" i="12"/>
  <c r="J363" i="12"/>
  <c r="K133" i="12"/>
  <c r="K101" i="12"/>
  <c r="J278" i="12"/>
  <c r="H284" i="12"/>
  <c r="J257" i="12"/>
  <c r="H38" i="12"/>
  <c r="H385" i="12"/>
  <c r="H43" i="12"/>
  <c r="J122" i="12"/>
  <c r="H369" i="12"/>
  <c r="H259" i="12"/>
  <c r="J328" i="12"/>
  <c r="J181" i="12"/>
  <c r="H309" i="12"/>
  <c r="H102" i="12"/>
  <c r="J299" i="12"/>
  <c r="J73" i="12"/>
  <c r="J352" i="12"/>
  <c r="H429" i="12"/>
  <c r="K191" i="12"/>
  <c r="H416" i="12"/>
  <c r="K211" i="12"/>
  <c r="K234" i="12"/>
  <c r="J131" i="12"/>
  <c r="K129" i="12"/>
  <c r="H11" i="12"/>
  <c r="H435" i="12"/>
  <c r="K146" i="12"/>
  <c r="H383" i="12"/>
  <c r="H241" i="12"/>
  <c r="J126" i="12"/>
  <c r="H22" i="12"/>
  <c r="H261" i="12"/>
  <c r="K210" i="12"/>
  <c r="J54" i="12"/>
  <c r="H145" i="12"/>
  <c r="H367" i="12"/>
  <c r="J189" i="12"/>
  <c r="H196" i="12"/>
  <c r="H303" i="12"/>
  <c r="K76" i="12"/>
  <c r="H190" i="12"/>
  <c r="K33" i="12"/>
  <c r="J127" i="12"/>
  <c r="J113" i="12"/>
  <c r="H21" i="12"/>
  <c r="H78" i="12"/>
  <c r="J106" i="12"/>
  <c r="J157" i="12"/>
  <c r="J376" i="12"/>
  <c r="J202" i="12"/>
  <c r="H299" i="12"/>
  <c r="K79" i="12"/>
  <c r="K85" i="12"/>
  <c r="K242" i="12"/>
  <c r="H127" i="12"/>
  <c r="H389" i="12"/>
  <c r="H313" i="12"/>
  <c r="J246" i="12"/>
  <c r="H400" i="12"/>
  <c r="K8" i="12"/>
  <c r="H9" i="12"/>
  <c r="K15" i="12"/>
  <c r="J236" i="12"/>
  <c r="H243" i="12"/>
  <c r="J284" i="12"/>
  <c r="H178" i="12"/>
  <c r="J203" i="12"/>
  <c r="H121" i="12"/>
  <c r="H177" i="12"/>
  <c r="J178" i="12"/>
  <c r="J442" i="12"/>
  <c r="H17" i="12"/>
  <c r="J336" i="12"/>
  <c r="K29" i="12"/>
  <c r="H406" i="12"/>
  <c r="H26" i="12"/>
  <c r="H414" i="12"/>
  <c r="K137" i="12"/>
  <c r="J427" i="12"/>
  <c r="J76" i="12"/>
  <c r="K170" i="12"/>
  <c r="J159" i="12"/>
  <c r="J310" i="12"/>
  <c r="J146" i="12"/>
  <c r="H157" i="12"/>
  <c r="H318" i="12"/>
  <c r="J446" i="12"/>
  <c r="H217" i="12"/>
  <c r="H80" i="12"/>
  <c r="J437" i="12"/>
  <c r="K249" i="12"/>
  <c r="K207" i="12"/>
  <c r="J71" i="12"/>
  <c r="K179" i="12"/>
  <c r="H118" i="12"/>
  <c r="K221" i="12"/>
  <c r="H348" i="12"/>
  <c r="K87" i="12"/>
  <c r="J59" i="12"/>
  <c r="H269" i="12"/>
  <c r="J443" i="12"/>
  <c r="J137" i="12"/>
  <c r="J93" i="12"/>
  <c r="H213" i="12"/>
  <c r="J156" i="12"/>
  <c r="J316" i="12"/>
  <c r="J194" i="12"/>
  <c r="H193" i="12"/>
  <c r="J19" i="12"/>
  <c r="J439" i="12"/>
  <c r="J330" i="12"/>
  <c r="J115" i="12"/>
  <c r="J14" i="12"/>
  <c r="J32" i="12"/>
  <c r="K89" i="12"/>
  <c r="H376" i="12"/>
  <c r="K226" i="12"/>
  <c r="J384" i="12"/>
  <c r="K236" i="12"/>
  <c r="H424" i="12"/>
  <c r="J116" i="12"/>
  <c r="K6" i="12"/>
  <c r="J421" i="12"/>
  <c r="H83" i="12"/>
  <c r="K70" i="12"/>
  <c r="H188" i="12"/>
  <c r="J18" i="12"/>
  <c r="K231" i="12"/>
  <c r="K227" i="12"/>
  <c r="H333" i="12"/>
  <c r="J419" i="12"/>
  <c r="H36" i="12"/>
  <c r="H165" i="12"/>
  <c r="J104" i="12"/>
  <c r="J53" i="12"/>
  <c r="K62" i="12"/>
  <c r="K69" i="12"/>
  <c r="K181" i="12"/>
  <c r="K134" i="12"/>
  <c r="K136" i="12"/>
  <c r="H104" i="12"/>
  <c r="J317" i="12"/>
  <c r="H286" i="12"/>
  <c r="J279" i="12"/>
  <c r="K26" i="12"/>
  <c r="J94" i="12"/>
  <c r="H397" i="12"/>
  <c r="H277" i="12"/>
  <c r="K104" i="12"/>
  <c r="H27" i="12"/>
  <c r="K253" i="12"/>
  <c r="J340" i="12"/>
  <c r="K214" i="12"/>
  <c r="K230" i="12"/>
  <c r="J72" i="12"/>
  <c r="H247" i="12"/>
  <c r="L72" i="12" l="1" a="1"/>
  <c r="L72" i="12" s="1"/>
  <c r="M230" i="12" a="1"/>
  <c r="M230" i="12" s="1"/>
  <c r="M214" i="12" a="1"/>
  <c r="M214" i="12" s="1"/>
  <c r="I27" i="12" a="1"/>
  <c r="I27" i="12" s="1"/>
  <c r="M104" i="12" a="1"/>
  <c r="M104" i="12" s="1"/>
  <c r="L94" i="12" a="1"/>
  <c r="L94" i="12" s="1"/>
  <c r="M26" i="12" a="1"/>
  <c r="M26" i="12" s="1"/>
  <c r="M136" i="12" a="1"/>
  <c r="M136" i="12" s="1"/>
  <c r="M134" i="12" a="1"/>
  <c r="M134" i="12" s="1"/>
  <c r="M181" i="12" a="1"/>
  <c r="M181" i="12" s="1"/>
  <c r="M69" i="12" a="1"/>
  <c r="M69" i="12" s="1"/>
  <c r="M62" i="12" a="1"/>
  <c r="M62" i="12" s="1"/>
  <c r="L53" i="12" a="1"/>
  <c r="L53" i="12" s="1"/>
  <c r="L104" i="12" a="1"/>
  <c r="L104" i="12" s="1"/>
  <c r="I36" i="12" a="1"/>
  <c r="I36" i="12" s="1"/>
  <c r="M227" i="12" a="1"/>
  <c r="M227" i="12" s="1"/>
  <c r="M231" i="12" a="1"/>
  <c r="M231" i="12" s="1"/>
  <c r="L18" i="12" a="1"/>
  <c r="L18" i="12" s="1"/>
  <c r="M70" i="12" a="1"/>
  <c r="M70" i="12" s="1"/>
  <c r="I83" i="12" a="1"/>
  <c r="I83" i="12" s="1"/>
  <c r="M6" i="12" a="1"/>
  <c r="M6" i="12" s="1"/>
  <c r="L116" i="12" a="1"/>
  <c r="L116" i="12" s="1"/>
  <c r="M226" i="12" a="1"/>
  <c r="M226" i="12" s="1"/>
  <c r="M89" i="12" a="1"/>
  <c r="M89" i="12" s="1"/>
  <c r="L32" i="12" a="1"/>
  <c r="L32" i="12" s="1"/>
  <c r="L14" i="12" a="1"/>
  <c r="L14" i="12" s="1"/>
  <c r="L115" i="12" a="1"/>
  <c r="L115" i="12" s="1"/>
  <c r="L19" i="12" a="1"/>
  <c r="L19" i="12" s="1"/>
  <c r="L194" i="12" a="1"/>
  <c r="L194" i="12" s="1"/>
  <c r="L156" i="12" a="1"/>
  <c r="L156" i="12" s="1"/>
  <c r="L93" i="12" a="1"/>
  <c r="L93" i="12" s="1"/>
  <c r="L137" i="12" a="1"/>
  <c r="L137" i="12" s="1"/>
  <c r="L59" i="12" a="1"/>
  <c r="L59" i="12" s="1"/>
  <c r="M87" i="12" a="1"/>
  <c r="M87" i="12" s="1"/>
  <c r="M221" i="12" a="1"/>
  <c r="M221" i="12" s="1"/>
  <c r="M179" i="12" a="1"/>
  <c r="M179" i="12" s="1"/>
  <c r="L71" i="12" a="1"/>
  <c r="L71" i="12" s="1"/>
  <c r="M207" i="12" a="1"/>
  <c r="M207" i="12" s="1"/>
  <c r="I80" i="12" a="1"/>
  <c r="I80" i="12" s="1"/>
  <c r="L146" i="12" a="1"/>
  <c r="L146" i="12" s="1"/>
  <c r="L159" i="12" a="1"/>
  <c r="L159" i="12" s="1"/>
  <c r="M170" i="12" a="1"/>
  <c r="M170" i="12" s="1"/>
  <c r="L76" i="12" a="1"/>
  <c r="L76" i="12" s="1"/>
  <c r="N76" i="12" s="1"/>
  <c r="M137" i="12" a="1"/>
  <c r="M137" i="12" s="1"/>
  <c r="I26" i="12" a="1"/>
  <c r="I26" i="12" s="1"/>
  <c r="M29" i="12" a="1"/>
  <c r="M29" i="12" s="1"/>
  <c r="I17" i="12" a="1"/>
  <c r="I17" i="12" s="1"/>
  <c r="L178" i="12" a="1"/>
  <c r="L178" i="12" s="1"/>
  <c r="L203" i="12" a="1"/>
  <c r="L203" i="12" s="1"/>
  <c r="L236" i="12" a="1"/>
  <c r="L236" i="12" s="1"/>
  <c r="M15" i="12" a="1"/>
  <c r="M15" i="12" s="1"/>
  <c r="I9" i="12" a="1"/>
  <c r="I9" i="12" s="1"/>
  <c r="M8" i="12" a="1"/>
  <c r="M8" i="12" s="1"/>
  <c r="L246" i="12" a="1"/>
  <c r="L246" i="12" s="1"/>
  <c r="M85" i="12" a="1"/>
  <c r="M85" i="12" s="1"/>
  <c r="M79" i="12" a="1"/>
  <c r="M79" i="12" s="1"/>
  <c r="L202" i="12" a="1"/>
  <c r="L202" i="12" s="1"/>
  <c r="L157" i="12" a="1"/>
  <c r="L157" i="12" s="1"/>
  <c r="L106" i="12" a="1"/>
  <c r="L106" i="12" s="1"/>
  <c r="I78" i="12" a="1"/>
  <c r="I78" i="12" s="1"/>
  <c r="I21" i="12" a="1"/>
  <c r="I21" i="12" s="1"/>
  <c r="L113" i="12" a="1"/>
  <c r="L113" i="12" s="1"/>
  <c r="L127" i="12" a="1"/>
  <c r="L127" i="12" s="1"/>
  <c r="M33" i="12" a="1"/>
  <c r="M33" i="12" s="1"/>
  <c r="M76" i="12" a="1"/>
  <c r="M76" i="12" s="1"/>
  <c r="L189" i="12" a="1"/>
  <c r="L189" i="12" s="1"/>
  <c r="L54" i="12" a="1"/>
  <c r="L54" i="12" s="1"/>
  <c r="M210" i="12" a="1"/>
  <c r="M210" i="12" s="1"/>
  <c r="I22" i="12" a="1"/>
  <c r="I22" i="12" s="1"/>
  <c r="L126" i="12" a="1"/>
  <c r="L126" i="12" s="1"/>
  <c r="M146" i="12" a="1"/>
  <c r="M146" i="12" s="1"/>
  <c r="I11" i="12" a="1"/>
  <c r="I11" i="12" s="1"/>
  <c r="M129" i="12" a="1"/>
  <c r="M129" i="12" s="1"/>
  <c r="L131" i="12" a="1"/>
  <c r="L131" i="12" s="1"/>
  <c r="M234" i="12" a="1"/>
  <c r="M234" i="12" s="1"/>
  <c r="M211" i="12" a="1"/>
  <c r="M211" i="12" s="1"/>
  <c r="M191" i="12" a="1"/>
  <c r="M191" i="12" s="1"/>
  <c r="L73" i="12" a="1"/>
  <c r="L73" i="12" s="1"/>
  <c r="L181" i="12" a="1"/>
  <c r="L181" i="12" s="1"/>
  <c r="L122" i="12" a="1"/>
  <c r="L122" i="12" s="1"/>
  <c r="I43" i="12" a="1"/>
  <c r="I43" i="12" s="1"/>
  <c r="I38" i="12" a="1"/>
  <c r="I38" i="12" s="1"/>
  <c r="M101" i="12" a="1"/>
  <c r="M101" i="12" s="1"/>
  <c r="M133" i="12" a="1"/>
  <c r="M133" i="12" s="1"/>
  <c r="I79" i="12" a="1"/>
  <c r="I79" i="12" s="1"/>
  <c r="L135" i="12" a="1"/>
  <c r="L135" i="12" s="1"/>
  <c r="L100" i="12" a="1"/>
  <c r="L100" i="12" s="1"/>
  <c r="I46" i="12" a="1"/>
  <c r="I46" i="12" s="1"/>
  <c r="M5" i="12" a="1"/>
  <c r="M5" i="12" s="1"/>
  <c r="L138" i="12" a="1"/>
  <c r="L138" i="12" s="1"/>
  <c r="M91" i="12" a="1"/>
  <c r="M91" i="12" s="1"/>
  <c r="L154" i="12" a="1"/>
  <c r="L154" i="12" s="1"/>
  <c r="M22" i="12" a="1"/>
  <c r="M22" i="12" s="1"/>
  <c r="I91" i="12" a="1"/>
  <c r="I91" i="12" s="1"/>
  <c r="L184" i="12" a="1"/>
  <c r="L184" i="12" s="1"/>
  <c r="M168" i="12" a="1"/>
  <c r="M168" i="12" s="1"/>
  <c r="L192" i="12" a="1"/>
  <c r="L192" i="12" s="1"/>
  <c r="I74" i="12" a="1"/>
  <c r="I74" i="12" s="1"/>
  <c r="M141" i="12" a="1"/>
  <c r="M141" i="12" s="1"/>
  <c r="L190" i="12" a="1"/>
  <c r="L190" i="12" s="1"/>
  <c r="M88" i="12" a="1"/>
  <c r="M88" i="12" s="1"/>
  <c r="L83" i="12" a="1"/>
  <c r="L83" i="12" s="1"/>
  <c r="M86" i="12" a="1"/>
  <c r="M86" i="12" s="1"/>
  <c r="M178" i="12" a="1"/>
  <c r="M178" i="12" s="1"/>
  <c r="M151" i="12" a="1"/>
  <c r="M151" i="12" s="1"/>
  <c r="I7" i="12" a="1"/>
  <c r="I7" i="12" s="1"/>
  <c r="I87" i="12" a="1"/>
  <c r="I87" i="12" s="1"/>
  <c r="M197" i="12" a="1"/>
  <c r="M197" i="12" s="1"/>
  <c r="L43" i="12" a="1"/>
  <c r="L43" i="12" s="1"/>
  <c r="M145" i="12" a="1"/>
  <c r="M145" i="12" s="1"/>
  <c r="L226" i="12" a="1"/>
  <c r="L226" i="12" s="1"/>
  <c r="L45" i="12" a="1"/>
  <c r="L45" i="12" s="1"/>
  <c r="M67" i="12" a="1"/>
  <c r="M67" i="12" s="1"/>
  <c r="M66" i="12" a="1"/>
  <c r="M66" i="12" s="1"/>
  <c r="L186" i="12" a="1"/>
  <c r="L186" i="12" s="1"/>
  <c r="M140" i="12" a="1"/>
  <c r="M140" i="12" s="1"/>
  <c r="I96" i="12" a="1"/>
  <c r="I96" i="12" s="1"/>
  <c r="L238" i="12" a="1"/>
  <c r="L238" i="12" s="1"/>
  <c r="L150" i="12" a="1"/>
  <c r="L150" i="12" s="1"/>
  <c r="I37" i="12" a="1"/>
  <c r="I37" i="12" s="1"/>
  <c r="M49" i="12" a="1"/>
  <c r="M49" i="12" s="1"/>
  <c r="L74" i="12" a="1"/>
  <c r="L74" i="12" s="1"/>
  <c r="I53" i="12" a="1"/>
  <c r="I53" i="12" s="1"/>
  <c r="M120" i="12" a="1"/>
  <c r="M120" i="12" s="1"/>
  <c r="M99" i="12" a="1"/>
  <c r="M99" i="12" s="1"/>
  <c r="M27" i="12" a="1"/>
  <c r="M27" i="12" s="1"/>
  <c r="M109" i="12" a="1"/>
  <c r="M109" i="12" s="1"/>
  <c r="M162" i="12" a="1"/>
  <c r="M162" i="12" s="1"/>
  <c r="M182" i="12" a="1"/>
  <c r="M182" i="12" s="1"/>
  <c r="L91" i="12" a="1"/>
  <c r="L91" i="12" s="1"/>
  <c r="L234" i="12" a="1"/>
  <c r="L234" i="12" s="1"/>
  <c r="L105" i="12" a="1"/>
  <c r="L105" i="12" s="1"/>
  <c r="L171" i="12" a="1"/>
  <c r="L171" i="12" s="1"/>
  <c r="L231" i="12" a="1"/>
  <c r="L231" i="12" s="1"/>
  <c r="M126" i="12" a="1"/>
  <c r="M126" i="12" s="1"/>
  <c r="I30" i="12" a="1"/>
  <c r="I30" i="12" s="1"/>
  <c r="M198" i="12" a="1"/>
  <c r="M198" i="12" s="1"/>
  <c r="L253" i="12" a="1"/>
  <c r="L253" i="12" s="1"/>
  <c r="I6" i="12" a="1"/>
  <c r="I6" i="12" s="1"/>
  <c r="M110" i="12" a="1"/>
  <c r="M110" i="12" s="1"/>
  <c r="M103" i="12" a="1"/>
  <c r="M103" i="12" s="1"/>
  <c r="M212" i="12" a="1"/>
  <c r="M212" i="12" s="1"/>
  <c r="M203" i="12" a="1"/>
  <c r="M203" i="12" s="1"/>
  <c r="I14" i="12" a="1"/>
  <c r="I14" i="12" s="1"/>
  <c r="L185" i="12" a="1"/>
  <c r="L185" i="12" s="1"/>
  <c r="M154" i="12" a="1"/>
  <c r="M154" i="12" s="1"/>
  <c r="I62" i="12" a="1"/>
  <c r="I62" i="12" s="1"/>
  <c r="I3" i="12" a="1"/>
  <c r="I3" i="12" s="1"/>
  <c r="L212" i="12" a="1"/>
  <c r="L212" i="12" s="1"/>
  <c r="M233" i="12" a="1"/>
  <c r="M233" i="12" s="1"/>
  <c r="L31" i="12" a="1"/>
  <c r="L31" i="12" s="1"/>
  <c r="I42" i="12" a="1"/>
  <c r="I42" i="12" s="1"/>
  <c r="M157" i="12" a="1"/>
  <c r="M157" i="12" s="1"/>
  <c r="L195" i="12" a="1"/>
  <c r="L195" i="12" s="1"/>
  <c r="L87" i="12" a="1"/>
  <c r="L87" i="12" s="1"/>
  <c r="N87" i="12" s="1"/>
  <c r="I64" i="12" a="1"/>
  <c r="I64" i="12" s="1"/>
  <c r="M175" i="12" a="1"/>
  <c r="M175" i="12" s="1"/>
  <c r="I13" i="12" a="1"/>
  <c r="I13" i="12" s="1"/>
  <c r="I51" i="12" a="1"/>
  <c r="I51" i="12" s="1"/>
  <c r="I98" i="12" a="1"/>
  <c r="I98" i="12" s="1"/>
  <c r="M95" i="12" a="1"/>
  <c r="M95" i="12" s="1"/>
  <c r="I70" i="12" a="1"/>
  <c r="I70" i="12" s="1"/>
  <c r="I24" i="12" a="1"/>
  <c r="I24" i="12" s="1"/>
  <c r="L120" i="12" a="1"/>
  <c r="L120" i="12" s="1"/>
  <c r="L180" i="12" a="1"/>
  <c r="L180" i="12" s="1"/>
  <c r="I4" i="12" a="1"/>
  <c r="I4" i="12" s="1"/>
  <c r="L112" i="12" a="1"/>
  <c r="L112" i="12" s="1"/>
  <c r="M12" i="12" a="1"/>
  <c r="M12" i="12" s="1"/>
  <c r="L224" i="12" a="1"/>
  <c r="L224" i="12" s="1"/>
  <c r="L96" i="12" a="1"/>
  <c r="L96" i="12" s="1"/>
  <c r="M116" i="12" a="1"/>
  <c r="M116" i="12" s="1"/>
  <c r="L221" i="12" a="1"/>
  <c r="L221" i="12" s="1"/>
  <c r="L90" i="12" a="1"/>
  <c r="L90" i="12" s="1"/>
  <c r="L121" i="12" a="1"/>
  <c r="L121" i="12" s="1"/>
  <c r="L12" i="12" a="1"/>
  <c r="L12" i="12" s="1"/>
  <c r="M196" i="12" a="1"/>
  <c r="M196" i="12" s="1"/>
  <c r="L34" i="12" a="1"/>
  <c r="L34" i="12" s="1"/>
  <c r="I5" i="12" a="1"/>
  <c r="I5" i="12" s="1"/>
  <c r="M127" i="12" a="1"/>
  <c r="M127" i="12" s="1"/>
  <c r="M60" i="12" a="1"/>
  <c r="M60" i="12" s="1"/>
  <c r="L196" i="12" a="1"/>
  <c r="L196" i="12" s="1"/>
  <c r="L48" i="12" a="1"/>
  <c r="L48" i="12" s="1"/>
  <c r="M9" i="12" a="1"/>
  <c r="M9" i="12" s="1"/>
  <c r="M128" i="12" a="1"/>
  <c r="M128" i="12" s="1"/>
  <c r="M113" i="12" a="1"/>
  <c r="M113" i="12" s="1"/>
  <c r="M16" i="12" a="1"/>
  <c r="M16" i="12" s="1"/>
  <c r="I81" i="12" a="1"/>
  <c r="I81" i="12" s="1"/>
  <c r="M143" i="12" a="1"/>
  <c r="M143" i="12" s="1"/>
  <c r="M160" i="12" a="1"/>
  <c r="M160" i="12" s="1"/>
  <c r="M53" i="12" a="1"/>
  <c r="M53" i="12" s="1"/>
  <c r="L85" i="12" a="1"/>
  <c r="L85" i="12" s="1"/>
  <c r="N85" i="12" s="1"/>
  <c r="L101" i="12" a="1"/>
  <c r="L101" i="12" s="1"/>
  <c r="L161" i="12" a="1"/>
  <c r="L161" i="12" s="1"/>
  <c r="M20" i="12" a="1"/>
  <c r="M20" i="12" s="1"/>
  <c r="M18" i="12" a="1"/>
  <c r="M18" i="12" s="1"/>
  <c r="M98" i="12" a="1"/>
  <c r="M98" i="12" s="1"/>
  <c r="I88" i="12" a="1"/>
  <c r="I88" i="12" s="1"/>
  <c r="I50" i="12" a="1"/>
  <c r="I50" i="12" s="1"/>
  <c r="L7" i="12" a="1"/>
  <c r="L7" i="12" s="1"/>
  <c r="L119" i="12" a="1"/>
  <c r="L119" i="12" s="1"/>
  <c r="L62" i="12" a="1"/>
  <c r="L62" i="12" s="1"/>
  <c r="N62" i="12" s="1"/>
  <c r="L78" i="12" a="1"/>
  <c r="L78" i="12" s="1"/>
  <c r="M200" i="12" a="1"/>
  <c r="M200" i="12" s="1"/>
  <c r="L177" i="12" a="1"/>
  <c r="L177" i="12" s="1"/>
  <c r="I56" i="12" a="1"/>
  <c r="I56" i="12" s="1"/>
  <c r="M218" i="12" a="1"/>
  <c r="M218" i="12" s="1"/>
  <c r="I92" i="12" a="1"/>
  <c r="I92" i="12" s="1"/>
  <c r="L27" i="12" a="1"/>
  <c r="L27" i="12" s="1"/>
  <c r="N27" i="12" s="1"/>
  <c r="I41" i="12" a="1"/>
  <c r="I41" i="12" s="1"/>
  <c r="M216" i="12" a="1"/>
  <c r="M216" i="12" s="1"/>
  <c r="M209" i="12" a="1"/>
  <c r="M209" i="12" s="1"/>
  <c r="L233" i="12" a="1"/>
  <c r="L233" i="12" s="1"/>
  <c r="L144" i="12" a="1"/>
  <c r="L144" i="12" s="1"/>
  <c r="L28" i="12" a="1"/>
  <c r="L28" i="12" s="1"/>
  <c r="M206" i="12" a="1"/>
  <c r="M206" i="12" s="1"/>
  <c r="L220" i="12" a="1"/>
  <c r="L220" i="12" s="1"/>
  <c r="L207" i="12" a="1"/>
  <c r="L207" i="12" s="1"/>
  <c r="L98" i="12" a="1"/>
  <c r="L98" i="12" s="1"/>
  <c r="N98" i="12" s="1"/>
  <c r="M63" i="12" a="1"/>
  <c r="M63" i="12" s="1"/>
  <c r="I15" i="12" a="1"/>
  <c r="I15" i="12" s="1"/>
  <c r="I58" i="12" a="1"/>
  <c r="I58" i="12" s="1"/>
  <c r="L222" i="12" a="1"/>
  <c r="L222" i="12" s="1"/>
  <c r="M192" i="12" a="1"/>
  <c r="M192" i="12" s="1"/>
  <c r="L143" i="12" a="1"/>
  <c r="L143" i="12" s="1"/>
  <c r="M131" i="12" a="1"/>
  <c r="M131" i="12" s="1"/>
  <c r="L11" i="12" a="1"/>
  <c r="L11" i="12" s="1"/>
  <c r="M37" i="12" a="1"/>
  <c r="M37" i="12" s="1"/>
  <c r="L79" i="12" a="1"/>
  <c r="L79" i="12" s="1"/>
  <c r="N79" i="12" s="1"/>
  <c r="M46" i="12" a="1"/>
  <c r="M46" i="12" s="1"/>
  <c r="I68" i="12" a="1"/>
  <c r="I68" i="12" s="1"/>
  <c r="M147" i="12" a="1"/>
  <c r="M147" i="12" s="1"/>
  <c r="I25" i="12" a="1"/>
  <c r="I25" i="12" s="1"/>
  <c r="L213" i="12" a="1"/>
  <c r="L213" i="12" s="1"/>
  <c r="M47" i="12" a="1"/>
  <c r="M47" i="12" s="1"/>
  <c r="M171" i="12" a="1"/>
  <c r="M171" i="12" s="1"/>
  <c r="L217" i="12" a="1"/>
  <c r="L217" i="12" s="1"/>
  <c r="L228" i="12" a="1"/>
  <c r="L228" i="12" s="1"/>
  <c r="L77" i="12" a="1"/>
  <c r="L77" i="12" s="1"/>
  <c r="I44" i="12" a="1"/>
  <c r="I44" i="12" s="1"/>
  <c r="M64" i="12" a="1"/>
  <c r="M64" i="12" s="1"/>
  <c r="L84" i="12" a="1"/>
  <c r="L84" i="12" s="1"/>
  <c r="L88" i="12" a="1"/>
  <c r="L88" i="12" s="1"/>
  <c r="L235" i="12" a="1"/>
  <c r="L235" i="12" s="1"/>
  <c r="L49" i="12" a="1"/>
  <c r="L49" i="12" s="1"/>
  <c r="M10" i="12" a="1"/>
  <c r="M10" i="12" s="1"/>
  <c r="M44" i="12" a="1"/>
  <c r="M44" i="12" s="1"/>
  <c r="M174" i="12" a="1"/>
  <c r="M174" i="12" s="1"/>
  <c r="M4" i="12" a="1"/>
  <c r="M4" i="12" s="1"/>
  <c r="M189" i="12" a="1"/>
  <c r="M189" i="12" s="1"/>
  <c r="M38" i="12" a="1"/>
  <c r="M38" i="12" s="1"/>
  <c r="M30" i="12" a="1"/>
  <c r="M30" i="12" s="1"/>
  <c r="M71" i="12" a="1"/>
  <c r="M71" i="12" s="1"/>
  <c r="I40" i="12" a="1"/>
  <c r="I40" i="12" s="1"/>
  <c r="L133" i="12" a="1"/>
  <c r="L133" i="12" s="1"/>
  <c r="M153" i="12" a="1"/>
  <c r="M153" i="12" s="1"/>
  <c r="L244" i="12" a="1"/>
  <c r="L244" i="12" s="1"/>
  <c r="L173" i="12" a="1"/>
  <c r="L173" i="12" s="1"/>
  <c r="M172" i="12" a="1"/>
  <c r="M172" i="12" s="1"/>
  <c r="M65" i="12" a="1"/>
  <c r="M65" i="12" s="1"/>
  <c r="L65" i="12" a="1"/>
  <c r="L65" i="12" s="1"/>
  <c r="L81" i="12" a="1"/>
  <c r="L81" i="12" s="1"/>
  <c r="L68" i="12" a="1"/>
  <c r="L68" i="12" s="1"/>
  <c r="L162" i="12" a="1"/>
  <c r="L162" i="12" s="1"/>
  <c r="L50" i="12" a="1"/>
  <c r="L50" i="12" s="1"/>
  <c r="N50" i="12" s="1"/>
  <c r="L206" i="12" a="1"/>
  <c r="L206" i="12" s="1"/>
  <c r="M50" i="12" a="1"/>
  <c r="M50" i="12" s="1"/>
  <c r="L99" i="12" a="1"/>
  <c r="L99" i="12" s="1"/>
  <c r="N99" i="12" s="1"/>
  <c r="M82" i="12" a="1"/>
  <c r="M82" i="12" s="1"/>
  <c r="L130" i="12" a="1"/>
  <c r="L130" i="12" s="1"/>
  <c r="M72" i="12" a="1"/>
  <c r="M72" i="12" s="1"/>
  <c r="L97" i="12" a="1"/>
  <c r="L97" i="12" s="1"/>
  <c r="L29" i="12" a="1"/>
  <c r="L29" i="12" s="1"/>
  <c r="N29" i="12" s="1"/>
  <c r="L3" i="12" a="1"/>
  <c r="L3" i="12" s="1"/>
  <c r="I93" i="12" a="1"/>
  <c r="I93" i="12" s="1"/>
  <c r="L60" i="12" a="1"/>
  <c r="L60" i="12" s="1"/>
  <c r="M34" i="12" a="1"/>
  <c r="M34" i="12" s="1"/>
  <c r="L69" i="12" a="1"/>
  <c r="L69" i="12" s="1"/>
  <c r="N69" i="12" s="1"/>
  <c r="L55" i="12" a="1"/>
  <c r="L55" i="12" s="1"/>
  <c r="L80" i="12" a="1"/>
  <c r="L80" i="12" s="1"/>
  <c r="L145" i="12" a="1"/>
  <c r="L145" i="12" s="1"/>
  <c r="M93" i="12" a="1"/>
  <c r="M93" i="12" s="1"/>
  <c r="M96" i="12" a="1"/>
  <c r="M96" i="12" s="1"/>
  <c r="M217" i="12" a="1"/>
  <c r="M217" i="12" s="1"/>
  <c r="M190" i="12" a="1"/>
  <c r="M190" i="12" s="1"/>
  <c r="L24" i="12" a="1"/>
  <c r="L24" i="12" s="1"/>
  <c r="M194" i="12" a="1"/>
  <c r="M194" i="12" s="1"/>
  <c r="M185" i="12" a="1"/>
  <c r="M185" i="12" s="1"/>
  <c r="M23" i="12" a="1"/>
  <c r="M23" i="12" s="1"/>
  <c r="L174" i="12" a="1"/>
  <c r="L174" i="12" s="1"/>
  <c r="M223" i="12" a="1"/>
  <c r="M223" i="12" s="1"/>
  <c r="M80" i="12" a="1"/>
  <c r="M80" i="12" s="1"/>
  <c r="L6" i="12" a="1"/>
  <c r="L6" i="12" s="1"/>
  <c r="I94" i="12" a="1"/>
  <c r="I94" i="12" s="1"/>
  <c r="I12" i="12" a="1"/>
  <c r="I12" i="12" s="1"/>
  <c r="AD4" i="4" s="1"/>
  <c r="M122" i="12" a="1"/>
  <c r="M122" i="12" s="1"/>
  <c r="M165" i="12" a="1"/>
  <c r="M165" i="12" s="1"/>
  <c r="M43" i="12" a="1"/>
  <c r="M43" i="12" s="1"/>
  <c r="M83" i="12" a="1"/>
  <c r="M83" i="12" s="1"/>
  <c r="L168" i="12" a="1"/>
  <c r="L168" i="12" s="1"/>
  <c r="M7" i="12" a="1"/>
  <c r="M7" i="12" s="1"/>
  <c r="M235" i="12" a="1"/>
  <c r="M235" i="12" s="1"/>
  <c r="L239" i="12" a="1"/>
  <c r="L239" i="12" s="1"/>
  <c r="L240" i="12" a="1"/>
  <c r="L240" i="12" s="1"/>
  <c r="M204" i="12" a="1"/>
  <c r="M204" i="12" s="1"/>
  <c r="L209" i="12" a="1"/>
  <c r="L209" i="12" s="1"/>
  <c r="L66" i="12" a="1"/>
  <c r="L66" i="12" s="1"/>
  <c r="L200" i="12" a="1"/>
  <c r="L200" i="12" s="1"/>
  <c r="L241" i="12" a="1"/>
  <c r="L241" i="12" s="1"/>
  <c r="L151" i="12" a="1"/>
  <c r="L151" i="12" s="1"/>
  <c r="M97" i="12" a="1"/>
  <c r="M97" i="12" s="1"/>
  <c r="L191" i="12" a="1"/>
  <c r="L191" i="12" s="1"/>
  <c r="L164" i="12" a="1"/>
  <c r="L164" i="12" s="1"/>
  <c r="L134" i="12" a="1"/>
  <c r="L134" i="12" s="1"/>
  <c r="M28" i="12" a="1"/>
  <c r="M28" i="12" s="1"/>
  <c r="L247" i="12" a="1"/>
  <c r="L247" i="12" s="1"/>
  <c r="L232" i="12" a="1"/>
  <c r="L232" i="12" s="1"/>
  <c r="L163" i="12" a="1"/>
  <c r="L163" i="12" s="1"/>
  <c r="M208" i="12" a="1"/>
  <c r="M208" i="12" s="1"/>
  <c r="L205" i="12" a="1"/>
  <c r="L205" i="12" s="1"/>
  <c r="I39" i="12" a="1"/>
  <c r="I39" i="12" s="1"/>
  <c r="L95" i="12" a="1"/>
  <c r="L95" i="12" s="1"/>
  <c r="N95" i="12" s="1"/>
  <c r="L183" i="12" a="1"/>
  <c r="L183" i="12" s="1"/>
  <c r="I49" i="12" a="1"/>
  <c r="I49" i="12" s="1"/>
  <c r="L197" i="12" a="1"/>
  <c r="L197" i="12" s="1"/>
  <c r="L166" i="12" a="1"/>
  <c r="L166" i="12" s="1"/>
  <c r="M144" i="12" a="1"/>
  <c r="M144" i="12" s="1"/>
  <c r="I19" i="12" a="1"/>
  <c r="I19" i="12" s="1"/>
  <c r="L16" i="12" a="1"/>
  <c r="L16" i="12" s="1"/>
  <c r="N16" i="12" s="1"/>
  <c r="M48" i="12" a="1"/>
  <c r="M48" i="12" s="1"/>
  <c r="M201" i="12" a="1"/>
  <c r="M201" i="12" s="1"/>
  <c r="L70" i="12" a="1"/>
  <c r="L70" i="12" s="1"/>
  <c r="N70" i="12" s="1"/>
  <c r="L250" i="12" a="1"/>
  <c r="L250" i="12" s="1"/>
  <c r="L149" i="12" a="1"/>
  <c r="L149" i="12" s="1"/>
  <c r="I77" i="12" a="1"/>
  <c r="I77" i="12" s="1"/>
  <c r="M114" i="12" a="1"/>
  <c r="M114" i="12" s="1"/>
  <c r="L201" i="12" a="1"/>
  <c r="L201" i="12" s="1"/>
  <c r="L110" i="12" a="1"/>
  <c r="L110" i="12" s="1"/>
  <c r="M106" i="12" a="1"/>
  <c r="M106" i="12" s="1"/>
  <c r="L51" i="12" a="1"/>
  <c r="L51" i="12" s="1"/>
  <c r="I2" i="12" a="1"/>
  <c r="I2" i="12" s="1"/>
  <c r="M166" i="12" a="1"/>
  <c r="M166" i="12" s="1"/>
  <c r="M187" i="12" a="1"/>
  <c r="M187" i="12" s="1"/>
  <c r="M36" i="12" a="1"/>
  <c r="M36" i="12" s="1"/>
  <c r="L40" i="12" a="1"/>
  <c r="L40" i="12" s="1"/>
  <c r="M115" i="12" a="1"/>
  <c r="M115" i="12" s="1"/>
  <c r="I97" i="12" a="1"/>
  <c r="I97" i="12" s="1"/>
  <c r="M11" i="12" a="1"/>
  <c r="M11" i="12" s="1"/>
  <c r="N11" i="12" s="1"/>
  <c r="I31" i="12" a="1"/>
  <c r="I31" i="12" s="1"/>
  <c r="L152" i="12" a="1"/>
  <c r="L152" i="12" s="1"/>
  <c r="L67" i="12" a="1"/>
  <c r="L67" i="12" s="1"/>
  <c r="M119" i="12" a="1"/>
  <c r="M119" i="12" s="1"/>
  <c r="L26" i="12" a="1"/>
  <c r="L26" i="12" s="1"/>
  <c r="N26" i="12" s="1"/>
  <c r="M61" i="12" a="1"/>
  <c r="M61" i="12" s="1"/>
  <c r="I89" i="12" a="1"/>
  <c r="I89" i="12" s="1"/>
  <c r="L10" i="12" a="1"/>
  <c r="L10" i="12" s="1"/>
  <c r="N10" i="12" s="1"/>
  <c r="M215" i="12" a="1"/>
  <c r="M215" i="12" s="1"/>
  <c r="M164" i="12" a="1"/>
  <c r="M164" i="12" s="1"/>
  <c r="M158" i="12" a="1"/>
  <c r="M158" i="12" s="1"/>
  <c r="L58" i="12" a="1"/>
  <c r="L58" i="12" s="1"/>
  <c r="L219" i="12" a="1"/>
  <c r="L219" i="12" s="1"/>
  <c r="M228" i="12" a="1"/>
  <c r="M228" i="12" s="1"/>
  <c r="L230" i="12" a="1"/>
  <c r="L230" i="12" s="1"/>
  <c r="I52" i="12" a="1"/>
  <c r="I52" i="12" s="1"/>
  <c r="L129" i="12" a="1"/>
  <c r="L129" i="12" s="1"/>
  <c r="I23" i="12" a="1"/>
  <c r="I23" i="12" s="1"/>
  <c r="L214" i="12" a="1"/>
  <c r="L214" i="12" s="1"/>
  <c r="L211" i="12" a="1"/>
  <c r="L211" i="12" s="1"/>
  <c r="M92" i="12" a="1"/>
  <c r="M92" i="12" s="1"/>
  <c r="L187" i="12" a="1"/>
  <c r="L187" i="12" s="1"/>
  <c r="M225" i="12" a="1"/>
  <c r="M225" i="12" s="1"/>
  <c r="M55" i="12" a="1"/>
  <c r="M55" i="12" s="1"/>
  <c r="I63" i="12" a="1"/>
  <c r="I63" i="12" s="1"/>
  <c r="M199" i="12" a="1"/>
  <c r="M199" i="12" s="1"/>
  <c r="I28" i="12" a="1"/>
  <c r="I28" i="12" s="1"/>
  <c r="I82" i="12" a="1"/>
  <c r="I82" i="12" s="1"/>
  <c r="M159" i="12" a="1"/>
  <c r="M159" i="12" s="1"/>
  <c r="M25" i="12" a="1"/>
  <c r="M25" i="12" s="1"/>
  <c r="L167" i="12" a="1"/>
  <c r="L167" i="12" s="1"/>
  <c r="L125" i="12" a="1"/>
  <c r="L125" i="12" s="1"/>
  <c r="M118" i="12" a="1"/>
  <c r="M118" i="12" s="1"/>
  <c r="L140" i="12" a="1"/>
  <c r="L140" i="12" s="1"/>
  <c r="I32" i="12" a="1"/>
  <c r="I32" i="12" s="1"/>
  <c r="L229" i="12" a="1"/>
  <c r="L229" i="12" s="1"/>
  <c r="I69" i="12" a="1"/>
  <c r="I69" i="12" s="1"/>
  <c r="M163" i="12" a="1"/>
  <c r="M163" i="12" s="1"/>
  <c r="M220" i="12" a="1"/>
  <c r="M220" i="12" s="1"/>
  <c r="M105" i="12" a="1"/>
  <c r="M105" i="12" s="1"/>
  <c r="N105" i="12" s="1"/>
  <c r="L147" i="12" a="1"/>
  <c r="L147" i="12" s="1"/>
  <c r="L225" i="12" a="1"/>
  <c r="L225" i="12" s="1"/>
  <c r="M219" i="12" a="1"/>
  <c r="M219" i="12" s="1"/>
  <c r="M52" i="12" a="1"/>
  <c r="M52" i="12" s="1"/>
  <c r="M142" i="12" a="1"/>
  <c r="M142" i="12" s="1"/>
  <c r="I18" i="12" a="1"/>
  <c r="I18" i="12" s="1"/>
  <c r="I8" i="12" a="1"/>
  <c r="I8" i="12" s="1"/>
  <c r="L33" i="12" a="1"/>
  <c r="L33" i="12" s="1"/>
  <c r="L251" i="12" a="1"/>
  <c r="L251" i="12" s="1"/>
  <c r="M183" i="12" a="1"/>
  <c r="M183" i="12" s="1"/>
  <c r="M161" i="12" a="1"/>
  <c r="M161" i="12" s="1"/>
  <c r="M205" i="12" a="1"/>
  <c r="M205" i="12" s="1"/>
  <c r="L208" i="12" a="1"/>
  <c r="L208" i="12" s="1"/>
  <c r="M152" i="12" a="1"/>
  <c r="M152" i="12" s="1"/>
  <c r="M40" i="12" a="1"/>
  <c r="M40" i="12" s="1"/>
  <c r="I86" i="12" a="1"/>
  <c r="I86" i="12" s="1"/>
  <c r="L61" i="12" a="1"/>
  <c r="L61" i="12" s="1"/>
  <c r="I20" i="12" a="1"/>
  <c r="I20" i="12" s="1"/>
  <c r="M41" i="12" a="1"/>
  <c r="M41" i="12" s="1"/>
  <c r="I55" i="12" a="1"/>
  <c r="I55" i="12" s="1"/>
  <c r="L124" i="12" a="1"/>
  <c r="L124" i="12" s="1"/>
  <c r="L179" i="12" a="1"/>
  <c r="L179" i="12" s="1"/>
  <c r="M81" i="12" a="1"/>
  <c r="M81" i="12" s="1"/>
  <c r="L22" i="12" a="1"/>
  <c r="L22" i="12" s="1"/>
  <c r="N22" i="12" s="1"/>
  <c r="M102" i="12" a="1"/>
  <c r="M102" i="12" s="1"/>
  <c r="L75" i="12" a="1"/>
  <c r="L75" i="12" s="1"/>
  <c r="I75" i="12" a="1"/>
  <c r="I75" i="12" s="1"/>
  <c r="L218" i="12" a="1"/>
  <c r="L218" i="12" s="1"/>
  <c r="M169" i="12" a="1"/>
  <c r="M169" i="12" s="1"/>
  <c r="M84" i="12" a="1"/>
  <c r="M84" i="12" s="1"/>
  <c r="I61" i="12" a="1"/>
  <c r="I61" i="12" s="1"/>
  <c r="L9" i="12" a="1"/>
  <c r="L9" i="12" s="1"/>
  <c r="N9" i="12" s="1"/>
  <c r="M111" i="12" a="1"/>
  <c r="M111" i="12" s="1"/>
  <c r="M173" i="12" a="1"/>
  <c r="M173" i="12" s="1"/>
  <c r="I10" i="12" a="1"/>
  <c r="I10" i="12" s="1"/>
  <c r="AD3" i="4" s="1"/>
  <c r="M107" i="12" a="1"/>
  <c r="M107" i="12" s="1"/>
  <c r="M51" i="12" a="1"/>
  <c r="M51" i="12" s="1"/>
  <c r="L15" i="12" a="1"/>
  <c r="L15" i="12" s="1"/>
  <c r="N15" i="12" s="1"/>
  <c r="I34" i="12" a="1"/>
  <c r="I34" i="12" s="1"/>
  <c r="L13" i="12" a="1"/>
  <c r="L13" i="12" s="1"/>
  <c r="L57" i="12" a="1"/>
  <c r="L57" i="12" s="1"/>
  <c r="N57" i="12" s="1"/>
  <c r="M229" i="12" a="1"/>
  <c r="M229" i="12" s="1"/>
  <c r="L153" i="12" a="1"/>
  <c r="L153" i="12" s="1"/>
  <c r="M123" i="12" a="1"/>
  <c r="M123" i="12" s="1"/>
  <c r="M77" i="12" a="1"/>
  <c r="M77" i="12" s="1"/>
  <c r="L37" i="12" a="1"/>
  <c r="L37" i="12" s="1"/>
  <c r="M90" i="12" a="1"/>
  <c r="M90" i="12" s="1"/>
  <c r="M94" i="12" a="1"/>
  <c r="M94" i="12" s="1"/>
  <c r="I65" i="12" a="1"/>
  <c r="I65" i="12" s="1"/>
  <c r="M57" i="12" a="1"/>
  <c r="M57" i="12" s="1"/>
  <c r="M59" i="12" a="1"/>
  <c r="M59" i="12" s="1"/>
  <c r="L132" i="12" a="1"/>
  <c r="L132" i="12" s="1"/>
  <c r="L38" i="12" a="1"/>
  <c r="L38" i="12" s="1"/>
  <c r="L165" i="12" a="1"/>
  <c r="L165" i="12" s="1"/>
  <c r="M176" i="12" a="1"/>
  <c r="M176" i="12" s="1"/>
  <c r="M224" i="12" a="1"/>
  <c r="M224" i="12" s="1"/>
  <c r="L172" i="12" a="1"/>
  <c r="L172" i="12" s="1"/>
  <c r="M124" i="12" a="1"/>
  <c r="M124" i="12" s="1"/>
  <c r="M39" i="12" a="1"/>
  <c r="M39" i="12" s="1"/>
  <c r="I57" i="12" a="1"/>
  <c r="I57" i="12" s="1"/>
  <c r="L47" i="12" a="1"/>
  <c r="L47" i="12" s="1"/>
  <c r="M21" i="12" a="1"/>
  <c r="M21" i="12" s="1"/>
  <c r="M3" i="12" a="1"/>
  <c r="M3" i="12" s="1"/>
  <c r="I100" i="12" a="1"/>
  <c r="I100" i="12" s="1"/>
  <c r="M2" i="12" a="1"/>
  <c r="M2" i="12" s="1"/>
  <c r="L109" i="12" a="1"/>
  <c r="L109" i="12" s="1"/>
  <c r="N109" i="12" s="1"/>
  <c r="L86" i="12" a="1"/>
  <c r="L86" i="12" s="1"/>
  <c r="N86" i="12" s="1"/>
  <c r="M232" i="12" a="1"/>
  <c r="M232" i="12" s="1"/>
  <c r="I66" i="12" a="1"/>
  <c r="I66" i="12" s="1"/>
  <c r="M100" i="12" a="1"/>
  <c r="M100" i="12" s="1"/>
  <c r="N100" i="12" s="1"/>
  <c r="I95" i="12" a="1"/>
  <c r="I95" i="12" s="1"/>
  <c r="M74" i="12" a="1"/>
  <c r="M74" i="12" s="1"/>
  <c r="I76" i="12" a="1"/>
  <c r="I76" i="12" s="1"/>
  <c r="L103" i="12" a="1"/>
  <c r="L103" i="12" s="1"/>
  <c r="L41" i="12" a="1"/>
  <c r="L41" i="12" s="1"/>
  <c r="M68" i="12" a="1"/>
  <c r="M68" i="12" s="1"/>
  <c r="M213" i="12" a="1"/>
  <c r="M213" i="12" s="1"/>
  <c r="M148" i="12" a="1"/>
  <c r="M148" i="12" s="1"/>
  <c r="L118" i="12" a="1"/>
  <c r="L118" i="12" s="1"/>
  <c r="L160" i="12" a="1"/>
  <c r="L160" i="12" s="1"/>
  <c r="I73" i="12" a="1"/>
  <c r="I73" i="12" s="1"/>
  <c r="L30" i="12" a="1"/>
  <c r="L30" i="12" s="1"/>
  <c r="M139" i="12" a="1"/>
  <c r="M139" i="12" s="1"/>
  <c r="L20" i="12" a="1"/>
  <c r="L20" i="12" s="1"/>
  <c r="N20" i="12" s="1"/>
  <c r="L136" i="12" a="1"/>
  <c r="L136" i="12" s="1"/>
  <c r="M14" i="12" a="1"/>
  <c r="M14" i="12" s="1"/>
  <c r="M138" i="12" a="1"/>
  <c r="M138" i="12" s="1"/>
  <c r="L35" i="12" a="1"/>
  <c r="L35" i="12" s="1"/>
  <c r="L5" i="12" a="1"/>
  <c r="L5" i="12" s="1"/>
  <c r="M75" i="12" a="1"/>
  <c r="M75" i="12" s="1"/>
  <c r="M31" i="12" a="1"/>
  <c r="M31" i="12" s="1"/>
  <c r="M135" i="12" a="1"/>
  <c r="M135" i="12" s="1"/>
  <c r="L215" i="12" a="1"/>
  <c r="L215" i="12" s="1"/>
  <c r="L175" i="12" a="1"/>
  <c r="L175" i="12" s="1"/>
  <c r="M78" i="12" a="1"/>
  <c r="M78" i="12" s="1"/>
  <c r="L148" i="12" a="1"/>
  <c r="L148" i="12" s="1"/>
  <c r="L210" i="12" a="1"/>
  <c r="L210" i="12" s="1"/>
  <c r="M184" i="12" a="1"/>
  <c r="M184" i="12" s="1"/>
  <c r="L52" i="12" a="1"/>
  <c r="L52" i="12" s="1"/>
  <c r="N52" i="12" s="1"/>
  <c r="L216" i="12" a="1"/>
  <c r="L216" i="12" s="1"/>
  <c r="L128" i="12" a="1"/>
  <c r="L128" i="12" s="1"/>
  <c r="M54" i="12" a="1"/>
  <c r="M54" i="12" s="1"/>
  <c r="L17" i="12" a="1"/>
  <c r="L17" i="12" s="1"/>
  <c r="I71" i="12" a="1"/>
  <c r="I71" i="12" s="1"/>
  <c r="L199" i="12" a="1"/>
  <c r="L199" i="12" s="1"/>
  <c r="L139" i="12" a="1"/>
  <c r="L139" i="12" s="1"/>
  <c r="L245" i="12" a="1"/>
  <c r="L245" i="12" s="1"/>
  <c r="M117" i="12" a="1"/>
  <c r="M117" i="12" s="1"/>
  <c r="L249" i="12" a="1"/>
  <c r="L249" i="12" s="1"/>
  <c r="M121" i="12" a="1"/>
  <c r="M121" i="12" s="1"/>
  <c r="M24" i="12" a="1"/>
  <c r="M24" i="12" s="1"/>
  <c r="I29" i="12" a="1"/>
  <c r="I29" i="12" s="1"/>
  <c r="M149" i="12" a="1"/>
  <c r="M149" i="12" s="1"/>
  <c r="I48" i="12" a="1"/>
  <c r="I48" i="12" s="1"/>
  <c r="M58" i="12" a="1"/>
  <c r="M58" i="12" s="1"/>
  <c r="M13" i="12" a="1"/>
  <c r="M13" i="12" s="1"/>
  <c r="M32" i="12" a="1"/>
  <c r="M32" i="12" s="1"/>
  <c r="L170" i="12" a="1"/>
  <c r="L170" i="12" s="1"/>
  <c r="I99" i="12" a="1"/>
  <c r="I99" i="12" s="1"/>
  <c r="M156" i="12" a="1"/>
  <c r="M156" i="12" s="1"/>
  <c r="M167" i="12" a="1"/>
  <c r="M167" i="12" s="1"/>
  <c r="I90" i="12" a="1"/>
  <c r="I90" i="12" s="1"/>
  <c r="I72" i="12" a="1"/>
  <c r="I72" i="12" s="1"/>
  <c r="M193" i="12" a="1"/>
  <c r="M193" i="12" s="1"/>
  <c r="M180" i="12" a="1"/>
  <c r="M180" i="12" s="1"/>
  <c r="L92" i="12" a="1"/>
  <c r="L92" i="12" s="1"/>
  <c r="L248" i="12" a="1"/>
  <c r="L248" i="12" s="1"/>
  <c r="L176" i="12" a="1"/>
  <c r="L176" i="12" s="1"/>
  <c r="L82" i="12" a="1"/>
  <c r="L82" i="12" s="1"/>
  <c r="L107" i="12" a="1"/>
  <c r="L107" i="12" s="1"/>
  <c r="L4" i="12" a="1"/>
  <c r="L4" i="12" s="1"/>
  <c r="L23" i="12" a="1"/>
  <c r="L23" i="12" s="1"/>
  <c r="N23" i="12" s="1"/>
  <c r="I85" i="12" a="1"/>
  <c r="I85" i="12" s="1"/>
  <c r="I45" i="12" a="1"/>
  <c r="I45" i="12" s="1"/>
  <c r="L89" i="12" a="1"/>
  <c r="L89" i="12" s="1"/>
  <c r="N89" i="12" s="1"/>
  <c r="L123" i="12" a="1"/>
  <c r="L123" i="12" s="1"/>
  <c r="M45" i="12" a="1"/>
  <c r="M45" i="12" s="1"/>
  <c r="I60" i="12" a="1"/>
  <c r="I60" i="12" s="1"/>
  <c r="L42" i="12" a="1"/>
  <c r="L42" i="12" s="1"/>
  <c r="L242" i="12" a="1"/>
  <c r="L242" i="12" s="1"/>
  <c r="M188" i="12" a="1"/>
  <c r="M188" i="12" s="1"/>
  <c r="L155" i="12" a="1"/>
  <c r="L155" i="12" s="1"/>
  <c r="L46" i="12" a="1"/>
  <c r="L46" i="12" s="1"/>
  <c r="N46" i="12" s="1"/>
  <c r="L237" i="12" a="1"/>
  <c r="L237" i="12" s="1"/>
  <c r="L188" i="12" a="1"/>
  <c r="L188" i="12" s="1"/>
  <c r="L193" i="12" a="1"/>
  <c r="L193" i="12" s="1"/>
  <c r="I59" i="12" a="1"/>
  <c r="I59" i="12" s="1"/>
  <c r="M56" i="12" a="1"/>
  <c r="M56" i="12" s="1"/>
  <c r="L141" i="12" a="1"/>
  <c r="L141" i="12" s="1"/>
  <c r="L227" i="12" a="1"/>
  <c r="L227" i="12" s="1"/>
  <c r="L108" i="12" a="1"/>
  <c r="L108" i="12" s="1"/>
  <c r="M42" i="12" a="1"/>
  <c r="M42" i="12" s="1"/>
  <c r="L169" i="12" a="1"/>
  <c r="L169" i="12" s="1"/>
  <c r="M19" i="12" a="1"/>
  <c r="M19" i="12" s="1"/>
  <c r="L204" i="12" a="1"/>
  <c r="L204" i="12" s="1"/>
  <c r="M155" i="12" a="1"/>
  <c r="M155" i="12" s="1"/>
  <c r="M202" i="12" a="1"/>
  <c r="M202" i="12" s="1"/>
  <c r="L223" i="12" a="1"/>
  <c r="L223" i="12" s="1"/>
  <c r="M108" i="12" a="1"/>
  <c r="M108" i="12" s="1"/>
  <c r="N108" i="12" s="1"/>
  <c r="I47" i="12" a="1"/>
  <c r="I47" i="12" s="1"/>
  <c r="I54" i="12" a="1"/>
  <c r="I54" i="12" s="1"/>
  <c r="M73" i="12" a="1"/>
  <c r="M73" i="12" s="1"/>
  <c r="N73" i="12" s="1"/>
  <c r="L56" i="12" a="1"/>
  <c r="L56" i="12" s="1"/>
  <c r="M195" i="12" a="1"/>
  <c r="M195" i="12" s="1"/>
  <c r="I84" i="12" a="1"/>
  <c r="I84" i="12" s="1"/>
  <c r="M17" i="12" a="1"/>
  <c r="M17" i="12" s="1"/>
  <c r="M222" i="12" a="1"/>
  <c r="M222" i="12" s="1"/>
  <c r="L142" i="12" a="1"/>
  <c r="L142" i="12" s="1"/>
  <c r="L252" i="12" a="1"/>
  <c r="L252" i="12" s="1"/>
  <c r="L25" i="12" a="1"/>
  <c r="L25" i="12" s="1"/>
  <c r="M35" i="12" a="1"/>
  <c r="M35" i="12" s="1"/>
  <c r="M150" i="12" a="1"/>
  <c r="M150" i="12" s="1"/>
  <c r="M177" i="12" a="1"/>
  <c r="M177" i="12" s="1"/>
  <c r="L64" i="12" a="1"/>
  <c r="L64" i="12" s="1"/>
  <c r="N64" i="12" s="1"/>
  <c r="L182" i="12" a="1"/>
  <c r="L182" i="12" s="1"/>
  <c r="I16" i="12" a="1"/>
  <c r="I16" i="12" s="1"/>
  <c r="M130" i="12" a="1"/>
  <c r="M130" i="12" s="1"/>
  <c r="M132" i="12" a="1"/>
  <c r="M132" i="12" s="1"/>
  <c r="L63" i="12" a="1"/>
  <c r="L63" i="12" s="1"/>
  <c r="L198" i="12" a="1"/>
  <c r="L198" i="12" s="1"/>
  <c r="I35" i="12" a="1"/>
  <c r="I35" i="12" s="1"/>
  <c r="L21" i="12" a="1"/>
  <c r="L21" i="12" s="1"/>
  <c r="L39" i="12" a="1"/>
  <c r="L39" i="12" s="1"/>
  <c r="L158" i="12" a="1"/>
  <c r="L158" i="12" s="1"/>
  <c r="I33" i="12" a="1"/>
  <c r="I33" i="12" s="1"/>
  <c r="L102" i="12" a="1"/>
  <c r="L102" i="12" s="1"/>
  <c r="L111" i="12" a="1"/>
  <c r="L111" i="12" s="1"/>
  <c r="N111" i="12" s="1"/>
  <c r="M112" i="12" a="1"/>
  <c r="M112" i="12" s="1"/>
  <c r="L36" i="12" a="1"/>
  <c r="L36" i="12" s="1"/>
  <c r="L8" i="12" a="1"/>
  <c r="L8" i="12" s="1"/>
  <c r="N8" i="12" s="1"/>
  <c r="M186" i="12" a="1"/>
  <c r="M186" i="12" s="1"/>
  <c r="L117" i="12" a="1"/>
  <c r="L117" i="12" s="1"/>
  <c r="L243" i="12" a="1"/>
  <c r="L243" i="12" s="1"/>
  <c r="L2" i="12" a="1"/>
  <c r="L2" i="12" s="1"/>
  <c r="I67" i="12" a="1"/>
  <c r="I67" i="12" s="1"/>
  <c r="L114" i="12" a="1"/>
  <c r="L114" i="12" s="1"/>
  <c r="M125" i="12" a="1"/>
  <c r="M125" i="12" s="1"/>
  <c r="L44" i="12" a="1"/>
  <c r="L44" i="12" s="1"/>
  <c r="N44" i="12" s="1"/>
  <c r="N61" i="12"/>
  <c r="N36" i="12"/>
  <c r="N91" i="12"/>
  <c r="N65" i="12"/>
  <c r="N35" i="12"/>
  <c r="T36" i="6"/>
  <c r="T39" i="6"/>
  <c r="T44" i="6"/>
  <c r="T38" i="6"/>
  <c r="T42" i="6"/>
  <c r="T41" i="6"/>
  <c r="T40" i="6"/>
  <c r="T43" i="6"/>
  <c r="T35" i="6"/>
  <c r="T37" i="6"/>
  <c r="T11" i="6"/>
  <c r="P30" i="1" s="1" a="1"/>
  <c r="P30" i="1" s="1"/>
  <c r="T19" i="6"/>
  <c r="T12" i="6"/>
  <c r="T32" i="6"/>
  <c r="T25" i="6"/>
  <c r="T17" i="6"/>
  <c r="P17" i="1" s="1" a="1"/>
  <c r="P17" i="1" s="1"/>
  <c r="T15" i="6"/>
  <c r="T24" i="6"/>
  <c r="P60" i="1" s="1" a="1"/>
  <c r="P60" i="1" s="1"/>
  <c r="F24" i="13" s="1"/>
  <c r="T29" i="6"/>
  <c r="T6" i="6"/>
  <c r="T2" i="6"/>
  <c r="T18" i="6"/>
  <c r="T23" i="6"/>
  <c r="P59" i="1" s="1" a="1"/>
  <c r="P59" i="1" s="1"/>
  <c r="F23" i="13" s="1"/>
  <c r="T20" i="6"/>
  <c r="T5" i="6"/>
  <c r="T16" i="6"/>
  <c r="T28" i="6"/>
  <c r="T31" i="6"/>
  <c r="T9" i="6"/>
  <c r="P28" i="1" s="1" a="1"/>
  <c r="P28" i="1" s="1"/>
  <c r="T13" i="6"/>
  <c r="P49" i="1" s="1" a="1"/>
  <c r="P49" i="1" s="1"/>
  <c r="T22" i="6"/>
  <c r="T26" i="6"/>
  <c r="P62" i="1" s="1" a="1"/>
  <c r="P62" i="1" s="1"/>
  <c r="T27" i="6"/>
  <c r="T4" i="6"/>
  <c r="T3" i="6"/>
  <c r="T33" i="6"/>
  <c r="T30" i="6"/>
  <c r="T21" i="6"/>
  <c r="P57" i="1" s="1" a="1"/>
  <c r="P57" i="1" s="1"/>
  <c r="F21" i="13" s="1"/>
  <c r="AD66" i="4"/>
  <c r="AD250" i="4"/>
  <c r="AD90" i="4"/>
  <c r="AD192" i="4"/>
  <c r="AD156" i="4"/>
  <c r="AD225" i="4"/>
  <c r="AD88" i="4"/>
  <c r="AD205" i="4"/>
  <c r="AD9" i="4"/>
  <c r="AD228" i="4"/>
  <c r="AD16" i="4"/>
  <c r="AD70" i="4"/>
  <c r="AD130" i="4"/>
  <c r="AD96" i="4"/>
  <c r="AD161" i="4"/>
  <c r="AD37" i="4"/>
  <c r="AD177" i="4"/>
  <c r="AD46" i="4"/>
  <c r="AD27" i="4"/>
  <c r="AD144" i="4"/>
  <c r="AD19" i="4"/>
  <c r="P6" i="1" s="1" a="1"/>
  <c r="P6" i="1" s="1"/>
  <c r="AD87" i="4"/>
  <c r="AD31" i="4"/>
  <c r="P51" i="1" s="1" a="1"/>
  <c r="P51" i="1" s="1"/>
  <c r="F15" i="13" s="1"/>
  <c r="AD218" i="4"/>
  <c r="AD86" i="4"/>
  <c r="AD60" i="4"/>
  <c r="AD44" i="4"/>
  <c r="AD24" i="4"/>
  <c r="AD185" i="4"/>
  <c r="AD128" i="4"/>
  <c r="AD63" i="4"/>
  <c r="AD229" i="4"/>
  <c r="AD116" i="4"/>
  <c r="AD198" i="4"/>
  <c r="AD167" i="4"/>
  <c r="AD62" i="4"/>
  <c r="AD115" i="4"/>
  <c r="AD81" i="4"/>
  <c r="AD111" i="4"/>
  <c r="AD184" i="4"/>
  <c r="AD191" i="4"/>
  <c r="AD238" i="4"/>
  <c r="AD33" i="4"/>
  <c r="P48" i="1" s="1" a="1"/>
  <c r="P48" i="1" s="1"/>
  <c r="AD51" i="4"/>
  <c r="AD174" i="4"/>
  <c r="AD22" i="4"/>
  <c r="AD13" i="4"/>
  <c r="AD217" i="4"/>
  <c r="AD38" i="4"/>
  <c r="AD11" i="4"/>
  <c r="AD95" i="4"/>
  <c r="AD247" i="4"/>
  <c r="AD142" i="4"/>
  <c r="AD150" i="4"/>
  <c r="AD170" i="4"/>
  <c r="AD197" i="4"/>
  <c r="AD147" i="4"/>
  <c r="AD152" i="4"/>
  <c r="AD246" i="4"/>
  <c r="AD136" i="4"/>
  <c r="AD64" i="4"/>
  <c r="AD122" i="4"/>
  <c r="AD52" i="4"/>
  <c r="AD223" i="4"/>
  <c r="AD43" i="4"/>
  <c r="AD65" i="4"/>
  <c r="AD175" i="4"/>
  <c r="AD129" i="4"/>
  <c r="AD110" i="4"/>
  <c r="AD71" i="4"/>
  <c r="AD166" i="4"/>
  <c r="AD249" i="4"/>
  <c r="AD58" i="4"/>
  <c r="AD117" i="4"/>
  <c r="AD40" i="4"/>
  <c r="AD29" i="4"/>
  <c r="P42" i="1" s="1" a="1"/>
  <c r="P42" i="1" s="1"/>
  <c r="AD15" i="4"/>
  <c r="AD42" i="4"/>
  <c r="AD233" i="4"/>
  <c r="AD183" i="4"/>
  <c r="AD244" i="4"/>
  <c r="AD28" i="4"/>
  <c r="P58" i="1" s="1" a="1"/>
  <c r="P58" i="1" s="1"/>
  <c r="F22" i="13" s="1"/>
  <c r="AD159" i="4"/>
  <c r="AD141" i="4"/>
  <c r="AD153" i="4"/>
  <c r="AD201" i="4"/>
  <c r="AD200" i="4"/>
  <c r="AD57" i="4"/>
  <c r="AD202" i="4"/>
  <c r="AD221" i="4"/>
  <c r="AD178" i="4"/>
  <c r="AD204" i="4"/>
  <c r="AD194" i="4"/>
  <c r="AD222" i="4"/>
  <c r="AD208" i="4"/>
  <c r="AD160" i="4"/>
  <c r="AD89" i="4"/>
  <c r="AD240" i="4"/>
  <c r="AD215" i="4"/>
  <c r="AD56" i="4"/>
  <c r="AD123" i="4"/>
  <c r="AD157" i="4"/>
  <c r="AD77" i="4"/>
  <c r="AD101" i="4"/>
  <c r="AD104" i="4"/>
  <c r="AD195" i="4"/>
  <c r="AD97" i="4"/>
  <c r="AD251" i="4"/>
  <c r="AD105" i="4"/>
  <c r="AD135" i="4"/>
  <c r="AD39" i="4"/>
  <c r="AD155" i="4"/>
  <c r="AD41" i="4"/>
  <c r="P77" i="1" s="1" a="1"/>
  <c r="P77" i="1" s="1"/>
  <c r="AD154" i="4"/>
  <c r="AD75" i="4"/>
  <c r="AD124" i="4"/>
  <c r="AD98" i="4"/>
  <c r="AD169" i="4"/>
  <c r="AD227" i="4"/>
  <c r="AD171" i="4"/>
  <c r="AD139" i="4"/>
  <c r="AD252" i="4"/>
  <c r="AD54" i="4"/>
  <c r="AD35" i="4"/>
  <c r="AD79" i="4"/>
  <c r="AD133" i="4"/>
  <c r="AD14" i="4"/>
  <c r="AD121" i="4"/>
  <c r="AD119" i="4"/>
  <c r="AD20" i="4"/>
  <c r="AD78" i="4"/>
  <c r="AD182" i="4"/>
  <c r="AD203" i="4"/>
  <c r="AD196" i="4"/>
  <c r="AD32" i="4"/>
  <c r="P71" i="1" s="1" a="1"/>
  <c r="P71" i="1" s="1"/>
  <c r="AD236" i="4"/>
  <c r="AD113" i="4"/>
  <c r="AD220" i="4"/>
  <c r="AD69" i="4"/>
  <c r="N41" i="12"/>
  <c r="N59" i="12"/>
  <c r="AD67" i="4"/>
  <c r="AD102" i="4"/>
  <c r="AD213" i="4"/>
  <c r="AD93" i="4"/>
  <c r="AD237" i="4"/>
  <c r="AD74" i="4"/>
  <c r="AD242" i="4"/>
  <c r="AD151" i="4"/>
  <c r="AD55" i="4"/>
  <c r="N77" i="12"/>
  <c r="AD59" i="4"/>
  <c r="AD162" i="4"/>
  <c r="AD137" i="4"/>
  <c r="AD134" i="4"/>
  <c r="AD232" i="4"/>
  <c r="AD173" i="4"/>
  <c r="AD190" i="4"/>
  <c r="AD216" i="4"/>
  <c r="AD189" i="4"/>
  <c r="AD23" i="4"/>
  <c r="AD149" i="4"/>
  <c r="AD145" i="4"/>
  <c r="AD99" i="4"/>
  <c r="AD49" i="4"/>
  <c r="AD120" i="4"/>
  <c r="AD206" i="4"/>
  <c r="AD131" i="4"/>
  <c r="AD179" i="4"/>
  <c r="AD76" i="4"/>
  <c r="AD92" i="4"/>
  <c r="AD212" i="4"/>
  <c r="AD53" i="4"/>
  <c r="AD138" i="4"/>
  <c r="AD235" i="4"/>
  <c r="AD132" i="4"/>
  <c r="AD50" i="4"/>
  <c r="AD226" i="4"/>
  <c r="AD103" i="4"/>
  <c r="AD207" i="4"/>
  <c r="AD248" i="4"/>
  <c r="AD187" i="4"/>
  <c r="AD146" i="4"/>
  <c r="AD127" i="4"/>
  <c r="AD143" i="4"/>
  <c r="AD34" i="4"/>
  <c r="P64" i="1" s="1" a="1"/>
  <c r="P64" i="1" s="1"/>
  <c r="F26" i="13" s="1"/>
  <c r="AD112" i="4"/>
  <c r="AD199" i="4"/>
  <c r="AD148" i="4"/>
  <c r="AD180" i="4"/>
  <c r="AD114" i="4"/>
  <c r="AD10" i="4"/>
  <c r="AD91" i="4"/>
  <c r="AD165" i="4"/>
  <c r="AD210" i="4"/>
  <c r="AD125" i="4"/>
  <c r="AD36" i="4"/>
  <c r="P52" i="1" s="1" a="1"/>
  <c r="P52" i="1" s="1"/>
  <c r="F16" i="13" s="1"/>
  <c r="AD48" i="4"/>
  <c r="AD168" i="4"/>
  <c r="AD82" i="4"/>
  <c r="AD193" i="4"/>
  <c r="AD245" i="4"/>
  <c r="AD68" i="4"/>
  <c r="AD17" i="4"/>
  <c r="AD94" i="4"/>
  <c r="AD219" i="4"/>
  <c r="AD158" i="4"/>
  <c r="AD18" i="4"/>
  <c r="AD107" i="4"/>
  <c r="AD214" i="4"/>
  <c r="AD26" i="4"/>
  <c r="AD118" i="4"/>
  <c r="AD241" i="4"/>
  <c r="AD231" i="4"/>
  <c r="AD12" i="4"/>
  <c r="AD109" i="4"/>
  <c r="AD47" i="4"/>
  <c r="AD61" i="4"/>
  <c r="T51" i="6"/>
  <c r="T85" i="6"/>
  <c r="T97" i="6"/>
  <c r="T100" i="6"/>
  <c r="T121" i="6"/>
  <c r="T148" i="6"/>
  <c r="T152" i="6"/>
  <c r="T209" i="6"/>
  <c r="T219" i="6"/>
  <c r="T253" i="6"/>
  <c r="T258" i="6"/>
  <c r="T318" i="6"/>
  <c r="T319" i="6"/>
  <c r="T326" i="6"/>
  <c r="T329" i="6"/>
  <c r="T356" i="6"/>
  <c r="T360" i="6"/>
  <c r="T365" i="6"/>
  <c r="T368" i="6"/>
  <c r="T369" i="6"/>
  <c r="T375" i="6"/>
  <c r="T378" i="6"/>
  <c r="T383" i="6"/>
  <c r="T127" i="6"/>
  <c r="T196" i="6"/>
  <c r="T238" i="6"/>
  <c r="T305" i="6"/>
  <c r="T342" i="6"/>
  <c r="T61" i="6"/>
  <c r="T76" i="6"/>
  <c r="T80" i="6"/>
  <c r="T82" i="6"/>
  <c r="T95" i="6"/>
  <c r="T103" i="6"/>
  <c r="T122" i="6"/>
  <c r="T231" i="6"/>
  <c r="T232" i="6"/>
  <c r="T249" i="6"/>
  <c r="T265" i="6"/>
  <c r="T324" i="6"/>
  <c r="T325" i="6"/>
  <c r="T337" i="6"/>
  <c r="T340" i="6"/>
  <c r="T373" i="6"/>
  <c r="T374" i="6"/>
  <c r="T382" i="6"/>
  <c r="T385" i="6"/>
  <c r="T75" i="6"/>
  <c r="T131" i="6"/>
  <c r="T153" i="6"/>
  <c r="T195" i="6"/>
  <c r="T345" i="6"/>
  <c r="T387" i="6"/>
  <c r="T55" i="6"/>
  <c r="T71" i="6"/>
  <c r="T93" i="6"/>
  <c r="T109" i="6"/>
  <c r="T115" i="6"/>
  <c r="T159" i="6"/>
  <c r="T181" i="6"/>
  <c r="T184" i="6"/>
  <c r="T199" i="6"/>
  <c r="T225" i="6"/>
  <c r="T282" i="6"/>
  <c r="T289" i="6"/>
  <c r="T299" i="6"/>
  <c r="T304" i="6"/>
  <c r="T311" i="6"/>
  <c r="T330" i="6"/>
  <c r="T338" i="6"/>
  <c r="T343" i="6"/>
  <c r="T346" i="6"/>
  <c r="T348" i="6"/>
  <c r="T58" i="6"/>
  <c r="T90" i="6"/>
  <c r="T161" i="6"/>
  <c r="T207" i="6"/>
  <c r="T352" i="6"/>
  <c r="T363" i="6"/>
  <c r="T381" i="6"/>
  <c r="T50" i="6"/>
  <c r="T54" i="6"/>
  <c r="T69" i="6"/>
  <c r="T88" i="6"/>
  <c r="T89" i="6"/>
  <c r="T110" i="6"/>
  <c r="T118" i="6"/>
  <c r="T136" i="6"/>
  <c r="T146" i="6"/>
  <c r="T160" i="6"/>
  <c r="T169" i="6"/>
  <c r="T214" i="6"/>
  <c r="T227" i="6"/>
  <c r="T239" i="6"/>
  <c r="T310" i="6"/>
  <c r="T355" i="6"/>
  <c r="T357" i="6"/>
  <c r="T367" i="6"/>
  <c r="T386" i="6"/>
  <c r="T52" i="6"/>
  <c r="T59" i="6"/>
  <c r="T99" i="6"/>
  <c r="T170" i="6"/>
  <c r="T190" i="6"/>
  <c r="T297" i="6"/>
  <c r="T358" i="6"/>
  <c r="T372" i="6"/>
  <c r="T186" i="6"/>
  <c r="T114" i="6"/>
  <c r="T63" i="6"/>
  <c r="T222" i="6"/>
  <c r="T290" i="6"/>
  <c r="T320" i="6"/>
  <c r="T288" i="6"/>
  <c r="T172" i="6"/>
  <c r="T248" i="6"/>
  <c r="T260" i="6"/>
  <c r="T236" i="6"/>
  <c r="T96" i="6"/>
  <c r="T142" i="6"/>
  <c r="T200" i="6"/>
  <c r="T140" i="6"/>
  <c r="T84" i="6"/>
  <c r="T108" i="6"/>
  <c r="T168" i="6"/>
  <c r="T216" i="6"/>
  <c r="T210" i="6"/>
  <c r="T56" i="6"/>
  <c r="T126" i="6"/>
  <c r="T341" i="6"/>
  <c r="T307" i="6"/>
  <c r="T302" i="6"/>
  <c r="T250" i="6"/>
  <c r="T208" i="6"/>
  <c r="T252" i="6"/>
  <c r="T278" i="6"/>
  <c r="T259" i="6"/>
  <c r="T284" i="6"/>
  <c r="T270" i="6"/>
  <c r="T157" i="6"/>
  <c r="T138" i="6"/>
  <c r="T180" i="6"/>
  <c r="T240" i="6"/>
  <c r="T174" i="6"/>
  <c r="T192" i="6"/>
  <c r="T120" i="6"/>
  <c r="T291" i="6"/>
  <c r="T359" i="6"/>
  <c r="T267" i="6"/>
  <c r="T286" i="6"/>
  <c r="T178" i="6"/>
  <c r="T314" i="6"/>
  <c r="T229" i="6"/>
  <c r="T279" i="6"/>
  <c r="T182" i="6"/>
  <c r="T296" i="6"/>
  <c r="T272" i="6"/>
  <c r="T86" i="6"/>
  <c r="T77" i="6"/>
  <c r="T83" i="6"/>
  <c r="T74" i="6"/>
  <c r="T102" i="6"/>
  <c r="T234" i="6"/>
  <c r="T156" i="6"/>
  <c r="T132" i="6"/>
  <c r="T212" i="6"/>
  <c r="T298" i="6"/>
  <c r="T254" i="6"/>
  <c r="T224" i="6"/>
  <c r="T300" i="6"/>
  <c r="T223" i="6"/>
  <c r="T274" i="6"/>
  <c r="T362" i="6"/>
  <c r="T193" i="6"/>
  <c r="T295" i="6"/>
  <c r="T116" i="6"/>
  <c r="T87" i="6"/>
  <c r="T72" i="6"/>
  <c r="T162" i="6"/>
  <c r="T266" i="6"/>
  <c r="T187" i="6"/>
  <c r="T183" i="6"/>
  <c r="T111" i="6"/>
  <c r="T303" i="6"/>
  <c r="T150" i="6"/>
  <c r="T255" i="6"/>
  <c r="T81" i="6"/>
  <c r="T66" i="6"/>
  <c r="T204" i="6"/>
  <c r="T243" i="6"/>
  <c r="T68" i="6"/>
  <c r="T283" i="6"/>
  <c r="T206" i="6"/>
  <c r="T308" i="6"/>
  <c r="T105" i="6"/>
  <c r="T228" i="6"/>
  <c r="T335" i="6"/>
  <c r="T271" i="6"/>
  <c r="T171" i="6"/>
  <c r="T247" i="6"/>
  <c r="T144" i="6"/>
  <c r="T198" i="6"/>
  <c r="T344" i="6"/>
  <c r="T350" i="6"/>
  <c r="T262" i="6"/>
  <c r="T242" i="6"/>
  <c r="T213" i="6"/>
  <c r="T141" i="6"/>
  <c r="T177" i="6"/>
  <c r="T129" i="6"/>
  <c r="T78" i="6"/>
  <c r="T353" i="6"/>
  <c r="T264" i="6"/>
  <c r="T306" i="6"/>
  <c r="T46" i="6"/>
  <c r="P86" i="1" s="1" a="1"/>
  <c r="P86" i="1" s="1"/>
  <c r="F41" i="13" s="1"/>
  <c r="T53" i="6"/>
  <c r="T60" i="6"/>
  <c r="T62" i="6"/>
  <c r="T101" i="6"/>
  <c r="T107" i="6"/>
  <c r="T117" i="6"/>
  <c r="T123" i="6"/>
  <c r="T128" i="6"/>
  <c r="T147" i="6"/>
  <c r="T154" i="6"/>
  <c r="T158" i="6"/>
  <c r="T163" i="6"/>
  <c r="T167" i="6"/>
  <c r="T173" i="6"/>
  <c r="T179" i="6"/>
  <c r="T189" i="6"/>
  <c r="T197" i="6"/>
  <c r="T201" i="6"/>
  <c r="T205" i="6"/>
  <c r="T211" i="6"/>
  <c r="T218" i="6"/>
  <c r="T221" i="6"/>
  <c r="T251" i="6"/>
  <c r="T263" i="6"/>
  <c r="T273" i="6"/>
  <c r="T281" i="6"/>
  <c r="T312" i="6"/>
  <c r="T313" i="6"/>
  <c r="T323" i="6"/>
  <c r="T332" i="6"/>
  <c r="T334" i="6"/>
  <c r="T336" i="6"/>
  <c r="T47" i="6"/>
  <c r="T48" i="6"/>
  <c r="T49" i="6"/>
  <c r="T67" i="6"/>
  <c r="T98" i="6"/>
  <c r="T113" i="6"/>
  <c r="T124" i="6"/>
  <c r="T130" i="6"/>
  <c r="T133" i="6"/>
  <c r="T137" i="6"/>
  <c r="T155" i="6"/>
  <c r="T164" i="6"/>
  <c r="T194" i="6"/>
  <c r="T202" i="6"/>
  <c r="T215" i="6"/>
  <c r="T226" i="6"/>
  <c r="T230" i="6"/>
  <c r="T246" i="6"/>
  <c r="T276" i="6"/>
  <c r="T277" i="6"/>
  <c r="T280" i="6"/>
  <c r="T294" i="6"/>
  <c r="T315" i="6"/>
  <c r="T317" i="6"/>
  <c r="T321" i="6"/>
  <c r="T322" i="6"/>
  <c r="T327" i="6"/>
  <c r="T328" i="6"/>
  <c r="T331" i="6"/>
  <c r="T333" i="6"/>
  <c r="T45" i="6"/>
  <c r="P85" i="1" s="1" a="1"/>
  <c r="P85" i="1" s="1"/>
  <c r="T64" i="6"/>
  <c r="T65" i="6"/>
  <c r="T79" i="6"/>
  <c r="T135" i="6"/>
  <c r="T145" i="6"/>
  <c r="T151" i="6"/>
  <c r="T166" i="6"/>
  <c r="T176" i="6"/>
  <c r="T188" i="6"/>
  <c r="T217" i="6"/>
  <c r="T237" i="6"/>
  <c r="T256" i="6"/>
  <c r="T257" i="6"/>
  <c r="T261" i="6"/>
  <c r="T285" i="6"/>
  <c r="T292" i="6"/>
  <c r="T293" i="6"/>
  <c r="T301" i="6"/>
  <c r="T316" i="6"/>
  <c r="T351" i="6"/>
  <c r="T354" i="6"/>
  <c r="T361" i="6"/>
  <c r="T364" i="6"/>
  <c r="T366" i="6"/>
  <c r="T370" i="6"/>
  <c r="T371" i="6"/>
  <c r="T379" i="6"/>
  <c r="T380" i="6"/>
  <c r="T384" i="6"/>
  <c r="T57" i="6"/>
  <c r="T92" i="6"/>
  <c r="T94" i="6"/>
  <c r="T104" i="6"/>
  <c r="T112" i="6"/>
  <c r="T119" i="6"/>
  <c r="T125" i="6"/>
  <c r="T134" i="6"/>
  <c r="T139" i="6"/>
  <c r="T191" i="6"/>
  <c r="T203" i="6"/>
  <c r="T220" i="6"/>
  <c r="T233" i="6"/>
  <c r="T235" i="6"/>
  <c r="T245" i="6"/>
  <c r="T268" i="6"/>
  <c r="T269" i="6"/>
  <c r="T275" i="6"/>
  <c r="T287" i="6"/>
  <c r="T309" i="6"/>
  <c r="T339" i="6"/>
  <c r="T347" i="6"/>
  <c r="T349" i="6"/>
  <c r="T376" i="6"/>
  <c r="T377" i="6"/>
  <c r="T149" i="6"/>
  <c r="T165" i="6"/>
  <c r="T175" i="6"/>
  <c r="T185" i="6"/>
  <c r="T241" i="6"/>
  <c r="T244" i="6"/>
  <c r="T70" i="6"/>
  <c r="T73" i="6"/>
  <c r="T91" i="6"/>
  <c r="T106" i="6"/>
  <c r="T143" i="6"/>
  <c r="N74" i="12"/>
  <c r="AD239" i="4"/>
  <c r="AD181" i="4"/>
  <c r="AD21" i="4"/>
  <c r="AD243" i="4"/>
  <c r="AD80" i="4"/>
  <c r="AD140" i="4"/>
  <c r="AD230" i="4"/>
  <c r="AD73" i="4"/>
  <c r="AD85" i="4"/>
  <c r="AD106" i="4"/>
  <c r="AD172" i="4"/>
  <c r="AD30" i="4"/>
  <c r="N97" i="12"/>
  <c r="N47" i="12"/>
  <c r="N63" i="12"/>
  <c r="N3" i="12"/>
  <c r="AE22" i="4" s="1"/>
  <c r="N93" i="12"/>
  <c r="N94" i="12"/>
  <c r="N92" i="12"/>
  <c r="N2" i="12"/>
  <c r="N60" i="12"/>
  <c r="N90" i="12"/>
  <c r="N17" i="12"/>
  <c r="N21" i="12"/>
  <c r="N49" i="12"/>
  <c r="N82" i="12"/>
  <c r="N30" i="12"/>
  <c r="N33" i="12"/>
  <c r="N19" i="12"/>
  <c r="N88" i="12"/>
  <c r="N37" i="12"/>
  <c r="N6" i="12"/>
  <c r="N55" i="12"/>
  <c r="N110" i="12"/>
  <c r="N107" i="12"/>
  <c r="N13" i="12"/>
  <c r="N58" i="12"/>
  <c r="N67" i="12"/>
  <c r="N7" i="12"/>
  <c r="N102" i="12"/>
  <c r="N72" i="12"/>
  <c r="N51" i="12"/>
  <c r="N14" i="12"/>
  <c r="N32" i="12"/>
  <c r="N54" i="12"/>
  <c r="N5" i="12"/>
  <c r="N103" i="12"/>
  <c r="AD2" i="4"/>
  <c r="P76" i="1" a="1"/>
  <c r="P76" i="1" s="1"/>
  <c r="P82" i="1" a="1"/>
  <c r="P82" i="1" s="1"/>
  <c r="F37" i="13" s="1"/>
  <c r="P74" i="1" a="1"/>
  <c r="P74" i="1" s="1"/>
  <c r="F33" i="13" s="1"/>
  <c r="P80" i="1" a="1"/>
  <c r="P80" i="1" s="1"/>
  <c r="P84" i="1" a="1"/>
  <c r="P84" i="1" s="1"/>
  <c r="P75" i="1" a="1"/>
  <c r="P75" i="1" s="1"/>
  <c r="F34" i="13" s="1"/>
  <c r="P81" i="1" a="1"/>
  <c r="P81" i="1" s="1"/>
  <c r="F36" i="13" s="1"/>
  <c r="P79" i="1" a="1"/>
  <c r="P79" i="1" s="1"/>
  <c r="P83" i="1" a="1"/>
  <c r="P83" i="1" s="1"/>
  <c r="F38" i="13" s="1"/>
  <c r="T34" i="6"/>
  <c r="P70" i="1" s="1" a="1"/>
  <c r="P70" i="1" s="1"/>
  <c r="F32" i="13" s="1"/>
  <c r="P78" i="1" a="1"/>
  <c r="P78" i="1" s="1"/>
  <c r="N4" i="12"/>
  <c r="N66" i="12"/>
  <c r="N81" i="12"/>
  <c r="N113" i="12"/>
  <c r="N104" i="12"/>
  <c r="AD5" i="4"/>
  <c r="AD6" i="4"/>
  <c r="AD8" i="4"/>
  <c r="P2" i="1" s="1" a="1"/>
  <c r="P2" i="1" s="1"/>
  <c r="AD224" i="4"/>
  <c r="AD188" i="4"/>
  <c r="AD176" i="4"/>
  <c r="AD108" i="4"/>
  <c r="AD84" i="4"/>
  <c r="AD72" i="4"/>
  <c r="AD163" i="4"/>
  <c r="AD211" i="4"/>
  <c r="AD126" i="4"/>
  <c r="AD209" i="4"/>
  <c r="AD25" i="4"/>
  <c r="P45" i="1" s="1" a="1"/>
  <c r="P45" i="1" s="1"/>
  <c r="AD83" i="4"/>
  <c r="AD164" i="4"/>
  <c r="AD234" i="4"/>
  <c r="AD100" i="4"/>
  <c r="AD186" i="4"/>
  <c r="AD45" i="4"/>
  <c r="AE151" i="4"/>
  <c r="N75" i="12"/>
  <c r="N25" i="12"/>
  <c r="N68" i="12"/>
  <c r="N38" i="12"/>
  <c r="N28" i="12"/>
  <c r="N78" i="12"/>
  <c r="N39" i="12"/>
  <c r="N96" i="12"/>
  <c r="N43" i="12"/>
  <c r="N31" i="12"/>
  <c r="N12" i="12"/>
  <c r="N101" i="12"/>
  <c r="Q57" i="1" a="1"/>
  <c r="Q57" i="1" s="1"/>
  <c r="S57" i="15" s="1"/>
  <c r="F6" i="13"/>
  <c r="Q51" i="1" a="1"/>
  <c r="Q51" i="1" s="1"/>
  <c r="S51" i="15" s="1"/>
  <c r="F5" i="13"/>
  <c r="F8" i="13"/>
  <c r="F7" i="13"/>
  <c r="Q52" i="1" a="1"/>
  <c r="Q52" i="1" s="1"/>
  <c r="S52" i="15" s="1"/>
  <c r="Q50" i="1" a="1"/>
  <c r="Q50" i="1" s="1"/>
  <c r="S50" i="15" s="1"/>
  <c r="P50" i="1" a="1"/>
  <c r="P50" i="1" s="1"/>
  <c r="F14" i="13" s="1"/>
  <c r="Q21" i="1" a="1"/>
  <c r="Q21" i="1" s="1"/>
  <c r="S21" i="15" s="1"/>
  <c r="Q25" i="1" a="1"/>
  <c r="Q25" i="1" s="1"/>
  <c r="S25" i="15" s="1"/>
  <c r="Q54" i="1" a="1"/>
  <c r="Q54" i="1" s="1"/>
  <c r="S54" i="15" s="1"/>
  <c r="Q15" i="1" a="1"/>
  <c r="Q15" i="1" s="1"/>
  <c r="S15" i="15" s="1"/>
  <c r="Q16" i="1" a="1"/>
  <c r="Q16" i="1" s="1"/>
  <c r="S16" i="15" s="1"/>
  <c r="N40" i="12" l="1"/>
  <c r="T7" i="6"/>
  <c r="P26" i="1" s="1" a="1"/>
  <c r="P26" i="1" s="1"/>
  <c r="T8" i="6"/>
  <c r="P27" i="1" s="1" a="1"/>
  <c r="P27" i="1" s="1"/>
  <c r="T14" i="6"/>
  <c r="P14" i="1" s="1" a="1"/>
  <c r="P14" i="1" s="1"/>
  <c r="N45" i="12"/>
  <c r="T10" i="6"/>
  <c r="P29" i="1" s="1" a="1"/>
  <c r="P29" i="1" s="1"/>
  <c r="F10" i="13" s="1"/>
  <c r="N80" i="12"/>
  <c r="N112" i="12"/>
  <c r="N106" i="12"/>
  <c r="AD7" i="4"/>
  <c r="N56" i="12"/>
  <c r="N42" i="12"/>
  <c r="N48" i="12"/>
  <c r="N83" i="12"/>
  <c r="N18" i="12"/>
  <c r="N24" i="12"/>
  <c r="N84" i="12"/>
  <c r="N34" i="12"/>
  <c r="N71" i="12"/>
  <c r="N53" i="12"/>
  <c r="AE44" i="4"/>
  <c r="AE67" i="4"/>
  <c r="AE90" i="4"/>
  <c r="AE214" i="4"/>
  <c r="AE84" i="4"/>
  <c r="AE170" i="4"/>
  <c r="AE231" i="4"/>
  <c r="AE129" i="4"/>
  <c r="AE184" i="4"/>
  <c r="AE242" i="4"/>
  <c r="F2" i="13"/>
  <c r="AE99" i="4"/>
  <c r="AE213" i="4"/>
  <c r="AE238" i="4"/>
  <c r="AE171" i="4"/>
  <c r="AE200" i="4"/>
  <c r="AE135" i="4"/>
  <c r="AE123" i="4"/>
  <c r="AE232" i="4"/>
  <c r="AE27" i="4"/>
  <c r="AE87" i="4"/>
  <c r="AE228" i="4"/>
  <c r="AE126" i="4"/>
  <c r="AE131" i="4"/>
  <c r="AE120" i="4"/>
  <c r="AE71" i="4"/>
  <c r="AE198" i="4"/>
  <c r="AE16" i="4"/>
  <c r="AE132" i="4"/>
  <c r="AE56" i="4"/>
  <c r="AE207" i="4"/>
  <c r="AE117" i="4"/>
  <c r="AE233" i="4"/>
  <c r="AE222" i="4"/>
  <c r="AE41" i="4"/>
  <c r="Q77" i="1" s="1" a="1"/>
  <c r="Q77" i="1" s="1"/>
  <c r="S77" i="15" s="1"/>
  <c r="AE70" i="4"/>
  <c r="AE75" i="4"/>
  <c r="AE53" i="4"/>
  <c r="AE180" i="4"/>
  <c r="AE77" i="4"/>
  <c r="AE189" i="4"/>
  <c r="AE32" i="4"/>
  <c r="Q71" i="1" s="1" a="1"/>
  <c r="Q71" i="1" s="1"/>
  <c r="S71" i="15" s="1"/>
  <c r="AE5" i="4"/>
  <c r="AE7" i="4"/>
  <c r="AE215" i="4"/>
  <c r="AE106" i="4"/>
  <c r="AE175" i="4"/>
  <c r="AE192" i="4"/>
  <c r="AE105" i="4"/>
  <c r="AE23" i="4"/>
  <c r="Q56" i="1" s="1" a="1"/>
  <c r="Q56" i="1" s="1"/>
  <c r="S56" i="15" s="1"/>
  <c r="AE115" i="4"/>
  <c r="AE55" i="4"/>
  <c r="AE28" i="4"/>
  <c r="Q58" i="1" s="1" a="1"/>
  <c r="Q58" i="1" s="1"/>
  <c r="S58" i="15" s="1"/>
  <c r="AE61" i="4"/>
  <c r="AE15" i="4"/>
  <c r="Q46" i="1" s="1" a="1"/>
  <c r="Q46" i="1" s="1"/>
  <c r="S46" i="15" s="1"/>
  <c r="AE60" i="4"/>
  <c r="AE85" i="4"/>
  <c r="AE223" i="4"/>
  <c r="AE65" i="4"/>
  <c r="AE96" i="4"/>
  <c r="AE190" i="4"/>
  <c r="AE249" i="4"/>
  <c r="AE181" i="4"/>
  <c r="AE107" i="4"/>
  <c r="AE203" i="4"/>
  <c r="AE4" i="4"/>
  <c r="AE224" i="4"/>
  <c r="AE134" i="4"/>
  <c r="AE164" i="4"/>
  <c r="AE122" i="4"/>
  <c r="AE186" i="4"/>
  <c r="AE139" i="4"/>
  <c r="AE239" i="4"/>
  <c r="AE95" i="4"/>
  <c r="AE40" i="4"/>
  <c r="Q53" i="1" s="1" a="1"/>
  <c r="Q53" i="1" s="1"/>
  <c r="S53" i="15" s="1"/>
  <c r="AE169" i="4"/>
  <c r="U36" i="6"/>
  <c r="V36" i="6" s="1"/>
  <c r="U39" i="6"/>
  <c r="V39" i="6" s="1"/>
  <c r="U42" i="6"/>
  <c r="V42" i="6" s="1"/>
  <c r="U43" i="6"/>
  <c r="V43" i="6" s="1"/>
  <c r="U44" i="6"/>
  <c r="V44" i="6" s="1"/>
  <c r="U35" i="6"/>
  <c r="V35" i="6" s="1"/>
  <c r="U41" i="6"/>
  <c r="V41" i="6" s="1"/>
  <c r="U40" i="6"/>
  <c r="V40" i="6" s="1"/>
  <c r="U37" i="6"/>
  <c r="V37" i="6" s="1"/>
  <c r="U38" i="6"/>
  <c r="V38" i="6" s="1"/>
  <c r="U24" i="6"/>
  <c r="V24" i="6" s="1"/>
  <c r="U33" i="6"/>
  <c r="V33" i="6" s="1"/>
  <c r="U10" i="6"/>
  <c r="V10" i="6" s="1"/>
  <c r="U19" i="6"/>
  <c r="V19" i="6" s="1"/>
  <c r="U4" i="6"/>
  <c r="V4" i="6" s="1"/>
  <c r="U18" i="6"/>
  <c r="V18" i="6" s="1"/>
  <c r="U30" i="6"/>
  <c r="V30" i="6" s="1"/>
  <c r="U31" i="6"/>
  <c r="V31" i="6" s="1"/>
  <c r="U13" i="6"/>
  <c r="V13" i="6" s="1"/>
  <c r="U26" i="6"/>
  <c r="V26" i="6" s="1"/>
  <c r="U12" i="6"/>
  <c r="V12" i="6" s="1"/>
  <c r="U25" i="6"/>
  <c r="V25" i="6" s="1"/>
  <c r="U20" i="6"/>
  <c r="V20" i="6" s="1"/>
  <c r="U8" i="6"/>
  <c r="V8" i="6" s="1"/>
  <c r="U5" i="6"/>
  <c r="V5" i="6" s="1"/>
  <c r="U17" i="6"/>
  <c r="V17" i="6" s="1"/>
  <c r="U27" i="6"/>
  <c r="V27" i="6" s="1"/>
  <c r="U32" i="6"/>
  <c r="V32" i="6" s="1"/>
  <c r="U3" i="6"/>
  <c r="V3" i="6" s="1"/>
  <c r="U23" i="6"/>
  <c r="V23" i="6" s="1"/>
  <c r="U7" i="6"/>
  <c r="U22" i="6"/>
  <c r="V22" i="6" s="1"/>
  <c r="U29" i="6"/>
  <c r="V29" i="6" s="1"/>
  <c r="U28" i="6"/>
  <c r="V28" i="6" s="1"/>
  <c r="U9" i="6"/>
  <c r="U2" i="6"/>
  <c r="V2" i="6" s="1"/>
  <c r="U11" i="6"/>
  <c r="U15" i="6"/>
  <c r="V15" i="6" s="1"/>
  <c r="U21" i="6"/>
  <c r="V21" i="6" s="1"/>
  <c r="U16" i="6"/>
  <c r="V16" i="6" s="1"/>
  <c r="U6" i="6"/>
  <c r="V6" i="6" s="1"/>
  <c r="U14" i="6"/>
  <c r="V14" i="6" s="1"/>
  <c r="AE187" i="4"/>
  <c r="AE59" i="4"/>
  <c r="AE150" i="4"/>
  <c r="AE202" i="4"/>
  <c r="AE152" i="4"/>
  <c r="AE24" i="4"/>
  <c r="Q44" i="1" s="1" a="1"/>
  <c r="Q44" i="1" s="1"/>
  <c r="S44" i="15" s="1"/>
  <c r="AE31" i="4"/>
  <c r="AE137" i="4"/>
  <c r="AE196" i="4"/>
  <c r="AE141" i="4"/>
  <c r="AE138" i="4"/>
  <c r="AE100" i="4"/>
  <c r="AE57" i="4"/>
  <c r="AE50" i="4"/>
  <c r="AE17" i="4"/>
  <c r="Q73" i="1" s="1" a="1"/>
  <c r="Q73" i="1" s="1"/>
  <c r="S73" i="15" s="1"/>
  <c r="AE9" i="4"/>
  <c r="Q31" i="1" s="1" a="1"/>
  <c r="Q31" i="1" s="1"/>
  <c r="S31" i="15" s="1"/>
  <c r="AE227" i="4"/>
  <c r="AE30" i="4"/>
  <c r="Q63" i="1" s="1" a="1"/>
  <c r="Q63" i="1" s="1"/>
  <c r="S63" i="15" s="1"/>
  <c r="AE229" i="4"/>
  <c r="AE193" i="4"/>
  <c r="AE159" i="4"/>
  <c r="AE54" i="4"/>
  <c r="AE25" i="4"/>
  <c r="Q45" i="1" s="1" a="1"/>
  <c r="Q45" i="1" s="1"/>
  <c r="S45" i="15" s="1"/>
  <c r="AE18" i="4"/>
  <c r="AE136" i="4"/>
  <c r="AE195" i="4"/>
  <c r="AE76" i="4"/>
  <c r="AE42" i="4"/>
  <c r="AE236" i="4"/>
  <c r="AE92" i="4"/>
  <c r="AE125" i="4"/>
  <c r="AE172" i="4"/>
  <c r="AE225" i="4"/>
  <c r="AE199" i="4"/>
  <c r="AE197" i="4"/>
  <c r="AE147" i="4"/>
  <c r="AE219" i="4"/>
  <c r="AE14" i="4"/>
  <c r="Q66" i="1" s="1" a="1"/>
  <c r="Q66" i="1" s="1"/>
  <c r="S66" i="15" s="1"/>
  <c r="AE102" i="4"/>
  <c r="AE19" i="4"/>
  <c r="Q6" i="1" s="1" a="1"/>
  <c r="Q6" i="1" s="1"/>
  <c r="S6" i="15" s="1"/>
  <c r="AE244" i="4"/>
  <c r="AE140" i="4"/>
  <c r="AE201" i="4"/>
  <c r="AE36" i="4"/>
  <c r="AE45" i="4"/>
  <c r="AE119" i="4"/>
  <c r="AE79" i="4"/>
  <c r="AE58" i="4"/>
  <c r="AE121" i="4"/>
  <c r="AE252" i="4"/>
  <c r="AE167" i="4"/>
  <c r="AE158" i="4"/>
  <c r="AE94" i="4"/>
  <c r="AE62" i="4"/>
  <c r="AE205" i="4"/>
  <c r="AE34" i="4"/>
  <c r="Q64" i="1" s="1" a="1"/>
  <c r="Q64" i="1" s="1"/>
  <c r="S64" i="15" s="1"/>
  <c r="AE38" i="4"/>
  <c r="AE98" i="4"/>
  <c r="AE212" i="4"/>
  <c r="AE246" i="4"/>
  <c r="AE112" i="4"/>
  <c r="AE83" i="4"/>
  <c r="AE113" i="4"/>
  <c r="AE80" i="4"/>
  <c r="AE208" i="4"/>
  <c r="AE82" i="4"/>
  <c r="AE6" i="4"/>
  <c r="Q23" i="1" s="1" a="1"/>
  <c r="Q23" i="1" s="1"/>
  <c r="S23" i="15" s="1"/>
  <c r="AE48" i="4"/>
  <c r="AE124" i="4"/>
  <c r="AE234" i="4"/>
  <c r="AE37" i="4"/>
  <c r="Q65" i="1" s="1" a="1"/>
  <c r="Q65" i="1" s="1"/>
  <c r="S65" i="15" s="1"/>
  <c r="AE209" i="4"/>
  <c r="AE206" i="4"/>
  <c r="AE13" i="4"/>
  <c r="AE148" i="4"/>
  <c r="AE52" i="4"/>
  <c r="AE51" i="4"/>
  <c r="AE160" i="4"/>
  <c r="AE49" i="4"/>
  <c r="AE11" i="4"/>
  <c r="Q55" i="1" s="1" a="1"/>
  <c r="Q55" i="1" s="1"/>
  <c r="S55" i="15" s="1"/>
  <c r="AE10" i="4"/>
  <c r="AE221" i="4"/>
  <c r="AE145" i="4"/>
  <c r="AE26" i="4"/>
  <c r="AE29" i="4"/>
  <c r="Q42" i="1" s="1" a="1"/>
  <c r="Q42" i="1" s="1"/>
  <c r="S42" i="15" s="1"/>
  <c r="AE43" i="4"/>
  <c r="AE163" i="4"/>
  <c r="AE247" i="4"/>
  <c r="AE39" i="4"/>
  <c r="Q69" i="1" s="1" a="1"/>
  <c r="Q69" i="1" s="1"/>
  <c r="S69" i="15" s="1"/>
  <c r="AE78" i="4"/>
  <c r="AE130" i="4"/>
  <c r="AE162" i="4"/>
  <c r="AE66" i="4"/>
  <c r="AE103" i="4"/>
  <c r="AE81" i="4"/>
  <c r="AE142" i="4"/>
  <c r="AE47" i="4"/>
  <c r="AE8" i="4"/>
  <c r="AE177" i="4"/>
  <c r="AE166" i="4"/>
  <c r="AE204" i="4"/>
  <c r="AE88" i="4"/>
  <c r="AE194" i="4"/>
  <c r="AE245" i="4"/>
  <c r="AE165" i="4"/>
  <c r="AE3" i="4"/>
  <c r="AE176" i="4"/>
  <c r="AE178" i="4"/>
  <c r="AE240" i="4"/>
  <c r="AE146" i="4"/>
  <c r="AE72" i="4"/>
  <c r="AE89" i="4"/>
  <c r="AE173" i="4"/>
  <c r="AE111" i="4"/>
  <c r="AE21" i="4"/>
  <c r="Q67" i="1" s="1" a="1"/>
  <c r="Q67" i="1" s="1"/>
  <c r="S67" i="15" s="1"/>
  <c r="AE64" i="4"/>
  <c r="AE217" i="4"/>
  <c r="AE114" i="4"/>
  <c r="AE211" i="4"/>
  <c r="AE109" i="4"/>
  <c r="AE73" i="4"/>
  <c r="AE63" i="4"/>
  <c r="AE220" i="4"/>
  <c r="AE216" i="4"/>
  <c r="AE248" i="4"/>
  <c r="AE149" i="4"/>
  <c r="AE226" i="4"/>
  <c r="AE33" i="4"/>
  <c r="Q48" i="1" s="1" a="1"/>
  <c r="Q48" i="1" s="1"/>
  <c r="S48" i="15" s="1"/>
  <c r="AE154" i="4"/>
  <c r="AE168" i="4"/>
  <c r="AE157" i="4"/>
  <c r="AE12" i="4"/>
  <c r="AE143" i="4"/>
  <c r="AE251" i="4"/>
  <c r="AE241" i="4"/>
  <c r="AE46" i="4"/>
  <c r="AE118" i="4"/>
  <c r="AE161" i="4"/>
  <c r="AE210" i="4"/>
  <c r="AE74" i="4"/>
  <c r="F39" i="13"/>
  <c r="F40" i="13"/>
  <c r="F35" i="13"/>
  <c r="U45" i="6"/>
  <c r="U58" i="6"/>
  <c r="V58" i="6" s="1"/>
  <c r="U64" i="6"/>
  <c r="V64" i="6" s="1"/>
  <c r="U66" i="6"/>
  <c r="V66" i="6" s="1"/>
  <c r="U138" i="6"/>
  <c r="V138" i="6" s="1"/>
  <c r="U170" i="6"/>
  <c r="V170" i="6" s="1"/>
  <c r="U194" i="6"/>
  <c r="V194" i="6" s="1"/>
  <c r="U230" i="6"/>
  <c r="V230" i="6" s="1"/>
  <c r="U108" i="6"/>
  <c r="V108" i="6" s="1"/>
  <c r="U155" i="6"/>
  <c r="V155" i="6" s="1"/>
  <c r="U224" i="6"/>
  <c r="V224" i="6" s="1"/>
  <c r="U373" i="6"/>
  <c r="V373" i="6" s="1"/>
  <c r="U382" i="6"/>
  <c r="V382" i="6" s="1"/>
  <c r="U47" i="6"/>
  <c r="V47" i="6" s="1"/>
  <c r="U74" i="6"/>
  <c r="V74" i="6" s="1"/>
  <c r="U100" i="6"/>
  <c r="V100" i="6" s="1"/>
  <c r="U152" i="6"/>
  <c r="V152" i="6" s="1"/>
  <c r="U176" i="6"/>
  <c r="V176" i="6" s="1"/>
  <c r="U209" i="6"/>
  <c r="V209" i="6" s="1"/>
  <c r="U365" i="6"/>
  <c r="V365" i="6" s="1"/>
  <c r="U375" i="6"/>
  <c r="V375" i="6" s="1"/>
  <c r="U95" i="6"/>
  <c r="V95" i="6" s="1"/>
  <c r="U122" i="6"/>
  <c r="V122" i="6" s="1"/>
  <c r="U180" i="6"/>
  <c r="V180" i="6" s="1"/>
  <c r="U232" i="6"/>
  <c r="V232" i="6" s="1"/>
  <c r="U370" i="6"/>
  <c r="V370" i="6" s="1"/>
  <c r="U379" i="6"/>
  <c r="V379" i="6" s="1"/>
  <c r="U56" i="6"/>
  <c r="V56" i="6" s="1"/>
  <c r="U131" i="6"/>
  <c r="V131" i="6" s="1"/>
  <c r="U132" i="6"/>
  <c r="V132" i="6" s="1"/>
  <c r="U188" i="6"/>
  <c r="V188" i="6" s="1"/>
  <c r="U376" i="6"/>
  <c r="V376" i="6" s="1"/>
  <c r="U50" i="6"/>
  <c r="V50" i="6" s="1"/>
  <c r="U54" i="6"/>
  <c r="V54" i="6" s="1"/>
  <c r="U65" i="6"/>
  <c r="V65" i="6" s="1"/>
  <c r="U88" i="6"/>
  <c r="V88" i="6" s="1"/>
  <c r="U137" i="6"/>
  <c r="V137" i="6" s="1"/>
  <c r="U202" i="6"/>
  <c r="V202" i="6" s="1"/>
  <c r="U367" i="6"/>
  <c r="V367" i="6" s="1"/>
  <c r="U49" i="6"/>
  <c r="V49" i="6" s="1"/>
  <c r="U55" i="6"/>
  <c r="V55" i="6" s="1"/>
  <c r="U166" i="6"/>
  <c r="V166" i="6" s="1"/>
  <c r="U200" i="6"/>
  <c r="V200" i="6" s="1"/>
  <c r="U349" i="6"/>
  <c r="V349" i="6" s="1"/>
  <c r="U366" i="6"/>
  <c r="V366" i="6" s="1"/>
  <c r="U48" i="6"/>
  <c r="V48" i="6" s="1"/>
  <c r="U83" i="6"/>
  <c r="V83" i="6" s="1"/>
  <c r="U89" i="6"/>
  <c r="V89" i="6" s="1"/>
  <c r="U146" i="6"/>
  <c r="V146" i="6" s="1"/>
  <c r="U215" i="6"/>
  <c r="V215" i="6" s="1"/>
  <c r="U333" i="6"/>
  <c r="V333" i="6" s="1"/>
  <c r="U347" i="6"/>
  <c r="V347" i="6" s="1"/>
  <c r="U364" i="6"/>
  <c r="V364" i="6" s="1"/>
  <c r="U384" i="6"/>
  <c r="V384" i="6" s="1"/>
  <c r="U282" i="6"/>
  <c r="V282" i="6" s="1"/>
  <c r="U281" i="6"/>
  <c r="V281" i="6" s="1"/>
  <c r="U219" i="6"/>
  <c r="V219" i="6" s="1"/>
  <c r="U330" i="6"/>
  <c r="V330" i="6" s="1"/>
  <c r="U310" i="6"/>
  <c r="V310" i="6" s="1"/>
  <c r="U326" i="6"/>
  <c r="V326" i="6" s="1"/>
  <c r="U287" i="6"/>
  <c r="V287" i="6" s="1"/>
  <c r="U111" i="6"/>
  <c r="V111" i="6" s="1"/>
  <c r="U304" i="6"/>
  <c r="V304" i="6" s="1"/>
  <c r="U244" i="6"/>
  <c r="V244" i="6" s="1"/>
  <c r="U153" i="6"/>
  <c r="V153" i="6" s="1"/>
  <c r="U255" i="6"/>
  <c r="V255" i="6" s="1"/>
  <c r="U380" i="6"/>
  <c r="V380" i="6" s="1"/>
  <c r="U302" i="6"/>
  <c r="V302" i="6" s="1"/>
  <c r="U250" i="6"/>
  <c r="V250" i="6" s="1"/>
  <c r="U171" i="6"/>
  <c r="V171" i="6" s="1"/>
  <c r="U207" i="6"/>
  <c r="V207" i="6" s="1"/>
  <c r="U229" i="6"/>
  <c r="V229" i="6" s="1"/>
  <c r="U345" i="6"/>
  <c r="V345" i="6" s="1"/>
  <c r="U278" i="6"/>
  <c r="V278" i="6" s="1"/>
  <c r="U247" i="6"/>
  <c r="V247" i="6" s="1"/>
  <c r="U284" i="6"/>
  <c r="V284" i="6" s="1"/>
  <c r="U297" i="6"/>
  <c r="V297" i="6" s="1"/>
  <c r="U235" i="6"/>
  <c r="V235" i="6" s="1"/>
  <c r="U163" i="6"/>
  <c r="V163" i="6" s="1"/>
  <c r="U273" i="6"/>
  <c r="V273" i="6" s="1"/>
  <c r="U154" i="6"/>
  <c r="V154" i="6" s="1"/>
  <c r="U181" i="6"/>
  <c r="V181" i="6" s="1"/>
  <c r="U124" i="6"/>
  <c r="V124" i="6" s="1"/>
  <c r="U109" i="6"/>
  <c r="V109" i="6" s="1"/>
  <c r="U84" i="6"/>
  <c r="V84" i="6" s="1"/>
  <c r="U93" i="6"/>
  <c r="V93" i="6" s="1"/>
  <c r="U68" i="6"/>
  <c r="V68" i="6" s="1"/>
  <c r="U213" i="6"/>
  <c r="V213" i="6" s="1"/>
  <c r="U301" i="6"/>
  <c r="V301" i="6" s="1"/>
  <c r="U118" i="6"/>
  <c r="V118" i="6" s="1"/>
  <c r="U92" i="6"/>
  <c r="V92" i="6" s="1"/>
  <c r="U135" i="6"/>
  <c r="V135" i="6" s="1"/>
  <c r="U275" i="6"/>
  <c r="V275" i="6" s="1"/>
  <c r="U280" i="6"/>
  <c r="V280" i="6" s="1"/>
  <c r="U324" i="6"/>
  <c r="V324" i="6" s="1"/>
  <c r="U293" i="6"/>
  <c r="V293" i="6" s="1"/>
  <c r="U300" i="6"/>
  <c r="V300" i="6" s="1"/>
  <c r="U319" i="6"/>
  <c r="V319" i="6" s="1"/>
  <c r="U292" i="6"/>
  <c r="V292" i="6" s="1"/>
  <c r="U225" i="6"/>
  <c r="V225" i="6" s="1"/>
  <c r="U291" i="6"/>
  <c r="V291" i="6" s="1"/>
  <c r="U355" i="6"/>
  <c r="V355" i="6" s="1"/>
  <c r="U346" i="6"/>
  <c r="V346" i="6" s="1"/>
  <c r="U337" i="6"/>
  <c r="V337" i="6" s="1"/>
  <c r="U350" i="6"/>
  <c r="V350" i="6" s="1"/>
  <c r="U361" i="6"/>
  <c r="V361" i="6" s="1"/>
  <c r="U377" i="6"/>
  <c r="V377" i="6" s="1"/>
  <c r="U362" i="6"/>
  <c r="V362" i="6" s="1"/>
  <c r="U335" i="6"/>
  <c r="V335" i="6" s="1"/>
  <c r="U267" i="6"/>
  <c r="V267" i="6" s="1"/>
  <c r="U262" i="6"/>
  <c r="V262" i="6" s="1"/>
  <c r="U193" i="6"/>
  <c r="V193" i="6" s="1"/>
  <c r="U360" i="6"/>
  <c r="V360" i="6" s="1"/>
  <c r="U342" i="6"/>
  <c r="V342" i="6" s="1"/>
  <c r="U331" i="6"/>
  <c r="V331" i="6" s="1"/>
  <c r="U220" i="6"/>
  <c r="V220" i="6" s="1"/>
  <c r="U279" i="6"/>
  <c r="V279" i="6" s="1"/>
  <c r="U177" i="6"/>
  <c r="V177" i="6" s="1"/>
  <c r="U145" i="6"/>
  <c r="V145" i="6" s="1"/>
  <c r="U90" i="6"/>
  <c r="V90" i="6" s="1"/>
  <c r="U245" i="6"/>
  <c r="V245" i="6" s="1"/>
  <c r="U318" i="6"/>
  <c r="V318" i="6" s="1"/>
  <c r="U313" i="6"/>
  <c r="V313" i="6" s="1"/>
  <c r="U256" i="6"/>
  <c r="V256" i="6" s="1"/>
  <c r="U305" i="6"/>
  <c r="V305" i="6" s="1"/>
  <c r="U306" i="6"/>
  <c r="V306" i="6" s="1"/>
  <c r="U147" i="6"/>
  <c r="V147" i="6" s="1"/>
  <c r="U321" i="6"/>
  <c r="V321" i="6" s="1"/>
  <c r="U269" i="6"/>
  <c r="V269" i="6" s="1"/>
  <c r="U303" i="6"/>
  <c r="V303" i="6" s="1"/>
  <c r="U359" i="6"/>
  <c r="V359" i="6" s="1"/>
  <c r="U352" i="6"/>
  <c r="V352" i="6" s="1"/>
  <c r="U371" i="6"/>
  <c r="V371" i="6" s="1"/>
  <c r="U344" i="6"/>
  <c r="V344" i="6" s="1"/>
  <c r="U298" i="6"/>
  <c r="V298" i="6" s="1"/>
  <c r="U271" i="6"/>
  <c r="V271" i="6" s="1"/>
  <c r="U254" i="6"/>
  <c r="V254" i="6" s="1"/>
  <c r="U354" i="6"/>
  <c r="V354" i="6" s="1"/>
  <c r="U336" i="6"/>
  <c r="V336" i="6" s="1"/>
  <c r="U283" i="6"/>
  <c r="V283" i="6" s="1"/>
  <c r="U274" i="6"/>
  <c r="V274" i="6" s="1"/>
  <c r="U242" i="6"/>
  <c r="V242" i="6" s="1"/>
  <c r="U187" i="6"/>
  <c r="V187" i="6" s="1"/>
  <c r="U328" i="6"/>
  <c r="V328" i="6" s="1"/>
  <c r="U295" i="6"/>
  <c r="V295" i="6" s="1"/>
  <c r="U243" i="6"/>
  <c r="V243" i="6" s="1"/>
  <c r="U277" i="6"/>
  <c r="V277" i="6" s="1"/>
  <c r="U249" i="6"/>
  <c r="V249" i="6" s="1"/>
  <c r="U261" i="6"/>
  <c r="V261" i="6" s="1"/>
  <c r="U169" i="6"/>
  <c r="V169" i="6" s="1"/>
  <c r="U211" i="6"/>
  <c r="V211" i="6" s="1"/>
  <c r="U103" i="6"/>
  <c r="V103" i="6" s="1"/>
  <c r="U94" i="6"/>
  <c r="V94" i="6" s="1"/>
  <c r="U151" i="6"/>
  <c r="V151" i="6" s="1"/>
  <c r="U99" i="6"/>
  <c r="V99" i="6" s="1"/>
  <c r="U78" i="6"/>
  <c r="V78" i="6" s="1"/>
  <c r="U87" i="6"/>
  <c r="V87" i="6" s="1"/>
  <c r="U159" i="6"/>
  <c r="V159" i="6" s="1"/>
  <c r="U322" i="6"/>
  <c r="V322" i="6" s="1"/>
  <c r="U231" i="6"/>
  <c r="V231" i="6" s="1"/>
  <c r="U195" i="6"/>
  <c r="V195" i="6" s="1"/>
  <c r="U258" i="6"/>
  <c r="V258" i="6" s="1"/>
  <c r="U323" i="6"/>
  <c r="V323" i="6" s="1"/>
  <c r="U299" i="6"/>
  <c r="V299" i="6" s="1"/>
  <c r="U317" i="6"/>
  <c r="V317" i="6" s="1"/>
  <c r="U257" i="6"/>
  <c r="V257" i="6" s="1"/>
  <c r="U189" i="6"/>
  <c r="V189" i="6" s="1"/>
  <c r="U72" i="6"/>
  <c r="V72" i="6" s="1"/>
  <c r="U386" i="6"/>
  <c r="V386" i="6" s="1"/>
  <c r="U368" i="6"/>
  <c r="V368" i="6" s="1"/>
  <c r="U266" i="6"/>
  <c r="V266" i="6" s="1"/>
  <c r="U178" i="6"/>
  <c r="V178" i="6" s="1"/>
  <c r="U351" i="6"/>
  <c r="V351" i="6" s="1"/>
  <c r="U263" i="6"/>
  <c r="V263" i="6" s="1"/>
  <c r="U270" i="6"/>
  <c r="V270" i="6" s="1"/>
  <c r="U251" i="6"/>
  <c r="V251" i="6" s="1"/>
  <c r="U315" i="6"/>
  <c r="V315" i="6" s="1"/>
  <c r="U276" i="6"/>
  <c r="V276" i="6" s="1"/>
  <c r="U290" i="6"/>
  <c r="V290" i="6" s="1"/>
  <c r="U223" i="6"/>
  <c r="V223" i="6" s="1"/>
  <c r="U201" i="6"/>
  <c r="V201" i="6" s="1"/>
  <c r="U272" i="6"/>
  <c r="V272" i="6" s="1"/>
  <c r="U116" i="6"/>
  <c r="V116" i="6" s="1"/>
  <c r="U81" i="6"/>
  <c r="V81" i="6" s="1"/>
  <c r="U329" i="6"/>
  <c r="V329" i="6" s="1"/>
  <c r="U383" i="6"/>
  <c r="V383" i="6" s="1"/>
  <c r="U260" i="6"/>
  <c r="V260" i="6" s="1"/>
  <c r="U142" i="6"/>
  <c r="V142" i="6" s="1"/>
  <c r="U96" i="6"/>
  <c r="V96" i="6" s="1"/>
  <c r="U309" i="6"/>
  <c r="V309" i="6" s="1"/>
  <c r="U208" i="6"/>
  <c r="V208" i="6" s="1"/>
  <c r="U339" i="6"/>
  <c r="V339" i="6" s="1"/>
  <c r="U182" i="6"/>
  <c r="V182" i="6" s="1"/>
  <c r="U165" i="6"/>
  <c r="V165" i="6" s="1"/>
  <c r="U237" i="6"/>
  <c r="V237" i="6" s="1"/>
  <c r="U121" i="6"/>
  <c r="V121" i="6" s="1"/>
  <c r="U129" i="6"/>
  <c r="V129" i="6" s="1"/>
  <c r="U312" i="6"/>
  <c r="V312" i="6" s="1"/>
  <c r="U294" i="6"/>
  <c r="V294" i="6" s="1"/>
  <c r="U246" i="6"/>
  <c r="V246" i="6" s="1"/>
  <c r="U341" i="6"/>
  <c r="V341" i="6" s="1"/>
  <c r="U332" i="6"/>
  <c r="V332" i="6" s="1"/>
  <c r="U248" i="6"/>
  <c r="V248" i="6" s="1"/>
  <c r="U183" i="6"/>
  <c r="V183" i="6" s="1"/>
  <c r="U217" i="6"/>
  <c r="V217" i="6" s="1"/>
  <c r="U157" i="6"/>
  <c r="V157" i="6" s="1"/>
  <c r="U63" i="6"/>
  <c r="V63" i="6" s="1"/>
  <c r="U316" i="6"/>
  <c r="V316" i="6" s="1"/>
  <c r="U268" i="6"/>
  <c r="V268" i="6" s="1"/>
  <c r="U286" i="6"/>
  <c r="V286" i="6" s="1"/>
  <c r="U296" i="6"/>
  <c r="V296" i="6" s="1"/>
  <c r="U141" i="6"/>
  <c r="V141" i="6" s="1"/>
  <c r="U265" i="6"/>
  <c r="V265" i="6" s="1"/>
  <c r="U226" i="6"/>
  <c r="V226" i="6" s="1"/>
  <c r="U115" i="6"/>
  <c r="V115" i="6" s="1"/>
  <c r="U264" i="6"/>
  <c r="V264" i="6" s="1"/>
  <c r="U311" i="6"/>
  <c r="V311" i="6" s="1"/>
  <c r="U307" i="6"/>
  <c r="V307" i="6" s="1"/>
  <c r="U314" i="6"/>
  <c r="V314" i="6" s="1"/>
  <c r="U97" i="6"/>
  <c r="V97" i="6" s="1"/>
  <c r="U288" i="6"/>
  <c r="V288" i="6" s="1"/>
  <c r="U252" i="6"/>
  <c r="V252" i="6" s="1"/>
  <c r="U117" i="6"/>
  <c r="V117" i="6" s="1"/>
  <c r="U172" i="6"/>
  <c r="V172" i="6" s="1"/>
  <c r="U212" i="6"/>
  <c r="V212" i="6" s="1"/>
  <c r="U374" i="6"/>
  <c r="V374" i="6" s="1"/>
  <c r="U353" i="6"/>
  <c r="V353" i="6" s="1"/>
  <c r="U320" i="6"/>
  <c r="V320" i="6" s="1"/>
  <c r="U357" i="6"/>
  <c r="V357" i="6" s="1"/>
  <c r="U241" i="6"/>
  <c r="V241" i="6" s="1"/>
  <c r="U190" i="6"/>
  <c r="V190" i="6" s="1"/>
  <c r="U175" i="6"/>
  <c r="V175" i="6" s="1"/>
  <c r="U105" i="6"/>
  <c r="V105" i="6" s="1"/>
  <c r="U160" i="6"/>
  <c r="V160" i="6" s="1"/>
  <c r="U77" i="6"/>
  <c r="V77" i="6" s="1"/>
  <c r="U80" i="6"/>
  <c r="V80" i="6" s="1"/>
  <c r="U71" i="6"/>
  <c r="V71" i="6" s="1"/>
  <c r="U325" i="6"/>
  <c r="V325" i="6" s="1"/>
  <c r="U123" i="6"/>
  <c r="V123" i="6" s="1"/>
  <c r="U343" i="6"/>
  <c r="V343" i="6" s="1"/>
  <c r="U348" i="6"/>
  <c r="V348" i="6" s="1"/>
  <c r="U259" i="6"/>
  <c r="V259" i="6" s="1"/>
  <c r="U285" i="6"/>
  <c r="V285" i="6" s="1"/>
  <c r="U289" i="6"/>
  <c r="V289" i="6" s="1"/>
  <c r="U253" i="6"/>
  <c r="V253" i="6" s="1"/>
  <c r="U308" i="6"/>
  <c r="V308" i="6" s="1"/>
  <c r="U133" i="6"/>
  <c r="V133" i="6" s="1"/>
  <c r="U139" i="6"/>
  <c r="V139" i="6" s="1"/>
  <c r="U106" i="6"/>
  <c r="V106" i="6" s="1"/>
  <c r="U86" i="6"/>
  <c r="V86" i="6" s="1"/>
  <c r="U327" i="6"/>
  <c r="V327" i="6" s="1"/>
  <c r="U205" i="6"/>
  <c r="V205" i="6" s="1"/>
  <c r="U199" i="6"/>
  <c r="V199" i="6" s="1"/>
  <c r="U127" i="6"/>
  <c r="V127" i="6" s="1"/>
  <c r="U52" i="6"/>
  <c r="V52" i="6" s="1"/>
  <c r="U61" i="6"/>
  <c r="V61" i="6" s="1"/>
  <c r="U69" i="6"/>
  <c r="V69" i="6" s="1"/>
  <c r="U73" i="6"/>
  <c r="V73" i="6" s="1"/>
  <c r="U75" i="6"/>
  <c r="V75" i="6" s="1"/>
  <c r="U76" i="6"/>
  <c r="V76" i="6" s="1"/>
  <c r="U79" i="6"/>
  <c r="V79" i="6" s="1"/>
  <c r="U91" i="6"/>
  <c r="V91" i="6" s="1"/>
  <c r="U112" i="6"/>
  <c r="V112" i="6" s="1"/>
  <c r="U120" i="6"/>
  <c r="V120" i="6" s="1"/>
  <c r="U136" i="6"/>
  <c r="V136" i="6" s="1"/>
  <c r="U143" i="6"/>
  <c r="V143" i="6" s="1"/>
  <c r="U150" i="6"/>
  <c r="V150" i="6" s="1"/>
  <c r="U185" i="6"/>
  <c r="V185" i="6" s="1"/>
  <c r="U214" i="6"/>
  <c r="V214" i="6" s="1"/>
  <c r="U233" i="6"/>
  <c r="V233" i="6" s="1"/>
  <c r="U234" i="6"/>
  <c r="V234" i="6" s="1"/>
  <c r="U238" i="6"/>
  <c r="V238" i="6" s="1"/>
  <c r="U46" i="6"/>
  <c r="U53" i="6"/>
  <c r="V53" i="6" s="1"/>
  <c r="U60" i="6"/>
  <c r="V60" i="6" s="1"/>
  <c r="U62" i="6"/>
  <c r="V62" i="6" s="1"/>
  <c r="U101" i="6"/>
  <c r="V101" i="6" s="1"/>
  <c r="U102" i="6"/>
  <c r="V102" i="6" s="1"/>
  <c r="U107" i="6"/>
  <c r="V107" i="6" s="1"/>
  <c r="U128" i="6"/>
  <c r="V128" i="6" s="1"/>
  <c r="U144" i="6"/>
  <c r="V144" i="6" s="1"/>
  <c r="U158" i="6"/>
  <c r="V158" i="6" s="1"/>
  <c r="U167" i="6"/>
  <c r="V167" i="6" s="1"/>
  <c r="U168" i="6"/>
  <c r="V168" i="6" s="1"/>
  <c r="U173" i="6"/>
  <c r="V173" i="6" s="1"/>
  <c r="U174" i="6"/>
  <c r="V174" i="6" s="1"/>
  <c r="U179" i="6"/>
  <c r="V179" i="6" s="1"/>
  <c r="U186" i="6"/>
  <c r="V186" i="6" s="1"/>
  <c r="U197" i="6"/>
  <c r="V197" i="6" s="1"/>
  <c r="U206" i="6"/>
  <c r="V206" i="6" s="1"/>
  <c r="U218" i="6"/>
  <c r="V218" i="6" s="1"/>
  <c r="U221" i="6"/>
  <c r="V221" i="6" s="1"/>
  <c r="U334" i="6"/>
  <c r="V334" i="6" s="1"/>
  <c r="U70" i="6"/>
  <c r="V70" i="6" s="1"/>
  <c r="U98" i="6"/>
  <c r="V98" i="6" s="1"/>
  <c r="U114" i="6"/>
  <c r="V114" i="6" s="1"/>
  <c r="U126" i="6"/>
  <c r="V126" i="6" s="1"/>
  <c r="U130" i="6"/>
  <c r="V130" i="6" s="1"/>
  <c r="U149" i="6"/>
  <c r="V149" i="6" s="1"/>
  <c r="U192" i="6"/>
  <c r="V192" i="6" s="1"/>
  <c r="U228" i="6"/>
  <c r="V228" i="6" s="1"/>
  <c r="U338" i="6"/>
  <c r="V338" i="6" s="1"/>
  <c r="U340" i="6"/>
  <c r="V340" i="6" s="1"/>
  <c r="U363" i="6"/>
  <c r="V363" i="6" s="1"/>
  <c r="U372" i="6"/>
  <c r="V372" i="6" s="1"/>
  <c r="U381" i="6"/>
  <c r="V381" i="6" s="1"/>
  <c r="U387" i="6"/>
  <c r="V387" i="6" s="1"/>
  <c r="U51" i="6"/>
  <c r="V51" i="6" s="1"/>
  <c r="U59" i="6"/>
  <c r="V59" i="6" s="1"/>
  <c r="U82" i="6"/>
  <c r="V82" i="6" s="1"/>
  <c r="U85" i="6"/>
  <c r="V85" i="6" s="1"/>
  <c r="U110" i="6"/>
  <c r="V110" i="6" s="1"/>
  <c r="U148" i="6"/>
  <c r="V148" i="6" s="1"/>
  <c r="U161" i="6"/>
  <c r="V161" i="6" s="1"/>
  <c r="U162" i="6"/>
  <c r="V162" i="6" s="1"/>
  <c r="U164" i="6"/>
  <c r="V164" i="6" s="1"/>
  <c r="U184" i="6"/>
  <c r="V184" i="6" s="1"/>
  <c r="U196" i="6"/>
  <c r="V196" i="6" s="1"/>
  <c r="U210" i="6"/>
  <c r="V210" i="6" s="1"/>
  <c r="U216" i="6"/>
  <c r="V216" i="6" s="1"/>
  <c r="U227" i="6"/>
  <c r="V227" i="6" s="1"/>
  <c r="U239" i="6"/>
  <c r="V239" i="6" s="1"/>
  <c r="U240" i="6"/>
  <c r="V240" i="6" s="1"/>
  <c r="U356" i="6"/>
  <c r="V356" i="6" s="1"/>
  <c r="U358" i="6"/>
  <c r="V358" i="6" s="1"/>
  <c r="U369" i="6"/>
  <c r="V369" i="6" s="1"/>
  <c r="U378" i="6"/>
  <c r="V378" i="6" s="1"/>
  <c r="U385" i="6"/>
  <c r="V385" i="6" s="1"/>
  <c r="U156" i="6"/>
  <c r="V156" i="6" s="1"/>
  <c r="U191" i="6"/>
  <c r="V191" i="6" s="1"/>
  <c r="U198" i="6"/>
  <c r="V198" i="6" s="1"/>
  <c r="U203" i="6"/>
  <c r="V203" i="6" s="1"/>
  <c r="U204" i="6"/>
  <c r="V204" i="6" s="1"/>
  <c r="U222" i="6"/>
  <c r="V222" i="6" s="1"/>
  <c r="U236" i="6"/>
  <c r="V236" i="6" s="1"/>
  <c r="U57" i="6"/>
  <c r="V57" i="6" s="1"/>
  <c r="U67" i="6"/>
  <c r="V67" i="6" s="1"/>
  <c r="U104" i="6"/>
  <c r="V104" i="6" s="1"/>
  <c r="U113" i="6"/>
  <c r="V113" i="6" s="1"/>
  <c r="U119" i="6"/>
  <c r="V119" i="6" s="1"/>
  <c r="U125" i="6"/>
  <c r="V125" i="6" s="1"/>
  <c r="U134" i="6"/>
  <c r="V134" i="6" s="1"/>
  <c r="U140" i="6"/>
  <c r="V140" i="6" s="1"/>
  <c r="AE116" i="4"/>
  <c r="AE35" i="4"/>
  <c r="Q68" i="1" s="1" a="1"/>
  <c r="Q68" i="1" s="1"/>
  <c r="S68" i="15" s="1"/>
  <c r="AE250" i="4"/>
  <c r="AE86" i="4"/>
  <c r="AE243" i="4"/>
  <c r="AE191" i="4"/>
  <c r="AE156" i="4"/>
  <c r="AE133" i="4"/>
  <c r="AE218" i="4"/>
  <c r="AE93" i="4"/>
  <c r="AE20" i="4"/>
  <c r="AE128" i="4"/>
  <c r="AE182" i="4"/>
  <c r="AE104" i="4"/>
  <c r="AE235" i="4"/>
  <c r="AE183" i="4"/>
  <c r="AE69" i="4"/>
  <c r="AE97" i="4"/>
  <c r="AE237" i="4"/>
  <c r="AE188" i="4"/>
  <c r="AE185" i="4"/>
  <c r="AE155" i="4"/>
  <c r="AE110" i="4"/>
  <c r="AE108" i="4"/>
  <c r="AE68" i="4"/>
  <c r="AE153" i="4"/>
  <c r="AE174" i="4"/>
  <c r="AE127" i="4"/>
  <c r="AE230" i="4"/>
  <c r="AE179" i="4"/>
  <c r="AE91" i="4"/>
  <c r="AE144" i="4"/>
  <c r="AE101" i="4"/>
  <c r="AE2" i="4"/>
  <c r="U34" i="6"/>
  <c r="Q28" i="1" l="1" a="1"/>
  <c r="Q28" i="1" s="1"/>
  <c r="S28" i="15" s="1"/>
  <c r="V9" i="6"/>
  <c r="Q30" i="1" a="1"/>
  <c r="Q30" i="1" s="1"/>
  <c r="S30" i="15" s="1"/>
  <c r="V11" i="6"/>
  <c r="Q26" i="1" a="1"/>
  <c r="Q26" i="1" s="1"/>
  <c r="S26" i="15" s="1"/>
  <c r="V7" i="6"/>
  <c r="V46" i="6"/>
  <c r="Q86" i="1" a="1"/>
  <c r="Q86" i="1" s="1"/>
  <c r="S86" i="15" s="1"/>
  <c r="V45" i="6"/>
  <c r="Q85" i="1" a="1"/>
  <c r="Q85" i="1" s="1"/>
  <c r="S85" i="15" s="1"/>
  <c r="Q76" i="1" a="1"/>
  <c r="Q76" i="1" s="1"/>
  <c r="S76" i="15" s="1"/>
  <c r="Q81" i="1" a="1"/>
  <c r="Q81" i="1" s="1"/>
  <c r="S81" i="15" s="1"/>
  <c r="Q75" i="1" a="1"/>
  <c r="Q75" i="1" s="1"/>
  <c r="S75" i="15" s="1"/>
  <c r="Q74" i="1" a="1"/>
  <c r="Q74" i="1" s="1"/>
  <c r="S74" i="15" s="1"/>
  <c r="Q79" i="1" a="1"/>
  <c r="Q79" i="1" s="1"/>
  <c r="S79" i="15" s="1"/>
  <c r="Q82" i="1" a="1"/>
  <c r="Q82" i="1" s="1"/>
  <c r="S82" i="15" s="1"/>
  <c r="Q78" i="1" a="1"/>
  <c r="Q78" i="1" s="1"/>
  <c r="S78" i="15" s="1"/>
  <c r="Q80" i="1" a="1"/>
  <c r="Q80" i="1" s="1"/>
  <c r="S80" i="15" s="1"/>
  <c r="Q83" i="1" a="1"/>
  <c r="Q83" i="1" s="1"/>
  <c r="S83" i="15" s="1"/>
  <c r="Q84" i="1" a="1"/>
  <c r="Q84" i="1" s="1"/>
  <c r="S84" i="15" s="1"/>
  <c r="V34" i="6"/>
  <c r="Q70" i="1" a="1"/>
  <c r="Q70" i="1" s="1"/>
  <c r="S70" i="1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<sst xmlns="http://schemas.openxmlformats.org/spreadsheetml/2006/main" count="1255" uniqueCount="760">
  <si>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</si>
  <si>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</si>
  <si>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</si>
  <si>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</si>
  <si>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</si>
  <si>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</si>
  <si>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</si>
  <si>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</si>
  <si>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</si>
  <si>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</si>
  <si>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</si>
  <si>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</si>
  <si>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</si>
  <si>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</si>
  <si>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</si>
  <si>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</si>
  <si>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</si>
  <si>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</si>
  <si>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</si>
  <si>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</si>
  <si>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</si>
  <si>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</si>
  <si>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</si>
  <si>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</si>
  <si>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</si>
  <si>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</si>
  <si>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</si>
  <si>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</si>
  <si>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</si>
  <si>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</si>
  <si>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</si>
  <si>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</si>
  <si>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</si>
  <si>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</si>
  <si>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</si>
  <si>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</si>
  <si>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</si>
  <si>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</si>
  <si>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</si>
  <si>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</si>
  <si>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</si>
  <si>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</si>
  <si>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</si>
  <si>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</si>
  <si>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</si>
  <si>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</si>
  <si>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</si>
  <si>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</si>
  <si>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</si>
  <si>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</si>
  <si>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</si>
  <si>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</si>
  <si>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</si>
  <si>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</si>
  <si>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</si>
  <si>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</si>
  <si>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</si>
  <si>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</si>
  <si>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</si>
  <si>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</si>
  <si>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</si>
  <si>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</si>
  <si>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</si>
  <si>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</si>
  <si>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</si>
  <si>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</si>
  <si>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</si>
  <si>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</si>
  <si>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</si>
  <si>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</si>
  <si>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</si>
  <si>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</si>
  <si>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</si>
  <si>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</si>
  <si>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</si>
  <si>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</si>
  <si>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</si>
  <si>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</si>
  <si>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</si>
  <si>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</si>
  <si>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</si>
  <si>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</si>
  <si>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</si>
  <si>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</si>
  <si>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</si>
  <si>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</si>
  <si>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</si>
  <si>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</si>
  <si>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</si>
  <si>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</si>
  <si>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</si>
  <si>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</si>
  <si>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</si>
  <si>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</si>
  <si>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</si>
  <si>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</si>
  <si>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</si>
  <si>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</si>
  <si>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</si>
  <si>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</si>
  <si>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</si>
  <si>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</si>
  <si>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</si>
  <si>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</si>
  <si>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</si>
  <si>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</si>
  <si>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</si>
  <si>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</si>
  <si>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</si>
  <si>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</si>
  <si>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</si>
  <si>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</si>
  <si>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</si>
  <si>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</si>
  <si>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</si>
  <si>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</si>
  <si>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</si>
  <si>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</si>
  <si>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</si>
  <si>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</si>
  <si>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</si>
  <si>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</si>
  <si>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</si>
  <si>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</si>
  <si>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</si>
  <si>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</si>
  <si>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</si>
  <si>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</si>
  <si>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</si>
  <si>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</si>
  <si>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</si>
  <si>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</si>
  <si>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</si>
  <si>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</si>
  <si>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</si>
  <si>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</si>
  <si>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</si>
  <si>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</si>
  <si>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</si>
  <si>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</si>
  <si>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</si>
  <si>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</si>
  <si>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</si>
  <si>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</si>
  <si>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</si>
  <si>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</si>
  <si>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</si>
  <si>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</si>
  <si>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</si>
  <si>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</si>
  <si>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</si>
  <si>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</si>
  <si>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</si>
  <si>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</si>
  <si>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</si>
  <si>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</si>
  <si>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</si>
  <si>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</si>
  <si>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</si>
  <si>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</si>
  <si>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</si>
  <si>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</si>
  <si>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</si>
  <si>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</si>
  <si>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</si>
  <si>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</si>
  <si>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</si>
  <si>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</si>
  <si>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</si>
  <si>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</si>
  <si>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</si>
  <si>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</si>
  <si>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</si>
  <si>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</si>
  <si>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</si>
  <si>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</si>
  <si>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</si>
  <si>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</si>
  <si>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</si>
  <si>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</si>
  <si>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</si>
  <si>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</si>
  <si>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</si>
  <si>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</si>
  <si>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</si>
  <si>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</si>
  <si>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</si>
  <si>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</si>
  <si>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</si>
  <si>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</si>
  <si>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</si>
  <si>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</si>
  <si>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</si>
  <si>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</si>
  <si>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</si>
  <si>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</si>
  <si>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</si>
  <si>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</si>
  <si>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</si>
  <si>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</si>
  <si>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</si>
  <si>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</si>
  <si>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</si>
  <si>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</si>
  <si>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</si>
  <si>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</si>
  <si>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</si>
  <si>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</si>
  <si>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</si>
  <si>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</si>
  <si>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</si>
  <si>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</si>
  <si>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</si>
  <si>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</si>
  <si>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</si>
  <si>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</si>
  <si>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</si>
  <si>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</si>
  <si>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</si>
  <si>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</si>
  <si>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</si>
  <si>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</si>
  <si>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</si>
  <si>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</si>
  <si>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</si>
  <si>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</si>
  <si>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</si>
  <si>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</si>
  <si>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</si>
  <si>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</si>
  <si>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</si>
  <si>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</si>
  <si>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</si>
  <si>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</si>
  <si>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</si>
  <si>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</si>
  <si>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</si>
  <si>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</si>
  <si>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</si>
  <si>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</si>
  <si>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</si>
  <si>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</si>
  <si>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</si>
  <si>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</si>
  <si>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</si>
  <si>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</si>
  <si>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</si>
  <si>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</si>
  <si>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</si>
  <si>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</si>
  <si>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</si>
  <si>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</si>
  <si>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</si>
  <si>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</si>
  <si>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</si>
  <si>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</si>
  <si>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</si>
  <si>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</si>
  <si>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</si>
  <si>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</si>
  <si>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</si>
  <si>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</si>
  <si>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</si>
  <si>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</si>
  <si>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</si>
  <si>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</si>
  <si>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</si>
  <si>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</si>
  <si>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</si>
  <si>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</si>
  <si>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</si>
  <si>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</si>
  <si>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</si>
  <si>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</si>
  <si>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</si>
  <si>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</si>
  <si>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</si>
  <si>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</si>
  <si>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</si>
  <si>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</si>
  <si>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</si>
  <si>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</si>
  <si>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</si>
  <si>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</si>
  <si>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</si>
  <si>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</si>
  <si>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</si>
  <si>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</si>
  <si>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</si>
  <si>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</si>
  <si>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</si>
  <si>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</si>
  <si>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</si>
  <si>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</si>
  <si>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</si>
  <si>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</si>
  <si>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</si>
  <si>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</si>
  <si>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</si>
  <si>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</si>
  <si>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</si>
  <si>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</si>
  <si>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</si>
  <si>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</si>
  <si>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</si>
  <si>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</si>
  <si>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</si>
  <si>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</si>
  <si>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</si>
  <si>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</si>
  <si>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</si>
  <si>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</si>
  <si>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</si>
  <si>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</si>
  <si>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</si>
  <si>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</si>
  <si>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</si>
  <si>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</si>
  <si>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</si>
  <si>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</si>
  <si>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</si>
  <si>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</si>
  <si>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</si>
  <si>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</si>
  <si>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</si>
  <si>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</si>
  <si>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</si>
  <si>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</si>
  <si>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</si>
  <si>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</si>
  <si>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</si>
  <si>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</si>
  <si>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</si>
  <si>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</si>
  <si>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</si>
  <si>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</si>
  <si>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</si>
  <si>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</si>
  <si>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</si>
  <si>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</si>
  <si>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</si>
  <si>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</si>
  <si>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</si>
  <si>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</si>
  <si>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</si>
  <si>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</si>
  <si>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</si>
  <si>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</si>
  <si>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</si>
  <si>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</si>
  <si>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</si>
  <si>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</si>
  <si>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</si>
  <si>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</si>
  <si>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</si>
  <si>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</si>
  <si>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</si>
  <si>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</si>
  <si>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</si>
  <si>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</si>
  <si>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</si>
  <si>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</si>
  <si>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</si>
  <si>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</si>
  <si>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</si>
  <si>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</si>
  <si>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</si>
  <si>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</si>
  <si>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</si>
  <si>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</si>
  <si>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</si>
  <si>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</si>
  <si>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</si>
  <si>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</si>
  <si>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</si>
  <si>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</si>
  <si>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</si>
  <si>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</si>
  <si>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</si>
  <si>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</si>
  <si>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</si>
  <si>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</si>
  <si>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</si>
  <si>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</si>
  <si>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</si>
  <si>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</si>
  <si>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</si>
  <si>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</si>
  <si>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</si>
  <si>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</si>
  <si>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</si>
  <si>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</si>
  <si>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</si>
  <si>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</si>
  <si>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</si>
  <si>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</si>
  <si>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</si>
  <si>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</si>
  <si>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</si>
  <si>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</si>
  <si>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</si>
  <si>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</si>
  <si>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</si>
  <si>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</si>
  <si>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</si>
  <si>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</si>
  <si>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</si>
  <si>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</si>
  <si>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</si>
  <si>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</si>
  <si>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</si>
  <si>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</si>
  <si>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</si>
  <si>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</si>
  <si>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</si>
  <si>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</si>
  <si>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</si>
  <si>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</si>
  <si>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</si>
  <si>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</si>
  <si>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</si>
  <si>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</si>
  <si>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</si>
  <si>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</si>
  <si>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</si>
  <si>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</si>
  <si>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</si>
  <si>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</si>
  <si>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</si>
  <si>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</si>
  <si>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</si>
  <si>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</si>
  <si>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</si>
  <si>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</si>
  <si>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</si>
  <si>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</si>
  <si>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</si>
  <si>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</si>
  <si>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</si>
  <si>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</si>
  <si>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</si>
  <si>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</si>
  <si>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</si>
  <si>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</si>
  <si>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</si>
  <si>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</si>
  <si>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</si>
  <si>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</si>
  <si>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</si>
  <si>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</si>
  <si>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</si>
  <si>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</si>
  <si>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</si>
  <si>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</si>
  <si>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</si>
  <si>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</si>
  <si>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</si>
  <si>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</si>
  <si>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</si>
  <si>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</si>
  <si>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</si>
  <si>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</si>
  <si>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</si>
  <si>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</si>
  <si>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</si>
  <si>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</si>
  <si>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</si>
  <si>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</si>
  <si>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</si>
  <si>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</si>
  <si>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</si>
  <si>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</si>
  <si>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</si>
  <si>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</si>
  <si>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</si>
  <si>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</si>
  <si>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</si>
  <si>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</si>
  <si>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</si>
  <si>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</si>
  <si>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</si>
  <si>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</si>
  <si>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</si>
  <si>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</si>
  <si>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</si>
  <si>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</si>
  <si>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</si>
  <si>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</si>
  <si>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</si>
  <si>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Yes/No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</si>
  <si>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</si>
  <si>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</si>
  <si>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</si>
  <si>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</si>
  <si>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</si>
  <si>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</si>
  <si>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</si>
  <si>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</si>
  <si>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</si>
  <si>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</si>
  <si>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</si>
  <si>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</si>
  <si>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</si>
  <si>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</si>
  <si>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</si>
  <si>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</si>
  <si>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SHR</t>
  </si>
  <si>
    <t>XXX</t>
  </si>
  <si>
    <t>Mac16,12</t>
  </si>
  <si>
    <t>X</t>
  </si>
  <si>
    <t>failed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</si>
  <si>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</si>
  <si>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</si>
  <si>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</si>
  <si>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</si>
  <si>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</si>
  <si>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</si>
  <si>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</si>
  <si>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</si>
  <si>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</si>
  <si>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</si>
  <si>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</si>
  <si>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</si>
  <si>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</si>
  <si>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</si>
  <si>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</si>
  <si>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</si>
  <si>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</si>
  <si>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</si>
  <si>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</si>
  <si>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</si>
  <si>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</si>
  <si>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</si>
  <si>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</si>
  <si>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</si>
  <si>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</si>
  <si>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</si>
  <si>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</si>
  <si>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</si>
  <si>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</si>
  <si>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</si>
  <si>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</si>
  <si>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 xml:space="preserve">successful  </t>
  </si>
  <si>
    <t>IntelPart</t>
  </si>
  <si>
    <t>IntelCode</t>
  </si>
  <si>
    <t>category</t>
  </si>
  <si>
    <t>code</t>
  </si>
  <si>
    <t>description</t>
  </si>
  <si>
    <t>ITAD description</t>
  </si>
  <si>
    <t>LPT001</t>
  </si>
  <si>
    <t>a/c adapter defect</t>
  </si>
  <si>
    <t>LPT002</t>
  </si>
  <si>
    <t>a/c adapter missing</t>
  </si>
  <si>
    <t>LPT010</t>
  </si>
  <si>
    <t>backlight defect</t>
  </si>
  <si>
    <t>LPT012</t>
  </si>
  <si>
    <t>badge missing</t>
  </si>
  <si>
    <t>LPT013</t>
  </si>
  <si>
    <t>battery bay defect</t>
  </si>
  <si>
    <t>LPT014</t>
  </si>
  <si>
    <t>battery defect</t>
  </si>
  <si>
    <t>Battery C,Battery D</t>
  </si>
  <si>
    <t>LPT016</t>
  </si>
  <si>
    <t>battery missing</t>
  </si>
  <si>
    <t>LPT018</t>
  </si>
  <si>
    <t>bezel defect</t>
  </si>
  <si>
    <t>LPT019</t>
  </si>
  <si>
    <t>bezel missing</t>
  </si>
  <si>
    <t>LPT020</t>
  </si>
  <si>
    <t>bios failure</t>
  </si>
  <si>
    <t>LPT027</t>
  </si>
  <si>
    <t>cable missing</t>
  </si>
  <si>
    <t>LPT030</t>
  </si>
  <si>
    <t>case cracked major</t>
  </si>
  <si>
    <t>LPT031</t>
  </si>
  <si>
    <t>case cracked minor</t>
  </si>
  <si>
    <t>LPT032</t>
  </si>
  <si>
    <t>case dent major</t>
  </si>
  <si>
    <t>Chassis damage C,Chassis damage D</t>
  </si>
  <si>
    <t>LPT033</t>
  </si>
  <si>
    <t>case dent minor</t>
  </si>
  <si>
    <t>Chassis damage B</t>
  </si>
  <si>
    <t>LPT034</t>
  </si>
  <si>
    <t>case discoloration</t>
  </si>
  <si>
    <t>Label marks B,Label marks C,Label marks D</t>
  </si>
  <si>
    <t>LPT037</t>
  </si>
  <si>
    <t>case scratched major</t>
  </si>
  <si>
    <t>LPT038</t>
  </si>
  <si>
    <t>case scratched minor</t>
  </si>
  <si>
    <t>LPT040</t>
  </si>
  <si>
    <t>charger entry point defect</t>
  </si>
  <si>
    <t>Charging port defect</t>
  </si>
  <si>
    <t>LPT041</t>
  </si>
  <si>
    <t>control panel defect</t>
  </si>
  <si>
    <t>LPT042</t>
  </si>
  <si>
    <t>control panel missing</t>
  </si>
  <si>
    <t>LPT043</t>
  </si>
  <si>
    <t>cover defect</t>
  </si>
  <si>
    <t>LPT044</t>
  </si>
  <si>
    <t>cover missing</t>
  </si>
  <si>
    <t>LPT046</t>
  </si>
  <si>
    <t>cpu missing</t>
  </si>
  <si>
    <t>LPT051</t>
  </si>
  <si>
    <t>display brigthness major</t>
  </si>
  <si>
    <t>LPT052</t>
  </si>
  <si>
    <t>display brigthness minor</t>
  </si>
  <si>
    <t>LPT053</t>
  </si>
  <si>
    <t>display burnt-in</t>
  </si>
  <si>
    <t>LPT054</t>
  </si>
  <si>
    <t>display coating major</t>
  </si>
  <si>
    <t>LPT055</t>
  </si>
  <si>
    <t>display coating minor</t>
  </si>
  <si>
    <t>LPT056</t>
  </si>
  <si>
    <t>display colour major</t>
  </si>
  <si>
    <t>Display C,Display D</t>
  </si>
  <si>
    <t>LPT057</t>
  </si>
  <si>
    <t>display colour minor</t>
  </si>
  <si>
    <t>Display B</t>
  </si>
  <si>
    <t>LPT058</t>
  </si>
  <si>
    <t>display cracked</t>
  </si>
  <si>
    <t>Broken screen</t>
  </si>
  <si>
    <t>LPT063</t>
  </si>
  <si>
    <t>display flickering</t>
  </si>
  <si>
    <t>LPT067</t>
  </si>
  <si>
    <t>display mark bright major</t>
  </si>
  <si>
    <t>LED spot C,LED spot D</t>
  </si>
  <si>
    <t>LPT068</t>
  </si>
  <si>
    <t>display mark bright minor</t>
  </si>
  <si>
    <t>LED spot B</t>
  </si>
  <si>
    <t>LPT069</t>
  </si>
  <si>
    <t>display mark dark major</t>
  </si>
  <si>
    <t>LPT070</t>
  </si>
  <si>
    <t>display mark dark minor</t>
  </si>
  <si>
    <t>LPT071</t>
  </si>
  <si>
    <t>display missing</t>
  </si>
  <si>
    <t>LPT072</t>
  </si>
  <si>
    <t>display pixel failure major</t>
  </si>
  <si>
    <t>Screen defect</t>
  </si>
  <si>
    <t>LPT073</t>
  </si>
  <si>
    <t>display pixel failure minor</t>
  </si>
  <si>
    <t>LPT074</t>
  </si>
  <si>
    <t>display pressure points major</t>
  </si>
  <si>
    <t>LPT075</t>
  </si>
  <si>
    <t>display pressure points minor</t>
  </si>
  <si>
    <t>LPT076</t>
  </si>
  <si>
    <t>display scratched major</t>
  </si>
  <si>
    <t>Screen scratches C,Screen scratches D</t>
  </si>
  <si>
    <t>LPT077</t>
  </si>
  <si>
    <t>display scratched minor</t>
  </si>
  <si>
    <t>Screen scratches B</t>
  </si>
  <si>
    <t>LPT078</t>
  </si>
  <si>
    <t>doa unspecified</t>
  </si>
  <si>
    <t>LPT083</t>
  </si>
  <si>
    <t>fan defect</t>
  </si>
  <si>
    <t>LPT084</t>
  </si>
  <si>
    <t>fan missing</t>
  </si>
  <si>
    <t>LPT090</t>
  </si>
  <si>
    <t>foreign keyboard</t>
  </si>
  <si>
    <t>US kb,Foreign kb</t>
  </si>
  <si>
    <t>LPT097</t>
  </si>
  <si>
    <t>data carrier adapter is missing</t>
  </si>
  <si>
    <t>LPT098</t>
  </si>
  <si>
    <t>data carrier defect</t>
  </si>
  <si>
    <t>LPT099</t>
  </si>
  <si>
    <t>data carrier frame defect</t>
  </si>
  <si>
    <t>LPT100</t>
  </si>
  <si>
    <t>data carrier frame missing</t>
  </si>
  <si>
    <t>LPT101</t>
  </si>
  <si>
    <t>data carrier missing</t>
  </si>
  <si>
    <t>LPT102</t>
  </si>
  <si>
    <t>hinge defect</t>
  </si>
  <si>
    <t>LPT104</t>
  </si>
  <si>
    <t>i/o ports defect</t>
  </si>
  <si>
    <t>LPT107</t>
  </si>
  <si>
    <t>keyboard defect</t>
  </si>
  <si>
    <t>Sticky kb</t>
  </si>
  <si>
    <t>LPT108</t>
  </si>
  <si>
    <t>keyboard keys missing</t>
  </si>
  <si>
    <t>LPT109</t>
  </si>
  <si>
    <t>keyboard missing</t>
  </si>
  <si>
    <t>LPT110</t>
  </si>
  <si>
    <t>keyboard worn out</t>
  </si>
  <si>
    <t>LPT115</t>
  </si>
  <si>
    <t>lid clip defect</t>
  </si>
  <si>
    <t>LPT116</t>
  </si>
  <si>
    <t>liquid damage</t>
  </si>
  <si>
    <t>LPT119</t>
  </si>
  <si>
    <t>locked - key missing</t>
  </si>
  <si>
    <t>LPT120</t>
  </si>
  <si>
    <t>mainboard defect</t>
  </si>
  <si>
    <t>bad MB</t>
  </si>
  <si>
    <t>LPT123</t>
  </si>
  <si>
    <t>memory defect</t>
  </si>
  <si>
    <t>LPT124</t>
  </si>
  <si>
    <t>memory missing</t>
  </si>
  <si>
    <t>LPT131</t>
  </si>
  <si>
    <t>no audit</t>
  </si>
  <si>
    <t>LPT133</t>
  </si>
  <si>
    <t>no picture</t>
  </si>
  <si>
    <t>LPT135</t>
  </si>
  <si>
    <t>non removable asset tag</t>
  </si>
  <si>
    <t>LPT136</t>
  </si>
  <si>
    <t>non removable asset tag sanded down</t>
  </si>
  <si>
    <t>LPT140</t>
  </si>
  <si>
    <t>oem sticker missing</t>
  </si>
  <si>
    <t>LPT141</t>
  </si>
  <si>
    <t>optical drive defect</t>
  </si>
  <si>
    <t>LPT142</t>
  </si>
  <si>
    <t>optical drive missing</t>
  </si>
  <si>
    <t>LPT144</t>
  </si>
  <si>
    <t>outdated</t>
  </si>
  <si>
    <t>LPT151</t>
  </si>
  <si>
    <t>password protected</t>
  </si>
  <si>
    <t>LPT169</t>
  </si>
  <si>
    <t>required docking defect</t>
  </si>
  <si>
    <t>LPT170</t>
  </si>
  <si>
    <t>required docking missing</t>
  </si>
  <si>
    <t>LPT172</t>
  </si>
  <si>
    <t>see remarks</t>
  </si>
  <si>
    <t>LPT182</t>
  </si>
  <si>
    <t>stripped</t>
  </si>
  <si>
    <t>LPT183</t>
  </si>
  <si>
    <t>stylus defect</t>
  </si>
  <si>
    <t>LPT184</t>
  </si>
  <si>
    <t>stylus missing</t>
  </si>
  <si>
    <t>LPT189</t>
  </si>
  <si>
    <t>touchpad defect</t>
  </si>
  <si>
    <t>TP defect</t>
  </si>
  <si>
    <t>LPT190</t>
  </si>
  <si>
    <t>touchpad faded</t>
  </si>
  <si>
    <t>TP discolored</t>
  </si>
  <si>
    <t>LPT191</t>
  </si>
  <si>
    <t>touchpad missing</t>
  </si>
  <si>
    <t>LPT192</t>
  </si>
  <si>
    <t>touchscreen defect</t>
  </si>
  <si>
    <t>LPT199</t>
  </si>
  <si>
    <t>webcam defect</t>
  </si>
  <si>
    <t>LPT201</t>
  </si>
  <si>
    <t>wifi defect</t>
  </si>
  <si>
    <t>LPT202</t>
  </si>
  <si>
    <t>wifi missing</t>
  </si>
  <si>
    <t>PTB Project No</t>
  </si>
  <si>
    <t>PTB Description</t>
  </si>
  <si>
    <t>Collection Date</t>
  </si>
  <si>
    <t>Item No</t>
  </si>
  <si>
    <t>Serial No</t>
  </si>
  <si>
    <t>Client asset tag</t>
  </si>
  <si>
    <t>3rd Party No / IMEI No</t>
  </si>
  <si>
    <t>Category</t>
  </si>
  <si>
    <t>Model No</t>
  </si>
  <si>
    <t>Purchase Description</t>
  </si>
  <si>
    <t>Diagnostic Codes</t>
  </si>
  <si>
    <t>Item Remark</t>
  </si>
  <si>
    <t>Grade</t>
  </si>
  <si>
    <t>Item Status</t>
  </si>
  <si>
    <t>Weight (kg)</t>
  </si>
  <si>
    <t>Blancco Result</t>
  </si>
  <si>
    <t>Additional data deletions (if yes provide qty)</t>
  </si>
  <si>
    <t>Proposed Purchase price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</si>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</sst>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8"/>
      <color rgb="FFFFFFFF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54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10" fillId="0" borderId="0" xfId="0" applyFont="1"/>
    <xf numFmtId="0" fontId="10" fillId="0" borderId="2" xfId="0" applyFont="1" applyBorder="1" applyAlignment="1">
      <alignment wrapText="1"/>
    </xf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  <xf numFmtId="0" fontId="3" fillId="7" borderId="2" xfId="0" applyFont="1" applyFill="1" applyBorder="1" applyAlignment="1">
      <alignment wrapText="1"/>
    </xf>
    <xf numFmtId="0" fontId="0" fillId="0" borderId="8" xfId="0" applyBorder="1"/>
    <xf numFmtId="0" fontId="0" fillId="0" borderId="9" xfId="0" applyBorder="1"/>
    <xf numFmtId="0" fontId="12" fillId="8" borderId="6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vertical="center" wrapText="1"/>
    </xf>
    <xf numFmtId="0" fontId="3" fillId="9" borderId="7" xfId="0" applyFont="1" applyFill="1" applyBorder="1" applyAlignment="1">
      <alignment vertical="center" wrapText="1"/>
    </xf>
    <xf numFmtId="0" fontId="12" fillId="8" borderId="7" xfId="0" applyFont="1" applyFill="1" applyBorder="1" applyAlignment="1">
      <alignment vertical="center" wrapText="1"/>
    </xf>
    <xf numFmtId="0" fontId="12" fillId="10" borderId="7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vertical="center" wrapText="1"/>
    </xf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132.497608449077" createdVersion="8" refreshedVersion="8" minRefreshableVersion="3" recordCount="1000" xr:uid="{ED94AB4B-4EB7-4768-82BF-9E9AE399EFE7}">
  <cacheSource type="worksheet">
    <worksheetSource ref="A1:AC1048576" sheet="Disk_Pivot_Data"/>
  </cacheSource>
  <cacheFields count="29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omment9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Memory capacit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5">
        <s v=""/>
        <m/>
        <s v="successful  "/>
        <s v="failed"/>
        <s v="Successfu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C4" firstHeaderRow="1" firstDataRow="2" firstDataCol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m="1" x="4"/>
        <item h="1" x="1"/>
        <item h="1" x="2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28"/>
  </colFields>
  <colItems count="2">
    <i>
      <x v="1"/>
    </i>
    <i t="grand">
      <x/>
    </i>
  </colItems>
  <dataFields count="1">
    <dataField name="Count of Successful / Failed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F1048576" totalsRowShown="0" tableBorderDxfId="5">
  <autoFilter ref="D1:AF1048576" xr:uid="{29308B2E-F192-42B4-8523-53AD44BB76CD}"/>
  <tableColumns count="29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2" xr3:uid="{DB98B945-3709-420E-924A-FFA918C4CDFC}" name="CPU model"/>
    <tableColumn id="23" xr3:uid="{D44E1F9F-981A-4F98-BD6C-E86E2C91E7D5}" name="Memory capacit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245"/>
  <sheetViews>
    <sheetView topLeftCell="B1" workbookViewId="0">
      <selection activeCell="G21" sqref="G21"/>
    </sheetView>
  </sheetViews>
  <sheetFormatPr defaultRowHeight="15"/>
  <cols>
    <col min="1" max="1" width="9.42578125" style="2" hidden="1" customWidth="1"/>
    <col min="2" max="2" width="26" style="2" customWidth="1"/>
    <col min="3" max="3" width="18.7109375" style="2" customWidth="1"/>
    <col min="4" max="4" width="7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ht="18" thickBot="1">
      <c r="A1" s="1" t="s">
        <v>495</v>
      </c>
      <c r="B1" s="1" t="s">
        <v>496</v>
      </c>
      <c r="C1" s="1" t="s">
        <v>59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39" t="s">
        <v>494</v>
      </c>
    </row>
    <row r="2" spans="1:24" ht="15.75" thickTop="1">
      <c r="A2" s="2" t="str">
        <f>_xlfn.TEXTJOIN("",TRUE,Input!$B$2,"0",ROW(My_Audit!A1))</f>
        <v>X01</v>
      </c>
      <c r="B2" s="2" t="str">
        <f>_xlfn.TEXTJOIN("-",TRUE,"ITD",Input!$A$2,A2)</f>
        <v>ITD-SHR-X01</v>
      </c>
      <c r="C2" s="2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2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2" t="str">
        <f>_xlfn.XLOOKUP(A2,My_Audit!A:A,My_Audit!D:D,"")&amp;""</f>
        <v/>
      </c>
      <c r="F2" s="2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2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2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2" t="str">
        <f>_xlfn.XLOOKUP(A2,Output_Mac!A:A,Output_Mac!I:I,"")</f>
        <v/>
      </c>
      <c r="J2" s="2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2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2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2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O2" s="2" t="str">
        <f>_xlfn.LET(
    _xlpm.CSVVal, _xlfn.XLOOKUP($A2, CSV!$A:$A, CSV!AC:AC,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2" t="str" cm="1">
        <f t="array" ref="P2">IFERROR(_xlfn.LET(
_xlpm.CSVVal,_xlfn.XLOOKUP($A2,CSV!$A:$A,CSV!AD:AD,""),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2" t="str" cm="1">
        <f t="array" ref="Q2">IFERROR(_xlfn.LET(
_xlpm.CSVVal,_xlfn.XLOOKUP($A2,CSV!$A:$A,CSV!AE:AE,""),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X2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2" t="str">
        <f>_xlfn.TEXTJOIN("",TRUE,Input!$B$2,"0",ROW(My_Audit!A2))</f>
        <v>X02</v>
      </c>
      <c r="B3" s="2" t="str">
        <f>_xlfn.TEXTJOIN("-",TRUE,"ITD",Input!$A$2,A3)</f>
        <v>ITD-SHR-X02</v>
      </c>
      <c r="C3" s="2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2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2" t="str">
        <f>_xlfn.XLOOKUP(A3,My_Audit!A:A,My_Audit!D:D,"")&amp;""</f>
        <v/>
      </c>
      <c r="F3" s="2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2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2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2" t="str">
        <f>_xlfn.XLOOKUP(A3,Output_Mac!A:A,Output_Mac!I:I,"")</f>
        <v/>
      </c>
      <c r="J3" s="2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2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2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2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O3" s="2" t="str">
        <f>_xlfn.LET(
    _xlpm.CSVVal, _xlfn.XLOOKUP($A3, CSV!$A:$A, CSV!AC:AC,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2" t="str" cm="1">
        <f t="array" ref="P3">IFERROR(_xlfn.LET(
_xlpm.CSVVal,_xlfn.XLOOKUP($A3,CSV!$A:$A,CSV!AD:AD,""),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2" t="str" cm="1">
        <f t="array" ref="Q3">IFERROR(_xlfn.LET(
_xlpm.CSVVal,_xlfn.XLOOKUP($A3,CSV!$A:$A,CSV!AE:AE,""),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X3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2" t="str">
        <f>_xlfn.TEXTJOIN("",TRUE,Input!$B$2,"0",ROW(My_Audit!A3))</f>
        <v>X03</v>
      </c>
      <c r="B4" s="2" t="str">
        <f>_xlfn.TEXTJOIN("-",TRUE,"ITD",Input!$A$2,A4)</f>
        <v>ITD-SHR-X03</v>
      </c>
      <c r="C4" s="2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2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2" t="str">
        <f>_xlfn.XLOOKUP(A4,My_Audit!A:A,My_Audit!D:D,"")&amp;""</f>
        <v/>
      </c>
      <c r="F4" s="2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2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2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2" t="str">
        <f>_xlfn.XLOOKUP(A4,Output_Mac!A:A,Output_Mac!I:I,"")</f>
        <v/>
      </c>
      <c r="J4" s="2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2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2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2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O4" s="2" t="str">
        <f>_xlfn.LET(
    _xlpm.CSVVal, _xlfn.XLOOKUP($A4, CSV!$A:$A, CSV!AC:AC,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2" t="str" cm="1">
        <f t="array" ref="P4">IFERROR(_xlfn.LET(
_xlpm.CSVVal,_xlfn.XLOOKUP($A4,CSV!$A:$A,CSV!AD:AD,""),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2" t="str" cm="1">
        <f t="array" ref="Q4">IFERROR(_xlfn.LET(
_xlpm.CSVVal,_xlfn.XLOOKUP($A4,CSV!$A:$A,CSV!AE:AE,""),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X4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2" t="str">
        <f>_xlfn.TEXTJOIN("",TRUE,Input!$B$2,"0",ROW(My_Audit!A4))</f>
        <v>X04</v>
      </c>
      <c r="B5" s="2" t="str">
        <f>_xlfn.TEXTJOIN("-",TRUE,"ITD",Input!$A$2,A5)</f>
        <v>ITD-SHR-X04</v>
      </c>
      <c r="C5" s="2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2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2" t="str">
        <f>_xlfn.XLOOKUP(A5,My_Audit!A:A,My_Audit!D:D,"")&amp;""</f>
        <v/>
      </c>
      <c r="F5" s="2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2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2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2" t="str">
        <f>_xlfn.XLOOKUP(A5,Output_Mac!A:A,Output_Mac!I:I,"")</f>
        <v/>
      </c>
      <c r="J5" s="2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2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2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2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O5" s="2" t="str">
        <f>_xlfn.LET(
    _xlpm.CSVVal, _xlfn.XLOOKUP($A5, CSV!$A:$A, CSV!AC:AC,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2" t="str" cm="1">
        <f t="array" ref="P5">IFERROR(_xlfn.LET(
_xlpm.CSVVal,_xlfn.XLOOKUP($A5,CSV!$A:$A,CSV!AD:AD,""),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2" t="str" cm="1">
        <f t="array" ref="Q5">IFERROR(_xlfn.LET(
_xlpm.CSVVal,_xlfn.XLOOKUP($A5,CSV!$A:$A,CSV!AE:AE,""),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X5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2" t="str">
        <f>_xlfn.TEXTJOIN("",TRUE,Input!$B$2,"0",ROW(My_Audit!A5))</f>
        <v>X05</v>
      </c>
      <c r="B6" s="2" t="str">
        <f>_xlfn.TEXTJOIN("-",TRUE,"ITD",Input!$A$2,A6)</f>
        <v>ITD-SHR-X05</v>
      </c>
      <c r="C6" s="2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2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2" t="str">
        <f>_xlfn.XLOOKUP(A6,My_Audit!A:A,My_Audit!D:D,"")&amp;""</f>
        <v/>
      </c>
      <c r="F6" s="2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2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2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2" t="str">
        <f>_xlfn.XLOOKUP(A6,Output_Mac!A:A,Output_Mac!I:I,"")</f>
        <v/>
      </c>
      <c r="J6" s="2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2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2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2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O6" s="2" t="str">
        <f>_xlfn.LET(
    _xlpm.CSVVal, _xlfn.XLOOKUP($A6, CSV!$A:$A, CSV!AC:AC,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2" t="str" cm="1">
        <f t="array" ref="P6">IFERROR(_xlfn.LET(
_xlpm.CSVVal,_xlfn.XLOOKUP($A6,CSV!$A:$A,CSV!AD:AD,""),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2" t="str" cm="1">
        <f t="array" ref="Q6">IFERROR(_xlfn.LET(
_xlpm.CSVVal,_xlfn.XLOOKUP($A6,CSV!$A:$A,CSV!AE:AE,""),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X6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2" t="str">
        <f>_xlfn.TEXTJOIN("",TRUE,Input!$B$2,"0",ROW(My_Audit!A6))</f>
        <v>X06</v>
      </c>
      <c r="B7" s="2" t="str">
        <f>_xlfn.TEXTJOIN("-",TRUE,"ITD",Input!$A$2,A7)</f>
        <v>ITD-SHR-X06</v>
      </c>
      <c r="C7" s="2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2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2" t="str">
        <f>_xlfn.XLOOKUP(A7,My_Audit!A:A,My_Audit!D:D,"")&amp;""</f>
        <v/>
      </c>
      <c r="F7" s="2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2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2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2" t="str">
        <f>_xlfn.XLOOKUP(A7,Output_Mac!A:A,Output_Mac!I:I,"")</f>
        <v/>
      </c>
      <c r="J7" s="2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2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2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2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O7" s="2" t="str">
        <f>_xlfn.LET(
    _xlpm.CSVVal, _xlfn.XLOOKUP($A7, CSV!$A:$A, CSV!AC:AC,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2" t="str" cm="1">
        <f t="array" ref="P7">IFERROR(_xlfn.LET(
_xlpm.CSVVal,_xlfn.XLOOKUP($A7,CSV!$A:$A,CSV!AD:AD,""),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2" t="str" cm="1">
        <f t="array" ref="Q7">IFERROR(_xlfn.LET(
_xlpm.CSVVal,_xlfn.XLOOKUP($A7,CSV!$A:$A,CSV!AE:AE,""),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X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2" t="str">
        <f>_xlfn.TEXTJOIN("",TRUE,Input!$B$2,"0",ROW(My_Audit!A7))</f>
        <v>X07</v>
      </c>
      <c r="B8" s="2" t="str">
        <f>_xlfn.TEXTJOIN("-",TRUE,"ITD",Input!$A$2,A8)</f>
        <v>ITD-SHR-X07</v>
      </c>
      <c r="C8" s="2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2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2" t="str">
        <f>_xlfn.XLOOKUP(A8,My_Audit!A:A,My_Audit!D:D,"")&amp;""</f>
        <v/>
      </c>
      <c r="F8" s="2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2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2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2" t="str">
        <f>_xlfn.XLOOKUP(A8,Output_Mac!A:A,Output_Mac!I:I,"")</f>
        <v/>
      </c>
      <c r="J8" s="2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2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2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2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O8" s="2" t="str">
        <f>_xlfn.LET(
    _xlpm.CSVVal, _xlfn.XLOOKUP($A8, CSV!$A:$A, CSV!AC:AC,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2" t="str" cm="1">
        <f t="array" ref="P8">IFERROR(_xlfn.LET(
_xlpm.CSVVal,_xlfn.XLOOKUP($A8,CSV!$A:$A,CSV!AD:AD,""),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2" t="str" cm="1">
        <f t="array" ref="Q8">IFERROR(_xlfn.LET(
_xlpm.CSVVal,_xlfn.XLOOKUP($A8,CSV!$A:$A,CSV!AE:AE,""),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X8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2" t="str">
        <f>_xlfn.TEXTJOIN("",TRUE,Input!$B$2,"0",ROW(My_Audit!A8))</f>
        <v>X08</v>
      </c>
      <c r="B9" s="2" t="str">
        <f>_xlfn.TEXTJOIN("-",TRUE,"ITD",Input!$A$2,A9)</f>
        <v>ITD-SHR-X08</v>
      </c>
      <c r="C9" s="2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2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2" t="str">
        <f>_xlfn.XLOOKUP(A9,My_Audit!A:A,My_Audit!D:D,"")&amp;""</f>
        <v/>
      </c>
      <c r="F9" s="2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2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2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2" t="str">
        <f>_xlfn.XLOOKUP(A9,Output_Mac!A:A,Output_Mac!I:I,"")</f>
        <v/>
      </c>
      <c r="J9" s="2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2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2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2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O9" s="2" t="str">
        <f>_xlfn.LET(
    _xlpm.CSVVal, _xlfn.XLOOKUP($A9, CSV!$A:$A, CSV!AC:AC,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2" t="str" cm="1">
        <f t="array" ref="P9">IFERROR(_xlfn.LET(
_xlpm.CSVVal,_xlfn.XLOOKUP($A9,CSV!$A:$A,CSV!AD:AD,""),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2" t="str" cm="1">
        <f t="array" ref="Q9">IFERROR(_xlfn.LET(
_xlpm.CSVVal,_xlfn.XLOOKUP($A9,CSV!$A:$A,CSV!AE:AE,""),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X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2" t="str">
        <f>_xlfn.TEXTJOIN("",TRUE,Input!$B$2,"0",ROW(My_Audit!A9))</f>
        <v>X09</v>
      </c>
      <c r="B10" s="2" t="str">
        <f>_xlfn.TEXTJOIN("-",TRUE,"ITD",Input!$A$2,A10)</f>
        <v>ITD-SHR-X09</v>
      </c>
      <c r="C10" s="2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2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2" t="str">
        <f>_xlfn.XLOOKUP(A10,My_Audit!A:A,My_Audit!D:D,"")&amp;""</f>
        <v/>
      </c>
      <c r="F10" s="2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2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2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2" t="str">
        <f>_xlfn.XLOOKUP(A10,Output_Mac!A:A,Output_Mac!I:I,"")</f>
        <v/>
      </c>
      <c r="J10" s="2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2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2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2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O10" s="2" t="str">
        <f>_xlfn.LET(
    _xlpm.CSVVal, _xlfn.XLOOKUP($A10, CSV!$A:$A, CSV!AC:AC,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2" t="str" cm="1">
        <f t="array" ref="P10">IFERROR(_xlfn.LET(
_xlpm.CSVVal,_xlfn.XLOOKUP($A10,CSV!$A:$A,CSV!AD:AD,""),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2" t="str" cm="1">
        <f t="array" ref="Q10">IFERROR(_xlfn.LET(
_xlpm.CSVVal,_xlfn.XLOOKUP($A10,CSV!$A:$A,CSV!AE:AE,""),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X10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2" t="str">
        <f>_xlfn.TEXTJOIN("",TRUE,Input!$B$2,ROW(My_Audit!A10))</f>
        <v>X10</v>
      </c>
      <c r="B11" s="2" t="str">
        <f>_xlfn.TEXTJOIN("-",TRUE,"ITD",Input!$A$2,A11)</f>
        <v>ITD-SHR-X10</v>
      </c>
      <c r="C11" s="2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2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2" t="str">
        <f>_xlfn.XLOOKUP(A11,My_Audit!A:A,My_Audit!D:D,"")&amp;""</f>
        <v/>
      </c>
      <c r="F11" s="2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2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2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2" t="str">
        <f>_xlfn.XLOOKUP(A11,Output_Mac!A:A,Output_Mac!I:I,"")</f>
        <v/>
      </c>
      <c r="J11" s="2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2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2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2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O11" s="2" t="str">
        <f>_xlfn.LET(
    _xlpm.CSVVal, _xlfn.XLOOKUP($A11, CSV!$A:$A, CSV!AC:AC,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2" t="str" cm="1">
        <f t="array" ref="P11">IFERROR(_xlfn.LET(
_xlpm.CSVVal,_xlfn.XLOOKUP($A11,CSV!$A:$A,CSV!AD:AD,""),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2" t="str" cm="1">
        <f t="array" ref="Q11">IFERROR(_xlfn.LET(
_xlpm.CSVVal,_xlfn.XLOOKUP($A11,CSV!$A:$A,CSV!AE:AE,""),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X1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2" t="str">
        <f>_xlfn.TEXTJOIN("",TRUE,Input!$B$2,ROW(My_Audit!A11))</f>
        <v>X11</v>
      </c>
      <c r="B12" s="2" t="str">
        <f>_xlfn.TEXTJOIN("-",TRUE,"ITD",Input!$A$2,A12)</f>
        <v>ITD-SHR-X11</v>
      </c>
      <c r="C12" s="2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2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2" t="str">
        <f>_xlfn.XLOOKUP(A12,My_Audit!A:A,My_Audit!D:D,"")&amp;""</f>
        <v/>
      </c>
      <c r="F12" s="2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2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2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2" t="str">
        <f>_xlfn.XLOOKUP(A12,Output_Mac!A:A,Output_Mac!I:I,"")</f>
        <v/>
      </c>
      <c r="J12" s="2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2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2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2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O12" s="2" t="str">
        <f>_xlfn.LET(
    _xlpm.CSVVal, _xlfn.XLOOKUP($A12, CSV!$A:$A, CSV!AC:AC,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2" t="str" cm="1">
        <f t="array" ref="P12">IFERROR(_xlfn.LET(
_xlpm.CSVVal,_xlfn.XLOOKUP($A12,CSV!$A:$A,CSV!AD:AD,""),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2" t="str" cm="1">
        <f t="array" ref="Q12">IFERROR(_xlfn.LET(
_xlpm.CSVVal,_xlfn.XLOOKUP($A12,CSV!$A:$A,CSV!AE:AE,""),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X12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2" t="str">
        <f>_xlfn.TEXTJOIN("",TRUE,Input!$B$2,ROW(My_Audit!A12))</f>
        <v>X12</v>
      </c>
      <c r="B13" s="2" t="str">
        <f>_xlfn.TEXTJOIN("-",TRUE,"ITD",Input!$A$2,A13)</f>
        <v>ITD-SHR-X12</v>
      </c>
      <c r="C13" s="2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2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2" t="str">
        <f>_xlfn.XLOOKUP(A13,My_Audit!A:A,My_Audit!D:D,"")&amp;""</f>
        <v/>
      </c>
      <c r="F13" s="2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2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2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2" t="str">
        <f>_xlfn.XLOOKUP(A13,Output_Mac!A:A,Output_Mac!I:I,"")</f>
        <v/>
      </c>
      <c r="J13" s="2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2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2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2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O13" s="2" t="str">
        <f>_xlfn.LET(
    _xlpm.CSVVal, _xlfn.XLOOKUP($A13, CSV!$A:$A, CSV!AC:AC,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2" t="str" cm="1">
        <f t="array" ref="P13">IFERROR(_xlfn.LET(
_xlpm.CSVVal,_xlfn.XLOOKUP($A13,CSV!$A:$A,CSV!AD:AD,""),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2" t="str" cm="1">
        <f t="array" ref="Q13">IFERROR(_xlfn.LET(
_xlpm.CSVVal,_xlfn.XLOOKUP($A13,CSV!$A:$A,CSV!AE:AE,""),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X13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2" t="str">
        <f>_xlfn.TEXTJOIN("",TRUE,Input!$B$2,ROW(My_Audit!A13))</f>
        <v>X13</v>
      </c>
      <c r="B14" s="2" t="str">
        <f>_xlfn.TEXTJOIN("-",TRUE,"ITD",Input!$A$2,A14)</f>
        <v>ITD-SHR-X13</v>
      </c>
      <c r="C14" s="2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2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2" t="str">
        <f>_xlfn.XLOOKUP(A14,My_Audit!A:A,My_Audit!D:D,"")&amp;""</f>
        <v/>
      </c>
      <c r="F14" s="2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2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2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2" t="str">
        <f>_xlfn.XLOOKUP(A14,Output_Mac!A:A,Output_Mac!I:I,"")</f>
        <v/>
      </c>
      <c r="J14" s="2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2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2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2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O14" s="2" t="str">
        <f>_xlfn.LET(
    _xlpm.CSVVal, _xlfn.XLOOKUP($A14, CSV!$A:$A, CSV!AC:AC,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2" t="str" cm="1">
        <f t="array" ref="P14">IFERROR(_xlfn.LET(
_xlpm.CSVVal,_xlfn.XLOOKUP($A14,CSV!$A:$A,CSV!AD:AD,""),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2" t="str" cm="1">
        <f t="array" ref="Q14">IFERROR(_xlfn.LET(
_xlpm.CSVVal,_xlfn.XLOOKUP($A14,CSV!$A:$A,CSV!AE:AE,""),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X14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2" t="str">
        <f>_xlfn.TEXTJOIN("",TRUE,Input!$B$2,ROW(My_Audit!A14))</f>
        <v>X14</v>
      </c>
      <c r="B15" s="2" t="str">
        <f>_xlfn.TEXTJOIN("-",TRUE,"ITD",Input!$A$2,A15)</f>
        <v>ITD-SHR-X14</v>
      </c>
      <c r="C15" s="2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2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2" t="str">
        <f>_xlfn.XLOOKUP(A15,My_Audit!A:A,My_Audit!D:D,"")&amp;""</f>
        <v/>
      </c>
      <c r="F15" s="2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2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2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2" t="str">
        <f>_xlfn.XLOOKUP(A15,Output_Mac!A:A,Output_Mac!I:I,"")</f>
        <v/>
      </c>
      <c r="J15" s="2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2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2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2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O15" s="2" t="str">
        <f>_xlfn.LET(
    _xlpm.CSVVal, _xlfn.XLOOKUP($A15, CSV!$A:$A, CSV!AC:AC,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2" t="str" cm="1">
        <f t="array" ref="P15">IFERROR(_xlfn.LET(
_xlpm.CSVVal,_xlfn.XLOOKUP($A15,CSV!$A:$A,CSV!AD:AD,""),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2" t="str" cm="1">
        <f t="array" ref="Q15">IFERROR(_xlfn.LET(
_xlpm.CSVVal,_xlfn.XLOOKUP($A15,CSV!$A:$A,CSV!AE:AE,""),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X15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2" t="str">
        <f>_xlfn.TEXTJOIN("",TRUE,Input!$B$2,ROW(My_Audit!A15))</f>
        <v>X15</v>
      </c>
      <c r="B16" s="2" t="str">
        <f>_xlfn.TEXTJOIN("-",TRUE,"ITD",Input!$A$2,A16)</f>
        <v>ITD-SHR-X15</v>
      </c>
      <c r="C16" s="2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2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2" t="str">
        <f>_xlfn.XLOOKUP(A16,My_Audit!A:A,My_Audit!D:D,"")&amp;""</f>
        <v/>
      </c>
      <c r="F16" s="2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2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2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2" t="str">
        <f>_xlfn.XLOOKUP(A16,Output_Mac!A:A,Output_Mac!I:I,"")</f>
        <v/>
      </c>
      <c r="J16" s="2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2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2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2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O16" s="2" t="str">
        <f>_xlfn.LET(
    _xlpm.CSVVal, _xlfn.XLOOKUP($A16, CSV!$A:$A, CSV!AC:AC,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2" t="str" cm="1">
        <f t="array" ref="P16">IFERROR(_xlfn.LET(
_xlpm.CSVVal,_xlfn.XLOOKUP($A16,CSV!$A:$A,CSV!AD:AD,""),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2" t="str" cm="1">
        <f t="array" ref="Q16">IFERROR(_xlfn.LET(
_xlpm.CSVVal,_xlfn.XLOOKUP($A16,CSV!$A:$A,CSV!AE:AE,""),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X16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2" t="str">
        <f>_xlfn.TEXTJOIN("",TRUE,Input!$B$2,ROW(My_Audit!A16))</f>
        <v>X16</v>
      </c>
      <c r="B17" s="2" t="str">
        <f>_xlfn.TEXTJOIN("-",TRUE,"ITD",Input!$A$2,A17)</f>
        <v>ITD-SHR-X16</v>
      </c>
      <c r="C17" s="2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2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2" t="str">
        <f>_xlfn.XLOOKUP(A17,My_Audit!A:A,My_Audit!D:D,"")&amp;""</f>
        <v/>
      </c>
      <c r="F17" s="2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2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2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2" t="str">
        <f>_xlfn.XLOOKUP(A17,Output_Mac!A:A,Output_Mac!I:I,"")</f>
        <v/>
      </c>
      <c r="J17" s="2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2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2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2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O17" s="2" t="str">
        <f>_xlfn.LET(
    _xlpm.CSVVal, _xlfn.XLOOKUP($A17, CSV!$A:$A, CSV!AC:AC,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2" t="str" cm="1">
        <f t="array" ref="P17">IFERROR(_xlfn.LET(
_xlpm.CSVVal,_xlfn.XLOOKUP($A17,CSV!$A:$A,CSV!AD:AD,""),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2" t="str" cm="1">
        <f t="array" ref="Q17">IFERROR(_xlfn.LET(
_xlpm.CSVVal,_xlfn.XLOOKUP($A17,CSV!$A:$A,CSV!AE:AE,""),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X1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2" t="str">
        <f>_xlfn.TEXTJOIN("",TRUE,Input!$B$2,ROW(My_Audit!A17))</f>
        <v>X17</v>
      </c>
      <c r="B18" s="2" t="str">
        <f>_xlfn.TEXTJOIN("-",TRUE,"ITD",Input!$A$2,A18)</f>
        <v>ITD-SHR-X17</v>
      </c>
      <c r="C18" s="2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2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2" t="str">
        <f>_xlfn.XLOOKUP(A18,My_Audit!A:A,My_Audit!D:D,"")&amp;""</f>
        <v/>
      </c>
      <c r="F18" s="2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2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2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2" t="str">
        <f>_xlfn.XLOOKUP(A18,Output_Mac!A:A,Output_Mac!I:I,"")</f>
        <v/>
      </c>
      <c r="J18" s="2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2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2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2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O18" s="2" t="str">
        <f>_xlfn.LET(
    _xlpm.CSVVal, _xlfn.XLOOKUP($A18, CSV!$A:$A, CSV!AC:AC,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2" t="str" cm="1">
        <f t="array" ref="P18">IFERROR(_xlfn.LET(
_xlpm.CSVVal,_xlfn.XLOOKUP($A18,CSV!$A:$A,CSV!AD:AD,""),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2" t="str" cm="1">
        <f t="array" ref="Q18">IFERROR(_xlfn.LET(
_xlpm.CSVVal,_xlfn.XLOOKUP($A18,CSV!$A:$A,CSV!AE:AE,""),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X18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2" t="str">
        <f>_xlfn.TEXTJOIN("",TRUE,Input!$B$2,ROW(My_Audit!A18))</f>
        <v>X18</v>
      </c>
      <c r="B19" s="2" t="str">
        <f>_xlfn.TEXTJOIN("-",TRUE,"ITD",Input!$A$2,A19)</f>
        <v>ITD-SHR-X18</v>
      </c>
      <c r="C19" s="2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2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2" t="str">
        <f>_xlfn.XLOOKUP(A19,My_Audit!A:A,My_Audit!D:D,"")&amp;""</f>
        <v/>
      </c>
      <c r="F19" s="2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2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2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2" t="str">
        <f>_xlfn.XLOOKUP(A19,Output_Mac!A:A,Output_Mac!I:I,"")</f>
        <v/>
      </c>
      <c r="J19" s="2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2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2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2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O19" s="2" t="str">
        <f>_xlfn.LET(
    _xlpm.CSVVal, _xlfn.XLOOKUP($A19, CSV!$A:$A, CSV!AC:AC,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2" t="str" cm="1">
        <f t="array" ref="P19">IFERROR(_xlfn.LET(
_xlpm.CSVVal,_xlfn.XLOOKUP($A19,CSV!$A:$A,CSV!AD:AD,""),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2" t="str" cm="1">
        <f t="array" ref="Q19">IFERROR(_xlfn.LET(
_xlpm.CSVVal,_xlfn.XLOOKUP($A19,CSV!$A:$A,CSV!AE:AE,""),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X1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2" t="str">
        <f>_xlfn.TEXTJOIN("",TRUE,Input!$B$2,ROW(My_Audit!A19))</f>
        <v>X19</v>
      </c>
      <c r="B20" s="2" t="str">
        <f>_xlfn.TEXTJOIN("-",TRUE,"ITD",Input!$A$2,A20)</f>
        <v>ITD-SHR-X19</v>
      </c>
      <c r="C20" s="2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2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2" t="str">
        <f>_xlfn.XLOOKUP(A20,My_Audit!A:A,My_Audit!D:D,"")&amp;""</f>
        <v/>
      </c>
      <c r="F20" s="2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2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2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2" t="str">
        <f>_xlfn.XLOOKUP(A20,Output_Mac!A:A,Output_Mac!I:I,"")</f>
        <v/>
      </c>
      <c r="J20" s="2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2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2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2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O20" s="2" t="str">
        <f>_xlfn.LET(
    _xlpm.CSVVal, _xlfn.XLOOKUP($A20, CSV!$A:$A, CSV!AC:AC,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2" t="str" cm="1">
        <f t="array" ref="P20">IFERROR(_xlfn.LET(
_xlpm.CSVVal,_xlfn.XLOOKUP($A20,CSV!$A:$A,CSV!AD:AD,""),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2" t="str" cm="1">
        <f t="array" ref="Q20">IFERROR(_xlfn.LET(
_xlpm.CSVVal,_xlfn.XLOOKUP($A20,CSV!$A:$A,CSV!AE:AE,""),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X20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2" t="str">
        <f>_xlfn.TEXTJOIN("",TRUE,Input!$B$2,ROW(My_Audit!A20))</f>
        <v>X20</v>
      </c>
      <c r="B21" s="2" t="str">
        <f>_xlfn.TEXTJOIN("-",TRUE,"ITD",Input!$A$2,A21)</f>
        <v>ITD-SHR-X20</v>
      </c>
      <c r="C21" s="2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2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2" t="str">
        <f>_xlfn.XLOOKUP(A21,My_Audit!A:A,My_Audit!D:D,"")&amp;""</f>
        <v/>
      </c>
      <c r="F21" s="2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2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2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2" t="str">
        <f>_xlfn.XLOOKUP(A21,Output_Mac!A:A,Output_Mac!I:I,"")</f>
        <v/>
      </c>
      <c r="J21" s="2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2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2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2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O21" s="2" t="str">
        <f>_xlfn.LET(
    _xlpm.CSVVal, _xlfn.XLOOKUP($A21, CSV!$A:$A, CSV!AC:AC,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2" t="str" cm="1">
        <f t="array" ref="P21">IFERROR(_xlfn.LET(
_xlpm.CSVVal,_xlfn.XLOOKUP($A21,CSV!$A:$A,CSV!AD:AD,""),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2" t="str" cm="1">
        <f t="array" ref="Q21">IFERROR(_xlfn.LET(
_xlpm.CSVVal,_xlfn.XLOOKUP($A21,CSV!$A:$A,CSV!AE:AE,""),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X2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2" t="str">
        <f>_xlfn.TEXTJOIN("",TRUE,Input!$B$2,ROW(My_Audit!A21))</f>
        <v>X21</v>
      </c>
      <c r="B22" s="2" t="str">
        <f>_xlfn.TEXTJOIN("-",TRUE,"ITD",Input!$A$2,A22)</f>
        <v>ITD-SHR-X21</v>
      </c>
      <c r="C22" s="2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2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2" t="str">
        <f>_xlfn.XLOOKUP(A22,My_Audit!A:A,My_Audit!D:D,"")&amp;""</f>
        <v/>
      </c>
      <c r="F22" s="2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2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2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2" t="str">
        <f>_xlfn.XLOOKUP(A22,Output_Mac!A:A,Output_Mac!I:I,"")</f>
        <v/>
      </c>
      <c r="J22" s="2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2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2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2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O22" s="2" t="str">
        <f>_xlfn.LET(
    _xlpm.CSVVal, _xlfn.XLOOKUP($A22, CSV!$A:$A, CSV!AC:AC,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2" t="str" cm="1">
        <f t="array" ref="P22">IFERROR(_xlfn.LET(
_xlpm.CSVVal,_xlfn.XLOOKUP($A22,CSV!$A:$A,CSV!AD:AD,""),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2" t="str" cm="1">
        <f t="array" ref="Q22">IFERROR(_xlfn.LET(
_xlpm.CSVVal,_xlfn.XLOOKUP($A22,CSV!$A:$A,CSV!AE:AE,""),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X22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2" t="str">
        <f>_xlfn.TEXTJOIN("",TRUE,Input!$B$2,ROW(My_Audit!A22))</f>
        <v>X22</v>
      </c>
      <c r="B23" s="2" t="str">
        <f>_xlfn.TEXTJOIN("-",TRUE,"ITD",Input!$A$2,A23)</f>
        <v>ITD-SHR-X22</v>
      </c>
      <c r="C23" s="2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2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2" t="str">
        <f>_xlfn.XLOOKUP(A23,My_Audit!A:A,My_Audit!D:D,"")&amp;""</f>
        <v/>
      </c>
      <c r="F23" s="2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2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2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2" t="str">
        <f>_xlfn.XLOOKUP(A23,Output_Mac!A:A,Output_Mac!I:I,"")</f>
        <v/>
      </c>
      <c r="J23" s="2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2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2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2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O23" s="2" t="str">
        <f>_xlfn.LET(
    _xlpm.CSVVal, _xlfn.XLOOKUP($A23, CSV!$A:$A, CSV!AC:AC,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2" t="str" cm="1">
        <f t="array" ref="P23">IFERROR(_xlfn.LET(
_xlpm.CSVVal,_xlfn.XLOOKUP($A23,CSV!$A:$A,CSV!AD:AD,""),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2" t="str" cm="1">
        <f t="array" ref="Q23">IFERROR(_xlfn.LET(
_xlpm.CSVVal,_xlfn.XLOOKUP($A23,CSV!$A:$A,CSV!AE:AE,""),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X23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2" t="str">
        <f>_xlfn.TEXTJOIN("",TRUE,Input!$B$2,ROW(My_Audit!A23))</f>
        <v>X23</v>
      </c>
      <c r="B24" s="2" t="str">
        <f>_xlfn.TEXTJOIN("-",TRUE,"ITD",Input!$A$2,A24)</f>
        <v>ITD-SHR-X23</v>
      </c>
      <c r="C24" s="2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2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2" t="str">
        <f>_xlfn.XLOOKUP(A24,My_Audit!A:A,My_Audit!D:D,"")&amp;""</f>
        <v/>
      </c>
      <c r="F24" s="2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2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2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2" t="str">
        <f>_xlfn.XLOOKUP(A24,Output_Mac!A:A,Output_Mac!I:I,"")</f>
        <v/>
      </c>
      <c r="J24" s="2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2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2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2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O24" s="2" t="str">
        <f>_xlfn.LET(
    _xlpm.CSVVal, _xlfn.XLOOKUP($A24, CSV!$A:$A, CSV!AC:AC,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2" t="str" cm="1">
        <f t="array" ref="P24">IFERROR(_xlfn.LET(
_xlpm.CSVVal,_xlfn.XLOOKUP($A24,CSV!$A:$A,CSV!AD:AD,""),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2" t="str" cm="1">
        <f t="array" ref="Q24">IFERROR(_xlfn.LET(
_xlpm.CSVVal,_xlfn.XLOOKUP($A24,CSV!$A:$A,CSV!AE:AE,""),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X24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2" t="str">
        <f>_xlfn.TEXTJOIN("",TRUE,Input!$B$2,ROW(My_Audit!A24))</f>
        <v>X24</v>
      </c>
      <c r="B25" s="2" t="str">
        <f>_xlfn.TEXTJOIN("-",TRUE,"ITD",Input!$A$2,A25)</f>
        <v>ITD-SHR-X24</v>
      </c>
      <c r="C25" s="2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2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2" t="str">
        <f>_xlfn.XLOOKUP(A25,My_Audit!A:A,My_Audit!D:D,"")&amp;""</f>
        <v/>
      </c>
      <c r="F25" s="2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2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2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2" t="str">
        <f>_xlfn.XLOOKUP(A25,Output_Mac!A:A,Output_Mac!I:I,"")</f>
        <v/>
      </c>
      <c r="J25" s="2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2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2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2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O25" s="2" t="str">
        <f>_xlfn.LET(
    _xlpm.CSVVal, _xlfn.XLOOKUP($A25, CSV!$A:$A, CSV!AC:AC,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2" t="str" cm="1">
        <f t="array" ref="P25">IFERROR(_xlfn.LET(
_xlpm.CSVVal,_xlfn.XLOOKUP($A25,CSV!$A:$A,CSV!AD:AD,""),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2" t="str" cm="1">
        <f t="array" ref="Q25">IFERROR(_xlfn.LET(
_xlpm.CSVVal,_xlfn.XLOOKUP($A25,CSV!$A:$A,CSV!AE:AE,""),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X25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2" t="str">
        <f>_xlfn.TEXTJOIN("",TRUE,Input!$B$2,ROW(My_Audit!A25))</f>
        <v>X25</v>
      </c>
      <c r="B26" s="2" t="str">
        <f>_xlfn.TEXTJOIN("-",TRUE,"ITD",Input!$A$2,A26)</f>
        <v>ITD-SHR-X25</v>
      </c>
      <c r="C26" s="2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2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2" t="str">
        <f>_xlfn.XLOOKUP(A26,My_Audit!A:A,My_Audit!D:D,"")&amp;""</f>
        <v/>
      </c>
      <c r="F26" s="2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2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2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2" t="str">
        <f>_xlfn.XLOOKUP(A26,Output_Mac!A:A,Output_Mac!I:I,"")</f>
        <v/>
      </c>
      <c r="J26" s="2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2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2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2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O26" s="2" t="str">
        <f>_xlfn.LET(
    _xlpm.CSVVal, _xlfn.XLOOKUP($A26, CSV!$A:$A, CSV!AC:AC,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2" t="str" cm="1">
        <f t="array" ref="P26">IFERROR(_xlfn.LET(
_xlpm.CSVVal,_xlfn.XLOOKUP($A26,CSV!$A:$A,CSV!AD:AD,""),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2" t="str" cm="1">
        <f t="array" ref="Q26">IFERROR(_xlfn.LET(
_xlpm.CSVVal,_xlfn.XLOOKUP($A26,CSV!$A:$A,CSV!AE:AE,""),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X26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2" t="str">
        <f>_xlfn.TEXTJOIN("",TRUE,Input!$B$2,ROW(My_Audit!A26))</f>
        <v>X26</v>
      </c>
      <c r="B27" s="2" t="str">
        <f>_xlfn.TEXTJOIN("-",TRUE,"ITD",Input!$A$2,A27)</f>
        <v>ITD-SHR-X26</v>
      </c>
      <c r="C27" s="2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2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2" t="str">
        <f>_xlfn.XLOOKUP(A27,My_Audit!A:A,My_Audit!D:D,"")&amp;""</f>
        <v/>
      </c>
      <c r="F27" s="2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2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2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2" t="str">
        <f>_xlfn.XLOOKUP(A27,Output_Mac!A:A,Output_Mac!I:I,"")</f>
        <v/>
      </c>
      <c r="J27" s="2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2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2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2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O27" s="2" t="str">
        <f>_xlfn.LET(
    _xlpm.CSVVal, _xlfn.XLOOKUP($A27, CSV!$A:$A, CSV!AC:AC,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2" t="str" cm="1">
        <f t="array" ref="P27">IFERROR(_xlfn.LET(
_xlpm.CSVVal,_xlfn.XLOOKUP($A27,CSV!$A:$A,CSV!AD:AD,""),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2" t="str" cm="1">
        <f t="array" ref="Q27">IFERROR(_xlfn.LET(
_xlpm.CSVVal,_xlfn.XLOOKUP($A27,CSV!$A:$A,CSV!AE:AE,""),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X2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2" t="str">
        <f>_xlfn.TEXTJOIN("",TRUE,Input!$B$2,ROW(My_Audit!A27))</f>
        <v>X27</v>
      </c>
      <c r="B28" s="2" t="str">
        <f>_xlfn.TEXTJOIN("-",TRUE,"ITD",Input!$A$2,A28)</f>
        <v>ITD-SHR-X27</v>
      </c>
      <c r="C28" s="2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2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2" t="str">
        <f>_xlfn.XLOOKUP(A28,My_Audit!A:A,My_Audit!D:D,"")&amp;""</f>
        <v/>
      </c>
      <c r="F28" s="2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2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2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2" t="str">
        <f>_xlfn.XLOOKUP(A28,Output_Mac!A:A,Output_Mac!I:I,"")</f>
        <v/>
      </c>
      <c r="J28" s="2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2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2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2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O28" s="2" t="str">
        <f>_xlfn.LET(
    _xlpm.CSVVal, _xlfn.XLOOKUP($A28, CSV!$A:$A, CSV!AC:AC,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2" t="str" cm="1">
        <f t="array" ref="P28">IFERROR(_xlfn.LET(
_xlpm.CSVVal,_xlfn.XLOOKUP($A28,CSV!$A:$A,CSV!AD:AD,""),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2" t="str" cm="1">
        <f t="array" ref="Q28">IFERROR(_xlfn.LET(
_xlpm.CSVVal,_xlfn.XLOOKUP($A28,CSV!$A:$A,CSV!AE:AE,""),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X28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2" t="str">
        <f>_xlfn.TEXTJOIN("",TRUE,Input!$B$2,ROW(My_Audit!A28))</f>
        <v>X28</v>
      </c>
      <c r="B29" s="2" t="str">
        <f>_xlfn.TEXTJOIN("-",TRUE,"ITD",Input!$A$2,A29)</f>
        <v>ITD-SHR-X28</v>
      </c>
      <c r="C29" s="2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2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2" t="str">
        <f>_xlfn.XLOOKUP(A29,My_Audit!A:A,My_Audit!D:D,"")&amp;""</f>
        <v/>
      </c>
      <c r="F29" s="2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2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2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2" t="str">
        <f>_xlfn.XLOOKUP(A29,Output_Mac!A:A,Output_Mac!I:I,"")</f>
        <v/>
      </c>
      <c r="J29" s="2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2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2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2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O29" s="2" t="str">
        <f>_xlfn.LET(
    _xlpm.CSVVal, _xlfn.XLOOKUP($A29, CSV!$A:$A, CSV!AC:AC,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2" t="str" cm="1">
        <f t="array" ref="P29">IFERROR(_xlfn.LET(
_xlpm.CSVVal,_xlfn.XLOOKUP($A29,CSV!$A:$A,CSV!AD:AD,""),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2" t="str" cm="1">
        <f t="array" ref="Q29">IFERROR(_xlfn.LET(
_xlpm.CSVVal,_xlfn.XLOOKUP($A29,CSV!$A:$A,CSV!AE:AE,""),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X2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2" t="str">
        <f>_xlfn.TEXTJOIN("",TRUE,Input!$B$2,ROW(My_Audit!A29))</f>
        <v>X29</v>
      </c>
      <c r="B30" s="2" t="str">
        <f>_xlfn.TEXTJOIN("-",TRUE,"ITD",Input!$A$2,A30)</f>
        <v>ITD-SHR-X29</v>
      </c>
      <c r="C30" s="2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2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2" t="str">
        <f>_xlfn.XLOOKUP(A30,My_Audit!A:A,My_Audit!D:D,"")&amp;""</f>
        <v/>
      </c>
      <c r="F30" s="2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2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2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2" t="str">
        <f>_xlfn.XLOOKUP(A30,Output_Mac!A:A,Output_Mac!I:I,"")</f>
        <v/>
      </c>
      <c r="J30" s="2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2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2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2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O30" s="2" t="str">
        <f>_xlfn.LET(
    _xlpm.CSVVal, _xlfn.XLOOKUP($A30, CSV!$A:$A, CSV!AC:AC,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2" t="str" cm="1">
        <f t="array" ref="P30">IFERROR(_xlfn.LET(
_xlpm.CSVVal,_xlfn.XLOOKUP($A30,CSV!$A:$A,CSV!AD:AD,""),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2" t="str" cm="1">
        <f t="array" ref="Q30">IFERROR(_xlfn.LET(
_xlpm.CSVVal,_xlfn.XLOOKUP($A30,CSV!$A:$A,CSV!AE:AE,""),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X30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2" t="str">
        <f>_xlfn.TEXTJOIN("",TRUE,Input!$B$2,ROW(My_Audit!A30))</f>
        <v>X30</v>
      </c>
      <c r="B31" s="2" t="str">
        <f>_xlfn.TEXTJOIN("-",TRUE,"ITD",Input!$A$2,A31)</f>
        <v>ITD-SHR-X30</v>
      </c>
      <c r="C31" s="2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2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2" t="str">
        <f>_xlfn.XLOOKUP(A31,My_Audit!A:A,My_Audit!D:D,"")&amp;""</f>
        <v/>
      </c>
      <c r="F31" s="2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2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2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2" t="str">
        <f>_xlfn.XLOOKUP(A31,Output_Mac!A:A,Output_Mac!I:I,"")</f>
        <v/>
      </c>
      <c r="J31" s="2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2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2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2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O31" s="2" t="str">
        <f>_xlfn.LET(
    _xlpm.CSVVal, _xlfn.XLOOKUP($A31, CSV!$A:$A, CSV!AC:AC,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2" t="str" cm="1">
        <f t="array" ref="P31">IFERROR(_xlfn.LET(
_xlpm.CSVVal,_xlfn.XLOOKUP($A31,CSV!$A:$A,CSV!AD:AD,""),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2" t="str" cm="1">
        <f t="array" ref="Q31">IFERROR(_xlfn.LET(
_xlpm.CSVVal,_xlfn.XLOOKUP($A31,CSV!$A:$A,CSV!AE:AE,""),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X3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2" t="str">
        <f>_xlfn.TEXTJOIN("",TRUE,Input!$B$2,ROW(My_Audit!A31))</f>
        <v>X31</v>
      </c>
      <c r="B32" s="2" t="str">
        <f>_xlfn.TEXTJOIN("-",TRUE,"ITD",Input!$A$2,A32)</f>
        <v>ITD-SHR-X31</v>
      </c>
      <c r="C32" s="2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2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2" t="str">
        <f>_xlfn.XLOOKUP(A32,My_Audit!A:A,My_Audit!D:D,"")&amp;""</f>
        <v/>
      </c>
      <c r="F32" s="2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2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2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2" t="str">
        <f>_xlfn.XLOOKUP(A32,Output_Mac!A:A,Output_Mac!I:I,"")</f>
        <v/>
      </c>
      <c r="J32" s="2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2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2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2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O32" s="2" t="str">
        <f>_xlfn.LET(
    _xlpm.CSVVal, _xlfn.XLOOKUP($A32, CSV!$A:$A, CSV!AC:AC,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2" t="str" cm="1">
        <f t="array" ref="P32">IFERROR(_xlfn.LET(
_xlpm.CSVVal,_xlfn.XLOOKUP($A32,CSV!$A:$A,CSV!AD:AD,""),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2" t="str" cm="1">
        <f t="array" ref="Q32">IFERROR(_xlfn.LET(
_xlpm.CSVVal,_xlfn.XLOOKUP($A32,CSV!$A:$A,CSV!AE:AE,""),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X32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2" t="str">
        <f>_xlfn.TEXTJOIN("",TRUE,Input!$B$2,ROW(My_Audit!A32))</f>
        <v>X32</v>
      </c>
      <c r="B33" s="2" t="str">
        <f>_xlfn.TEXTJOIN("-",TRUE,"ITD",Input!$A$2,A33)</f>
        <v>ITD-SHR-X32</v>
      </c>
      <c r="C33" s="2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2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2" t="str">
        <f>_xlfn.XLOOKUP(A33,My_Audit!A:A,My_Audit!D:D,"")&amp;""</f>
        <v/>
      </c>
      <c r="F33" s="2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2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2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2" t="str">
        <f>_xlfn.XLOOKUP(A33,Output_Mac!A:A,Output_Mac!I:I,"")</f>
        <v/>
      </c>
      <c r="J33" s="2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2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2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2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O33" s="2" t="str">
        <f>_xlfn.LET(
    _xlpm.CSVVal, _xlfn.XLOOKUP($A33, CSV!$A:$A, CSV!AC:AC,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2" t="str" cm="1">
        <f t="array" ref="P33">IFERROR(_xlfn.LET(
_xlpm.CSVVal,_xlfn.XLOOKUP($A33,CSV!$A:$A,CSV!AD:AD,""),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2" t="str" cm="1">
        <f t="array" ref="Q33">IFERROR(_xlfn.LET(
_xlpm.CSVVal,_xlfn.XLOOKUP($A33,CSV!$A:$A,CSV!AE:AE,""),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X33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2" t="str">
        <f>_xlfn.TEXTJOIN("",TRUE,Input!$B$2,ROW(My_Audit!A33))</f>
        <v>X33</v>
      </c>
      <c r="B34" s="2" t="str">
        <f>_xlfn.TEXTJOIN("-",TRUE,"ITD",Input!$A$2,A34)</f>
        <v>ITD-SHR-X33</v>
      </c>
      <c r="C34" s="2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2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2" t="str">
        <f>_xlfn.XLOOKUP(A34,My_Audit!A:A,My_Audit!D:D,"")&amp;""</f>
        <v/>
      </c>
      <c r="F34" s="2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2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2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2" t="str">
        <f>_xlfn.XLOOKUP(A34,Output_Mac!A:A,Output_Mac!I:I,"")</f>
        <v/>
      </c>
      <c r="J34" s="2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2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2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2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O34" s="2" t="str">
        <f>_xlfn.LET(
    _xlpm.CSVVal, _xlfn.XLOOKUP($A34, CSV!$A:$A, CSV!AC:AC,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2" t="str" cm="1">
        <f t="array" ref="P34">IFERROR(_xlfn.LET(
_xlpm.CSVVal,_xlfn.XLOOKUP($A34,CSV!$A:$A,CSV!AD:AD,""),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2" t="str" cm="1">
        <f t="array" ref="Q34">IFERROR(_xlfn.LET(
_xlpm.CSVVal,_xlfn.XLOOKUP($A34,CSV!$A:$A,CSV!AE:AE,""),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X34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2" t="str">
        <f>_xlfn.TEXTJOIN("",TRUE,Input!$B$2,ROW(My_Audit!A34))</f>
        <v>X34</v>
      </c>
      <c r="B35" s="2" t="str">
        <f>_xlfn.TEXTJOIN("-",TRUE,"ITD",Input!$A$2,A35)</f>
        <v>ITD-SHR-X34</v>
      </c>
      <c r="C35" s="2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2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2" t="str">
        <f>_xlfn.XLOOKUP(A35,My_Audit!A:A,My_Audit!D:D,"")&amp;""</f>
        <v/>
      </c>
      <c r="F35" s="2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2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2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2" t="str">
        <f>_xlfn.XLOOKUP(A35,Output_Mac!A:A,Output_Mac!I:I,"")</f>
        <v/>
      </c>
      <c r="J35" s="2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2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2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2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O35" s="2" t="str">
        <f>_xlfn.LET(
    _xlpm.CSVVal, _xlfn.XLOOKUP($A35, CSV!$A:$A, CSV!AC:AC,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2" t="str" cm="1">
        <f t="array" ref="P35">IFERROR(_xlfn.LET(
_xlpm.CSVVal,_xlfn.XLOOKUP($A35,CSV!$A:$A,CSV!AD:AD,""),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2" t="str" cm="1">
        <f t="array" ref="Q35">IFERROR(_xlfn.LET(
_xlpm.CSVVal,_xlfn.XLOOKUP($A35,CSV!$A:$A,CSV!AE:AE,""),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X35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2" t="str">
        <f>_xlfn.TEXTJOIN("",TRUE,Input!$B$2,ROW(My_Audit!A35))</f>
        <v>X35</v>
      </c>
      <c r="B36" s="2" t="str">
        <f>_xlfn.TEXTJOIN("-",TRUE,"ITD",Input!$A$2,A36)</f>
        <v>ITD-SHR-X35</v>
      </c>
      <c r="C36" s="2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2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2" t="str">
        <f>_xlfn.XLOOKUP(A36,My_Audit!A:A,My_Audit!D:D,"")&amp;""</f>
        <v/>
      </c>
      <c r="F36" s="2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2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2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2" t="str">
        <f>_xlfn.XLOOKUP(A36,Output_Mac!A:A,Output_Mac!I:I,"")</f>
        <v/>
      </c>
      <c r="J36" s="2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2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2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2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O36" s="2" t="str">
        <f>_xlfn.LET(
    _xlpm.CSVVal, _xlfn.XLOOKUP($A36, CSV!$A:$A, CSV!AC:AC,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2" t="str" cm="1">
        <f t="array" ref="P36">IFERROR(_xlfn.LET(
_xlpm.CSVVal,_xlfn.XLOOKUP($A36,CSV!$A:$A,CSV!AD:AD,""),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2" t="str" cm="1">
        <f t="array" ref="Q36">IFERROR(_xlfn.LET(
_xlpm.CSVVal,_xlfn.XLOOKUP($A36,CSV!$A:$A,CSV!AE:AE,""),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X36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2" t="str">
        <f>_xlfn.TEXTJOIN("",TRUE,Input!$B$2,ROW(My_Audit!A36))</f>
        <v>X36</v>
      </c>
      <c r="B37" s="2" t="str">
        <f>_xlfn.TEXTJOIN("-",TRUE,"ITD",Input!$A$2,A37)</f>
        <v>ITD-SHR-X36</v>
      </c>
      <c r="C37" s="2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2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2" t="str">
        <f>_xlfn.XLOOKUP(A37,My_Audit!A:A,My_Audit!D:D,"")&amp;""</f>
        <v/>
      </c>
      <c r="F37" s="2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2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2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2" t="str">
        <f>_xlfn.XLOOKUP(A37,Output_Mac!A:A,Output_Mac!I:I,"")</f>
        <v/>
      </c>
      <c r="J37" s="2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2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2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2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O37" s="2" t="str">
        <f>_xlfn.LET(
    _xlpm.CSVVal, _xlfn.XLOOKUP($A37, CSV!$A:$A, CSV!AC:AC,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2" t="str" cm="1">
        <f t="array" ref="P37">IFERROR(_xlfn.LET(
_xlpm.CSVVal,_xlfn.XLOOKUP($A37,CSV!$A:$A,CSV!AD:AD,""),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2" t="str" cm="1">
        <f t="array" ref="Q37">IFERROR(_xlfn.LET(
_xlpm.CSVVal,_xlfn.XLOOKUP($A37,CSV!$A:$A,CSV!AE:AE,""),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X3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2" t="str">
        <f>_xlfn.TEXTJOIN("",TRUE,Input!$B$2,ROW(My_Audit!A37))</f>
        <v>X37</v>
      </c>
      <c r="B38" s="2" t="str">
        <f>_xlfn.TEXTJOIN("-",TRUE,"ITD",Input!$A$2,A38)</f>
        <v>ITD-SHR-X37</v>
      </c>
      <c r="C38" s="2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2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2" t="str">
        <f>_xlfn.XLOOKUP(A38,My_Audit!A:A,My_Audit!D:D,"")&amp;""</f>
        <v/>
      </c>
      <c r="F38" s="2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2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2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2" t="str">
        <f>_xlfn.XLOOKUP(A38,Output_Mac!A:A,Output_Mac!I:I,"")</f>
        <v/>
      </c>
      <c r="J38" s="2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2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2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2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O38" s="2" t="str">
        <f>_xlfn.LET(
    _xlpm.CSVVal, _xlfn.XLOOKUP($A38, CSV!$A:$A, CSV!AC:AC,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2" t="str" cm="1">
        <f t="array" ref="P38">IFERROR(_xlfn.LET(
_xlpm.CSVVal,_xlfn.XLOOKUP($A38,CSV!$A:$A,CSV!AD:AD,""),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2" t="str" cm="1">
        <f t="array" ref="Q38">IFERROR(_xlfn.LET(
_xlpm.CSVVal,_xlfn.XLOOKUP($A38,CSV!$A:$A,CSV!AE:AE,""),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X38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2" t="str">
        <f>_xlfn.TEXTJOIN("",TRUE,Input!$B$2,ROW(My_Audit!A38))</f>
        <v>X38</v>
      </c>
      <c r="B39" s="2" t="str">
        <f>_xlfn.TEXTJOIN("-",TRUE,"ITD",Input!$A$2,A39)</f>
        <v>ITD-SHR-X38</v>
      </c>
      <c r="C39" s="2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2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2" t="str">
        <f>_xlfn.XLOOKUP(A39,My_Audit!A:A,My_Audit!D:D,"")&amp;""</f>
        <v/>
      </c>
      <c r="F39" s="2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2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2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2" t="str">
        <f>_xlfn.XLOOKUP(A39,Output_Mac!A:A,Output_Mac!I:I,"")</f>
        <v/>
      </c>
      <c r="J39" s="2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2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2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2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O39" s="2" t="str">
        <f>_xlfn.LET(
    _xlpm.CSVVal, _xlfn.XLOOKUP($A39, CSV!$A:$A, CSV!AC:AC,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2" t="str" cm="1">
        <f t="array" ref="P39">IFERROR(_xlfn.LET(
_xlpm.CSVVal,_xlfn.XLOOKUP($A39,CSV!$A:$A,CSV!AD:AD,""),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2" t="str" cm="1">
        <f t="array" ref="Q39">IFERROR(_xlfn.LET(
_xlpm.CSVVal,_xlfn.XLOOKUP($A39,CSV!$A:$A,CSV!AE:AE,""),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X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2" t="str">
        <f>_xlfn.TEXTJOIN("",TRUE,Input!$B$2,ROW(My_Audit!A39))</f>
        <v>X39</v>
      </c>
      <c r="B40" s="2" t="str">
        <f>_xlfn.TEXTJOIN("-",TRUE,"ITD",Input!$A$2,A40)</f>
        <v>ITD-SHR-X39</v>
      </c>
      <c r="C40" s="2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2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2" t="str">
        <f>_xlfn.XLOOKUP(A40,My_Audit!A:A,My_Audit!D:D,"")&amp;""</f>
        <v/>
      </c>
      <c r="F40" s="2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2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2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2" t="str">
        <f>_xlfn.XLOOKUP(A40,Output_Mac!A:A,Output_Mac!I:I,"")</f>
        <v/>
      </c>
      <c r="J40" s="2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2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2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2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O40" s="2" t="str">
        <f>_xlfn.LET(
    _xlpm.CSVVal, _xlfn.XLOOKUP($A40, CSV!$A:$A, CSV!AC:AC,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2" t="str" cm="1">
        <f t="array" ref="P40">IFERROR(_xlfn.LET(
_xlpm.CSVVal,_xlfn.XLOOKUP($A40,CSV!$A:$A,CSV!AD:AD,""),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2" t="str" cm="1">
        <f t="array" ref="Q40">IFERROR(_xlfn.LET(
_xlpm.CSVVal,_xlfn.XLOOKUP($A40,CSV!$A:$A,CSV!AE:AE,""),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X40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2" t="str">
        <f>_xlfn.TEXTJOIN("",TRUE,Input!$B$2,ROW(My_Audit!A40))</f>
        <v>X40</v>
      </c>
      <c r="B41" s="2" t="str">
        <f>_xlfn.TEXTJOIN("-",TRUE,"ITD",Input!$A$2,A41)</f>
        <v>ITD-SHR-X40</v>
      </c>
      <c r="C41" s="2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2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2" t="str">
        <f>_xlfn.XLOOKUP(A41,My_Audit!A:A,My_Audit!D:D,"")&amp;""</f>
        <v/>
      </c>
      <c r="F41" s="2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2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2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2" t="str">
        <f>_xlfn.XLOOKUP(A41,Output_Mac!A:A,Output_Mac!I:I,"")</f>
        <v/>
      </c>
      <c r="J41" s="2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2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2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2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O41" s="2" t="str">
        <f>_xlfn.LET(
    _xlpm.CSVVal, _xlfn.XLOOKUP($A41, CSV!$A:$A, CSV!AC:AC,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2" t="str" cm="1">
        <f t="array" ref="P41">IFERROR(_xlfn.LET(
_xlpm.CSVVal,_xlfn.XLOOKUP($A41,CSV!$A:$A,CSV!AD:AD,""),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2" t="str" cm="1">
        <f t="array" ref="Q41">IFERROR(_xlfn.LET(
_xlpm.CSVVal,_xlfn.XLOOKUP($A41,CSV!$A:$A,CSV!AE:AE,""),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X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2" t="str">
        <f>_xlfn.TEXTJOIN("",TRUE,Input!$B$2,ROW(My_Audit!A41))</f>
        <v>X41</v>
      </c>
      <c r="B42" s="2" t="str">
        <f>_xlfn.TEXTJOIN("-",TRUE,"ITD",Input!$A$2,A42)</f>
        <v>ITD-SHR-X41</v>
      </c>
      <c r="C42" s="2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2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2" t="str">
        <f>_xlfn.XLOOKUP(A42,My_Audit!A:A,My_Audit!D:D,"")&amp;""</f>
        <v/>
      </c>
      <c r="F42" s="2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2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2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2" t="str">
        <f>_xlfn.XLOOKUP(A42,Output_Mac!A:A,Output_Mac!I:I,"")</f>
        <v/>
      </c>
      <c r="J42" s="2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2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2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2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O42" s="2" t="str">
        <f>_xlfn.LET(
    _xlpm.CSVVal, _xlfn.XLOOKUP($A42, CSV!$A:$A, CSV!AC:AC,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2" t="str" cm="1">
        <f t="array" ref="P42">IFERROR(_xlfn.LET(
_xlpm.CSVVal,_xlfn.XLOOKUP($A42,CSV!$A:$A,CSV!AD:AD,""),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2" t="str" cm="1">
        <f t="array" ref="Q42">IFERROR(_xlfn.LET(
_xlpm.CSVVal,_xlfn.XLOOKUP($A42,CSV!$A:$A,CSV!AE:AE,""),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X42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2" t="str">
        <f>_xlfn.TEXTJOIN("",TRUE,Input!$B$2,ROW(My_Audit!A42))</f>
        <v>X42</v>
      </c>
      <c r="B43" s="2" t="str">
        <f>_xlfn.TEXTJOIN("-",TRUE,"ITD",Input!$A$2,A43)</f>
        <v>ITD-SHR-X42</v>
      </c>
      <c r="C43" s="2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2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2" t="str">
        <f>_xlfn.XLOOKUP(A43,My_Audit!A:A,My_Audit!D:D,"")&amp;""</f>
        <v/>
      </c>
      <c r="F43" s="2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2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2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2" t="str">
        <f>_xlfn.XLOOKUP(A43,Output_Mac!A:A,Output_Mac!I:I,"")</f>
        <v/>
      </c>
      <c r="J43" s="2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2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2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2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O43" s="2" t="str">
        <f>_xlfn.LET(
    _xlpm.CSVVal, _xlfn.XLOOKUP($A43, CSV!$A:$A, CSV!AC:AC,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2" t="str" cm="1">
        <f t="array" ref="P43">IFERROR(_xlfn.LET(
_xlpm.CSVVal,_xlfn.XLOOKUP($A43,CSV!$A:$A,CSV!AD:AD,""),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2" t="str" cm="1">
        <f t="array" ref="Q43">IFERROR(_xlfn.LET(
_xlpm.CSVVal,_xlfn.XLOOKUP($A43,CSV!$A:$A,CSV!AE:AE,""),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X43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2" t="str">
        <f>_xlfn.TEXTJOIN("",TRUE,Input!$B$2,ROW(My_Audit!A43))</f>
        <v>X43</v>
      </c>
      <c r="B44" s="2" t="str">
        <f>_xlfn.TEXTJOIN("-",TRUE,"ITD",Input!$A$2,A44)</f>
        <v>ITD-SHR-X43</v>
      </c>
      <c r="C44" s="2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2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2" t="str">
        <f>_xlfn.XLOOKUP(A44,My_Audit!A:A,My_Audit!D:D,"")&amp;""</f>
        <v/>
      </c>
      <c r="F44" s="2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2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2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2" t="str">
        <f>_xlfn.XLOOKUP(A44,Output_Mac!A:A,Output_Mac!I:I,"")</f>
        <v/>
      </c>
      <c r="J44" s="2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2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2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2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O44" s="2" t="str">
        <f>_xlfn.LET(
    _xlpm.CSVVal, _xlfn.XLOOKUP($A44, CSV!$A:$A, CSV!AC:AC,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2" t="str" cm="1">
        <f t="array" ref="P44">IFERROR(_xlfn.LET(
_xlpm.CSVVal,_xlfn.XLOOKUP($A44,CSV!$A:$A,CSV!AD:AD,""),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2" t="str" cm="1">
        <f t="array" ref="Q44">IFERROR(_xlfn.LET(
_xlpm.CSVVal,_xlfn.XLOOKUP($A44,CSV!$A:$A,CSV!AE:AE,""),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X44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2" t="str">
        <f>_xlfn.TEXTJOIN("",TRUE,Input!$B$2,ROW(My_Audit!A44))</f>
        <v>X44</v>
      </c>
      <c r="B45" s="2" t="str">
        <f>_xlfn.TEXTJOIN("-",TRUE,"ITD",Input!$A$2,A45)</f>
        <v>ITD-SHR-X44</v>
      </c>
      <c r="C45" s="2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2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2" t="str">
        <f>_xlfn.XLOOKUP(A45,My_Audit!A:A,My_Audit!D:D,"")&amp;""</f>
        <v/>
      </c>
      <c r="F45" s="2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2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2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2" t="str">
        <f>_xlfn.XLOOKUP(A45,Output_Mac!A:A,Output_Mac!I:I,"")</f>
        <v/>
      </c>
      <c r="J45" s="2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2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2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2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O45" s="2" t="str">
        <f>_xlfn.LET(
    _xlpm.CSVVal, _xlfn.XLOOKUP($A45, CSV!$A:$A, CSV!AC:AC,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2" t="str" cm="1">
        <f t="array" ref="P45">IFERROR(_xlfn.LET(
_xlpm.CSVVal,_xlfn.XLOOKUP($A45,CSV!$A:$A,CSV!AD:AD,""),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2" t="str" cm="1">
        <f t="array" ref="Q45">IFERROR(_xlfn.LET(
_xlpm.CSVVal,_xlfn.XLOOKUP($A45,CSV!$A:$A,CSV!AE:AE,""),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X45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2" t="str">
        <f>_xlfn.TEXTJOIN("",TRUE,Input!$B$2,ROW(My_Audit!A45))</f>
        <v>X45</v>
      </c>
      <c r="B46" s="2" t="str">
        <f>_xlfn.TEXTJOIN("-",TRUE,"ITD",Input!$A$2,A46)</f>
        <v>ITD-SHR-X45</v>
      </c>
      <c r="C46" s="2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2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2" t="str">
        <f>_xlfn.XLOOKUP(A46,My_Audit!A:A,My_Audit!D:D,"")&amp;""</f>
        <v/>
      </c>
      <c r="F46" s="2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2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2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2" t="str">
        <f>_xlfn.XLOOKUP(A46,Output_Mac!A:A,Output_Mac!I:I,"")</f>
        <v/>
      </c>
      <c r="J46" s="2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2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2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2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O46" s="2" t="str">
        <f>_xlfn.LET(
    _xlpm.CSVVal, _xlfn.XLOOKUP($A46, CSV!$A:$A, CSV!AC:AC,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2" t="str" cm="1">
        <f t="array" ref="P46">IFERROR(_xlfn.LET(
_xlpm.CSVVal,_xlfn.XLOOKUP($A46,CSV!$A:$A,CSV!AD:AD,""),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2" t="str" cm="1">
        <f t="array" ref="Q46">IFERROR(_xlfn.LET(
_xlpm.CSVVal,_xlfn.XLOOKUP($A46,CSV!$A:$A,CSV!AE:AE,""),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X46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2" t="str">
        <f>_xlfn.TEXTJOIN("",TRUE,Input!$B$2,ROW(My_Audit!A46))</f>
        <v>X46</v>
      </c>
      <c r="B47" s="2" t="str">
        <f>_xlfn.TEXTJOIN("-",TRUE,"ITD",Input!$A$2,A47)</f>
        <v>ITD-SHR-X46</v>
      </c>
      <c r="C47" s="2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2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2" t="str">
        <f>_xlfn.XLOOKUP(A47,My_Audit!A:A,My_Audit!D:D,"")&amp;""</f>
        <v/>
      </c>
      <c r="F47" s="2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2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2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2" t="str">
        <f>_xlfn.XLOOKUP(A47,Output_Mac!A:A,Output_Mac!I:I,"")</f>
        <v/>
      </c>
      <c r="J47" s="2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2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2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2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O47" s="2" t="str">
        <f>_xlfn.LET(
    _xlpm.CSVVal, _xlfn.XLOOKUP($A47, CSV!$A:$A, CSV!AC:AC,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2" t="str" cm="1">
        <f t="array" ref="P47">IFERROR(_xlfn.LET(
_xlpm.CSVVal,_xlfn.XLOOKUP($A47,CSV!$A:$A,CSV!AD:AD,""),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2" t="str" cm="1">
        <f t="array" ref="Q47">IFERROR(_xlfn.LET(
_xlpm.CSVVal,_xlfn.XLOOKUP($A47,CSV!$A:$A,CSV!AE:AE,""),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X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2" t="str">
        <f>_xlfn.TEXTJOIN("",TRUE,Input!$B$2,ROW(My_Audit!A47))</f>
        <v>X47</v>
      </c>
      <c r="B48" s="2" t="str">
        <f>_xlfn.TEXTJOIN("-",TRUE,"ITD",Input!$A$2,A48)</f>
        <v>ITD-SHR-X47</v>
      </c>
      <c r="C48" s="2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2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2" t="str">
        <f>_xlfn.XLOOKUP(A48,My_Audit!A:A,My_Audit!D:D,"")&amp;""</f>
        <v/>
      </c>
      <c r="F48" s="2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2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2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2" t="str">
        <f>_xlfn.XLOOKUP(A48,Output_Mac!A:A,Output_Mac!I:I,"")</f>
        <v/>
      </c>
      <c r="J48" s="2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2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2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2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O48" s="2" t="str">
        <f>_xlfn.LET(
    _xlpm.CSVVal, _xlfn.XLOOKUP($A48, CSV!$A:$A, CSV!AC:AC,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2" t="str" cm="1">
        <f t="array" ref="P48">IFERROR(_xlfn.LET(
_xlpm.CSVVal,_xlfn.XLOOKUP($A48,CSV!$A:$A,CSV!AD:AD,""),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2" t="str" cm="1">
        <f t="array" ref="Q48">IFERROR(_xlfn.LET(
_xlpm.CSVVal,_xlfn.XLOOKUP($A48,CSV!$A:$A,CSV!AE:AE,""),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X48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2" t="str">
        <f>_xlfn.TEXTJOIN("",TRUE,Input!$B$2,ROW(My_Audit!A48))</f>
        <v>X48</v>
      </c>
      <c r="B49" s="2" t="str">
        <f>_xlfn.TEXTJOIN("-",TRUE,"ITD",Input!$A$2,A49)</f>
        <v>ITD-SHR-X48</v>
      </c>
      <c r="C49" s="2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2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2" t="str">
        <f>_xlfn.XLOOKUP(A49,My_Audit!A:A,My_Audit!D:D,"")&amp;""</f>
        <v/>
      </c>
      <c r="F49" s="2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2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2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2" t="str">
        <f>_xlfn.XLOOKUP(A49,Output_Mac!A:A,Output_Mac!I:I,"")</f>
        <v/>
      </c>
      <c r="J49" s="2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2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2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2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O49" s="2" t="str">
        <f>_xlfn.LET(
    _xlpm.CSVVal, _xlfn.XLOOKUP($A49, CSV!$A:$A, CSV!AC:AC,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2" t="str" cm="1">
        <f t="array" ref="P49">IFERROR(_xlfn.LET(
_xlpm.CSVVal,_xlfn.XLOOKUP($A49,CSV!$A:$A,CSV!AD:AD,""),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2" t="str" cm="1">
        <f t="array" ref="Q49">IFERROR(_xlfn.LET(
_xlpm.CSVVal,_xlfn.XLOOKUP($A49,CSV!$A:$A,CSV!AE:AE,""),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X4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2" t="str">
        <f>_xlfn.TEXTJOIN("",TRUE,Input!$B$2,ROW(My_Audit!A49))</f>
        <v>X49</v>
      </c>
      <c r="B50" s="2" t="str">
        <f>_xlfn.TEXTJOIN("-",TRUE,"ITD",Input!$A$2,A50)</f>
        <v>ITD-SHR-X49</v>
      </c>
      <c r="C50" s="2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2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2" t="str">
        <f>_xlfn.XLOOKUP(A50,My_Audit!A:A,My_Audit!D:D,"")&amp;""</f>
        <v/>
      </c>
      <c r="F50" s="2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2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2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2" t="str">
        <f>_xlfn.XLOOKUP(A50,Output_Mac!A:A,Output_Mac!I:I,"")</f>
        <v/>
      </c>
      <c r="J50" s="2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2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2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2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O50" s="2" t="str">
        <f>_xlfn.LET(
    _xlpm.CSVVal, _xlfn.XLOOKUP($A50, CSV!$A:$A, CSV!AC:AC,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2" t="str" cm="1">
        <f t="array" ref="P50">IFERROR(_xlfn.LET(
_xlpm.CSVVal,_xlfn.XLOOKUP($A50,CSV!$A:$A,CSV!AD:AD,""),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2" t="str" cm="1">
        <f t="array" ref="Q50">IFERROR(_xlfn.LET(
_xlpm.CSVVal,_xlfn.XLOOKUP($A50,CSV!$A:$A,CSV!AE:AE,""),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X50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2" t="str">
        <f>_xlfn.TEXTJOIN("",TRUE,Input!$B$2,ROW(My_Audit!A50))</f>
        <v>X50</v>
      </c>
      <c r="B51" s="2" t="str">
        <f>_xlfn.TEXTJOIN("-",TRUE,"ITD",Input!$A$2,A51)</f>
        <v>ITD-SHR-X50</v>
      </c>
      <c r="C51" s="2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2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2" t="str">
        <f>_xlfn.XLOOKUP(A51,My_Audit!A:A,My_Audit!D:D,"")&amp;""</f>
        <v/>
      </c>
      <c r="F51" s="2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2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2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2" t="str">
        <f>_xlfn.XLOOKUP(A51,Output_Mac!A:A,Output_Mac!I:I,"")</f>
        <v/>
      </c>
      <c r="J51" s="2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2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2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2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O51" s="2" t="str">
        <f>_xlfn.LET(
    _xlpm.CSVVal, _xlfn.XLOOKUP($A51, CSV!$A:$A, CSV!AC:AC,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2" t="str" cm="1">
        <f t="array" ref="P51">IFERROR(_xlfn.LET(
_xlpm.CSVVal,_xlfn.XLOOKUP($A51,CSV!$A:$A,CSV!AD:AD,""),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2" t="str" cm="1">
        <f t="array" ref="Q51">IFERROR(_xlfn.LET(
_xlpm.CSVVal,_xlfn.XLOOKUP($A51,CSV!$A:$A,CSV!AE:AE,""),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X5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2" t="str">
        <f>_xlfn.TEXTJOIN("",TRUE,Input!$B$2,ROW(My_Audit!A51))</f>
        <v>X51</v>
      </c>
      <c r="B52" s="2" t="str">
        <f>_xlfn.TEXTJOIN("-",TRUE,"ITD",Input!$A$2,A52)</f>
        <v>ITD-SHR-X51</v>
      </c>
      <c r="C52" s="2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2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2" t="str">
        <f>_xlfn.XLOOKUP(A52,My_Audit!A:A,My_Audit!D:D,"")&amp;""</f>
        <v/>
      </c>
      <c r="F52" s="2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2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2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2" t="str">
        <f>_xlfn.XLOOKUP(A52,Output_Mac!A:A,Output_Mac!I:I,"")</f>
        <v/>
      </c>
      <c r="J52" s="2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2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2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2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O52" s="2" t="str">
        <f>_xlfn.LET(
    _xlpm.CSVVal, _xlfn.XLOOKUP($A52, CSV!$A:$A, CSV!AC:AC,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2" t="str" cm="1">
        <f t="array" ref="P52">IFERROR(_xlfn.LET(
_xlpm.CSVVal,_xlfn.XLOOKUP($A52,CSV!$A:$A,CSV!AD:AD,""),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2" t="str" cm="1">
        <f t="array" ref="Q52">IFERROR(_xlfn.LET(
_xlpm.CSVVal,_xlfn.XLOOKUP($A52,CSV!$A:$A,CSV!AE:AE,""),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X52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2" t="str">
        <f>_xlfn.TEXTJOIN("",TRUE,Input!$B$2,ROW(My_Audit!A52))</f>
        <v>X52</v>
      </c>
      <c r="B53" s="2" t="str">
        <f>_xlfn.TEXTJOIN("-",TRUE,"ITD",Input!$A$2,A53)</f>
        <v>ITD-SHR-X52</v>
      </c>
      <c r="C53" s="2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2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2" t="str">
        <f>_xlfn.XLOOKUP(A53,My_Audit!A:A,My_Audit!D:D,"")&amp;""</f>
        <v/>
      </c>
      <c r="F53" s="2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2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2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2" t="str">
        <f>_xlfn.XLOOKUP(A53,Output_Mac!A:A,Output_Mac!I:I,"")</f>
        <v/>
      </c>
      <c r="J53" s="2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2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2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2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O53" s="2" t="str">
        <f>_xlfn.LET(
    _xlpm.CSVVal, _xlfn.XLOOKUP($A53, CSV!$A:$A, CSV!AC:AC,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2" t="str" cm="1">
        <f t="array" ref="P53">IFERROR(_xlfn.LET(
_xlpm.CSVVal,_xlfn.XLOOKUP($A53,CSV!$A:$A,CSV!AD:AD,""),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2" t="str" cm="1">
        <f t="array" ref="Q53">IFERROR(_xlfn.LET(
_xlpm.CSVVal,_xlfn.XLOOKUP($A53,CSV!$A:$A,CSV!AE:AE,""),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X53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2" t="str">
        <f>_xlfn.TEXTJOIN("",TRUE,Input!$B$2,ROW(My_Audit!A53))</f>
        <v>X53</v>
      </c>
      <c r="B54" s="2" t="str">
        <f>_xlfn.TEXTJOIN("-",TRUE,"ITD",Input!$A$2,A54)</f>
        <v>ITD-SHR-X53</v>
      </c>
      <c r="C54" s="2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2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2" t="str">
        <f>_xlfn.XLOOKUP(A54,My_Audit!A:A,My_Audit!D:D,"")&amp;""</f>
        <v/>
      </c>
      <c r="F54" s="2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2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2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2" t="str">
        <f>_xlfn.XLOOKUP(A54,Output_Mac!A:A,Output_Mac!I:I,"")</f>
        <v/>
      </c>
      <c r="J54" s="2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2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2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2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O54" s="2" t="str">
        <f>_xlfn.LET(
    _xlpm.CSVVal, _xlfn.XLOOKUP($A54, CSV!$A:$A, CSV!AC:AC,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2" t="str" cm="1">
        <f t="array" ref="P54">IFERROR(_xlfn.LET(
_xlpm.CSVVal,_xlfn.XLOOKUP($A54,CSV!$A:$A,CSV!AD:AD,""),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2" t="str" cm="1">
        <f t="array" ref="Q54">IFERROR(_xlfn.LET(
_xlpm.CSVVal,_xlfn.XLOOKUP($A54,CSV!$A:$A,CSV!AE:AE,""),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X54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2" t="str">
        <f>_xlfn.TEXTJOIN("",TRUE,Input!$B$2,ROW(My_Audit!A54))</f>
        <v>X54</v>
      </c>
      <c r="B55" s="2" t="str">
        <f>_xlfn.TEXTJOIN("-",TRUE,"ITD",Input!$A$2,A55)</f>
        <v>ITD-SHR-X54</v>
      </c>
      <c r="C55" s="2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2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2" t="str">
        <f>_xlfn.XLOOKUP(A55,My_Audit!A:A,My_Audit!D:D,"")&amp;""</f>
        <v/>
      </c>
      <c r="F55" s="2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2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2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2" t="str">
        <f>_xlfn.XLOOKUP(A55,Output_Mac!A:A,Output_Mac!I:I,"")</f>
        <v/>
      </c>
      <c r="J55" s="2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2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2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2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O55" s="2" t="str">
        <f>_xlfn.LET(
    _xlpm.CSVVal, _xlfn.XLOOKUP($A55, CSV!$A:$A, CSV!AC:AC,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2" t="str" cm="1">
        <f t="array" ref="P55">IFERROR(_xlfn.LET(
_xlpm.CSVVal,_xlfn.XLOOKUP($A55,CSV!$A:$A,CSV!AD:AD,""),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2" t="str" cm="1">
        <f t="array" ref="Q55">IFERROR(_xlfn.LET(
_xlpm.CSVVal,_xlfn.XLOOKUP($A55,CSV!$A:$A,CSV!AE:AE,""),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X55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2" t="str">
        <f>_xlfn.TEXTJOIN("",TRUE,Input!$B$2,ROW(My_Audit!A55))</f>
        <v>X55</v>
      </c>
      <c r="B56" s="2" t="str">
        <f>_xlfn.TEXTJOIN("-",TRUE,"ITD",Input!$A$2,A56)</f>
        <v>ITD-SHR-X55</v>
      </c>
      <c r="C56" s="2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2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2" t="str">
        <f>_xlfn.XLOOKUP(A56,My_Audit!A:A,My_Audit!D:D,"")&amp;""</f>
        <v/>
      </c>
      <c r="F56" s="2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2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2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2" t="str">
        <f>_xlfn.XLOOKUP(A56,Output_Mac!A:A,Output_Mac!I:I,"")</f>
        <v/>
      </c>
      <c r="J56" s="2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2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2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2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O56" s="2" t="str">
        <f>_xlfn.LET(
    _xlpm.CSVVal, _xlfn.XLOOKUP($A56, CSV!$A:$A, CSV!AC:AC,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2" t="str" cm="1">
        <f t="array" ref="P56">IFERROR(_xlfn.LET(
_xlpm.CSVVal,_xlfn.XLOOKUP($A56,CSV!$A:$A,CSV!AD:AD,""),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2" t="str" cm="1">
        <f t="array" ref="Q56">IFERROR(_xlfn.LET(
_xlpm.CSVVal,_xlfn.XLOOKUP($A56,CSV!$A:$A,CSV!AE:AE,""),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X56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2" t="str">
        <f>_xlfn.TEXTJOIN("",TRUE,Input!$B$2,ROW(My_Audit!A56))</f>
        <v>X56</v>
      </c>
      <c r="B57" s="2" t="str">
        <f>_xlfn.TEXTJOIN("-",TRUE,"ITD",Input!$A$2,A57)</f>
        <v>ITD-SHR-X56</v>
      </c>
      <c r="C57" s="2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2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2" t="str">
        <f>_xlfn.XLOOKUP(A57,My_Audit!A:A,My_Audit!D:D,"")&amp;""</f>
        <v/>
      </c>
      <c r="F57" s="2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2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2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2" t="str">
        <f>_xlfn.XLOOKUP(A57,Output_Mac!A:A,Output_Mac!I:I,"")</f>
        <v/>
      </c>
      <c r="J57" s="2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2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2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2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O57" s="2" t="str">
        <f>_xlfn.LET(
    _xlpm.CSVVal, _xlfn.XLOOKUP($A57, CSV!$A:$A, CSV!AC:AC,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2" t="str" cm="1">
        <f t="array" ref="P57">IFERROR(_xlfn.LET(
_xlpm.CSVVal,_xlfn.XLOOKUP($A57,CSV!$A:$A,CSV!AD:AD,""),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2" t="str" cm="1">
        <f t="array" ref="Q57">IFERROR(_xlfn.LET(
_xlpm.CSVVal,_xlfn.XLOOKUP($A57,CSV!$A:$A,CSV!AE:AE,""),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X5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2" t="str">
        <f>_xlfn.TEXTJOIN("",TRUE,Input!$B$2,ROW(My_Audit!A57))</f>
        <v>X57</v>
      </c>
      <c r="B58" s="2" t="str">
        <f>_xlfn.TEXTJOIN("-",TRUE,"ITD",Input!$A$2,A58)</f>
        <v>ITD-SHR-X57</v>
      </c>
      <c r="C58" s="2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2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2" t="str">
        <f>_xlfn.XLOOKUP(A58,My_Audit!A:A,My_Audit!D:D,"")&amp;""</f>
        <v/>
      </c>
      <c r="F58" s="2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2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2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2" t="str">
        <f>_xlfn.XLOOKUP(A58,Output_Mac!A:A,Output_Mac!I:I,"")</f>
        <v/>
      </c>
      <c r="J58" s="2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2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2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2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O58" s="2" t="str">
        <f>_xlfn.LET(
    _xlpm.CSVVal, _xlfn.XLOOKUP($A58, CSV!$A:$A, CSV!AC:AC,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2" t="str" cm="1">
        <f t="array" ref="P58">IFERROR(_xlfn.LET(
_xlpm.CSVVal,_xlfn.XLOOKUP($A58,CSV!$A:$A,CSV!AD:AD,""),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2" t="str" cm="1">
        <f t="array" ref="Q58">IFERROR(_xlfn.LET(
_xlpm.CSVVal,_xlfn.XLOOKUP($A58,CSV!$A:$A,CSV!AE:AE,""),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X58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2" t="str">
        <f>_xlfn.TEXTJOIN("",TRUE,Input!$B$2,ROW(My_Audit!A58))</f>
        <v>X58</v>
      </c>
      <c r="B59" s="2" t="str">
        <f>_xlfn.TEXTJOIN("-",TRUE,"ITD",Input!$A$2,A59)</f>
        <v>ITD-SHR-X58</v>
      </c>
      <c r="C59" s="2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2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2" t="str">
        <f>_xlfn.XLOOKUP(A59,My_Audit!A:A,My_Audit!D:D,"")&amp;""</f>
        <v/>
      </c>
      <c r="F59" s="2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2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2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2" t="str">
        <f>_xlfn.XLOOKUP(A59,Output_Mac!A:A,Output_Mac!I:I,"")</f>
        <v/>
      </c>
      <c r="J59" s="2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2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2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2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O59" s="2" t="str">
        <f>_xlfn.LET(
    _xlpm.CSVVal, _xlfn.XLOOKUP($A59, CSV!$A:$A, CSV!AC:AC,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2" t="str" cm="1">
        <f t="array" ref="P59">IFERROR(_xlfn.LET(
_xlpm.CSVVal,_xlfn.XLOOKUP($A59,CSV!$A:$A,CSV!AD:AD,""),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2" t="str" cm="1">
        <f t="array" ref="Q59">IFERROR(_xlfn.LET(
_xlpm.CSVVal,_xlfn.XLOOKUP($A59,CSV!$A:$A,CSV!AE:AE,""),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X5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2" t="str">
        <f>_xlfn.TEXTJOIN("",TRUE,Input!$B$2,ROW(My_Audit!A59))</f>
        <v>X59</v>
      </c>
      <c r="B60" s="2" t="str">
        <f>_xlfn.TEXTJOIN("-",TRUE,"ITD",Input!$A$2,A60)</f>
        <v>ITD-SHR-X59</v>
      </c>
      <c r="C60" s="2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2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2" t="str">
        <f>_xlfn.XLOOKUP(A60,My_Audit!A:A,My_Audit!D:D,"")&amp;""</f>
        <v/>
      </c>
      <c r="F60" s="2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2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2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2" t="str">
        <f>_xlfn.XLOOKUP(A60,Output_Mac!A:A,Output_Mac!I:I,"")</f>
        <v/>
      </c>
      <c r="J60" s="2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2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2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2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O60" s="2" t="str">
        <f>_xlfn.LET(
    _xlpm.CSVVal, _xlfn.XLOOKUP($A60, CSV!$A:$A, CSV!AC:AC,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2" t="str" cm="1">
        <f t="array" ref="P60">IFERROR(_xlfn.LET(
_xlpm.CSVVal,_xlfn.XLOOKUP($A60,CSV!$A:$A,CSV!AD:AD,""),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2" t="str" cm="1">
        <f t="array" ref="Q60">IFERROR(_xlfn.LET(
_xlpm.CSVVal,_xlfn.XLOOKUP($A60,CSV!$A:$A,CSV!AE:AE,""),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X60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2" t="str">
        <f>_xlfn.TEXTJOIN("",TRUE,Input!$B$2,ROW(My_Audit!A60))</f>
        <v>X60</v>
      </c>
      <c r="B61" s="2" t="str">
        <f>_xlfn.TEXTJOIN("-",TRUE,"ITD",Input!$A$2,A61)</f>
        <v>ITD-SHR-X60</v>
      </c>
      <c r="C61" s="2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2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2" t="str">
        <f>_xlfn.XLOOKUP(A61,My_Audit!A:A,My_Audit!D:D,"")&amp;""</f>
        <v/>
      </c>
      <c r="F61" s="2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2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2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2" t="str">
        <f>_xlfn.XLOOKUP(A61,Output_Mac!A:A,Output_Mac!I:I,"")</f>
        <v/>
      </c>
      <c r="J61" s="2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2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2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2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O61" s="2" t="str">
        <f>_xlfn.LET(
    _xlpm.CSVVal, _xlfn.XLOOKUP($A61, CSV!$A:$A, CSV!AC:AC,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2" t="str" cm="1">
        <f t="array" ref="P61">IFERROR(_xlfn.LET(
_xlpm.CSVVal,_xlfn.XLOOKUP($A61,CSV!$A:$A,CSV!AD:AD,""),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2" t="str" cm="1">
        <f t="array" ref="Q61">IFERROR(_xlfn.LET(
_xlpm.CSVVal,_xlfn.XLOOKUP($A61,CSV!$A:$A,CSV!AE:AE,""),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X6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2" t="str">
        <f>_xlfn.TEXTJOIN("",TRUE,Input!$B$2,ROW(My_Audit!A61))</f>
        <v>X61</v>
      </c>
      <c r="B62" s="2" t="str">
        <f>_xlfn.TEXTJOIN("-",TRUE,"ITD",Input!$A$2,A62)</f>
        <v>ITD-SHR-X61</v>
      </c>
      <c r="C62" s="2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2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2" t="str">
        <f>_xlfn.XLOOKUP(A62,My_Audit!A:A,My_Audit!D:D,"")&amp;""</f>
        <v/>
      </c>
      <c r="F62" s="2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2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2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2" t="str">
        <f>_xlfn.XLOOKUP(A62,Output_Mac!A:A,Output_Mac!I:I,"")</f>
        <v/>
      </c>
      <c r="J62" s="2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2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2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2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O62" s="2" t="str">
        <f>_xlfn.LET(
    _xlpm.CSVVal, _xlfn.XLOOKUP($A62, CSV!$A:$A, CSV!AC:AC,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2" t="str" cm="1">
        <f t="array" ref="P62">IFERROR(_xlfn.LET(
_xlpm.CSVVal,_xlfn.XLOOKUP($A62,CSV!$A:$A,CSV!AD:AD,""),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2" t="str" cm="1">
        <f t="array" ref="Q62">IFERROR(_xlfn.LET(
_xlpm.CSVVal,_xlfn.XLOOKUP($A62,CSV!$A:$A,CSV!AE:AE,""),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X62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2" t="str">
        <f>_xlfn.TEXTJOIN("",TRUE,Input!$B$2,ROW(My_Audit!A62))</f>
        <v>X62</v>
      </c>
      <c r="B63" s="2" t="str">
        <f>_xlfn.TEXTJOIN("-",TRUE,"ITD",Input!$A$2,A63)</f>
        <v>ITD-SHR-X62</v>
      </c>
      <c r="C63" s="2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2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2" t="str">
        <f>_xlfn.XLOOKUP(A63,My_Audit!A:A,My_Audit!D:D,"")&amp;""</f>
        <v/>
      </c>
      <c r="F63" s="2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2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2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2" t="str">
        <f>_xlfn.XLOOKUP(A63,Output_Mac!A:A,Output_Mac!I:I,"")</f>
        <v/>
      </c>
      <c r="J63" s="2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2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2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2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O63" s="2" t="str">
        <f>_xlfn.LET(
    _xlpm.CSVVal, _xlfn.XLOOKUP($A63, CSV!$A:$A, CSV!AC:AC,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2" t="str" cm="1">
        <f t="array" ref="P63">IFERROR(_xlfn.LET(
_xlpm.CSVVal,_xlfn.XLOOKUP($A63,CSV!$A:$A,CSV!AD:AD,""),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2" t="str" cm="1">
        <f t="array" ref="Q63">IFERROR(_xlfn.LET(
_xlpm.CSVVal,_xlfn.XLOOKUP($A63,CSV!$A:$A,CSV!AE:AE,""),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X63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2" t="str">
        <f>_xlfn.TEXTJOIN("",TRUE,Input!$B$2,ROW(My_Audit!A63))</f>
        <v>X63</v>
      </c>
      <c r="B64" s="2" t="str">
        <f>_xlfn.TEXTJOIN("-",TRUE,"ITD",Input!$A$2,A64)</f>
        <v>ITD-SHR-X63</v>
      </c>
      <c r="C64" s="2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2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2" t="str">
        <f>_xlfn.XLOOKUP(A64,My_Audit!A:A,My_Audit!D:D,"")&amp;""</f>
        <v/>
      </c>
      <c r="F64" s="2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2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2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2" t="str">
        <f>_xlfn.XLOOKUP(A64,Output_Mac!A:A,Output_Mac!I:I,"")</f>
        <v/>
      </c>
      <c r="J64" s="2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2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2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2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O64" s="2" t="str">
        <f>_xlfn.LET(
    _xlpm.CSVVal, _xlfn.XLOOKUP($A64, CSV!$A:$A, CSV!AC:AC,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2" t="str" cm="1">
        <f t="array" ref="P64">IFERROR(_xlfn.LET(
_xlpm.CSVVal,_xlfn.XLOOKUP($A64,CSV!$A:$A,CSV!AD:AD,""),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2" t="str" cm="1">
        <f t="array" ref="Q64">IFERROR(_xlfn.LET(
_xlpm.CSVVal,_xlfn.XLOOKUP($A64,CSV!$A:$A,CSV!AE:AE,""),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X64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2" t="str">
        <f>_xlfn.TEXTJOIN("",TRUE,Input!$B$2,ROW(My_Audit!A64))</f>
        <v>X64</v>
      </c>
      <c r="B65" s="2" t="str">
        <f>_xlfn.TEXTJOIN("-",TRUE,"ITD",Input!$A$2,A65)</f>
        <v>ITD-SHR-X64</v>
      </c>
      <c r="C65" s="2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2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2" t="str">
        <f>_xlfn.XLOOKUP(A65,My_Audit!A:A,My_Audit!D:D,"")&amp;""</f>
        <v/>
      </c>
      <c r="F65" s="2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2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2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2" t="str">
        <f>_xlfn.XLOOKUP(A65,Output_Mac!A:A,Output_Mac!I:I,"")</f>
        <v/>
      </c>
      <c r="J65" s="2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2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2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2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O65" s="2" t="str">
        <f>_xlfn.LET(
    _xlpm.CSVVal, _xlfn.XLOOKUP($A65, CSV!$A:$A, CSV!AC:AC,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2" t="str" cm="1">
        <f t="array" ref="P65">IFERROR(_xlfn.LET(
_xlpm.CSVVal,_xlfn.XLOOKUP($A65,CSV!$A:$A,CSV!AD:AD,""),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2" t="str" cm="1">
        <f t="array" ref="Q65">IFERROR(_xlfn.LET(
_xlpm.CSVVal,_xlfn.XLOOKUP($A65,CSV!$A:$A,CSV!AE:AE,""),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X65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2" t="str">
        <f>_xlfn.TEXTJOIN("",TRUE,Input!$B$2,ROW(My_Audit!A65))</f>
        <v>X65</v>
      </c>
      <c r="B66" s="2" t="str">
        <f>_xlfn.TEXTJOIN("-",TRUE,"ITD",Input!$A$2,A66)</f>
        <v>ITD-SHR-X65</v>
      </c>
      <c r="C66" s="2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2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2" t="str">
        <f>_xlfn.XLOOKUP(A66,My_Audit!A:A,My_Audit!D:D,"")&amp;""</f>
        <v/>
      </c>
      <c r="F66" s="2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2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2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2" t="str">
        <f>_xlfn.XLOOKUP(A66,Output_Mac!A:A,Output_Mac!I:I,"")</f>
        <v/>
      </c>
      <c r="J66" s="2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2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2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2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O66" s="2" t="str">
        <f>_xlfn.LET(
    _xlpm.CSVVal, _xlfn.XLOOKUP($A66, CSV!$A:$A, CSV!AC:AC,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2" t="str" cm="1">
        <f t="array" ref="P66">IFERROR(_xlfn.LET(
_xlpm.CSVVal,_xlfn.XLOOKUP($A66,CSV!$A:$A,CSV!AD:AD,""),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2" t="str" cm="1">
        <f t="array" ref="Q66">IFERROR(_xlfn.LET(
_xlpm.CSVVal,_xlfn.XLOOKUP($A66,CSV!$A:$A,CSV!AE:AE,""),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X66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2" t="str">
        <f>_xlfn.TEXTJOIN("",TRUE,Input!$B$2,ROW(My_Audit!A66))</f>
        <v>X66</v>
      </c>
      <c r="B67" s="2" t="str">
        <f>_xlfn.TEXTJOIN("-",TRUE,"ITD",Input!$A$2,A67)</f>
        <v>ITD-SHR-X66</v>
      </c>
      <c r="C67" s="2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2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2" t="str">
        <f>_xlfn.XLOOKUP(A67,My_Audit!A:A,My_Audit!D:D,"")&amp;""</f>
        <v/>
      </c>
      <c r="F67" s="2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2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2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2" t="str">
        <f>_xlfn.XLOOKUP(A67,Output_Mac!A:A,Output_Mac!I:I,"")</f>
        <v/>
      </c>
      <c r="J67" s="2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2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2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2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O67" s="2" t="str">
        <f>_xlfn.LET(
    _xlpm.CSVVal, _xlfn.XLOOKUP($A67, CSV!$A:$A, CSV!AC:AC,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2" t="str" cm="1">
        <f t="array" ref="P67">IFERROR(_xlfn.LET(
_xlpm.CSVVal,_xlfn.XLOOKUP($A67,CSV!$A:$A,CSV!AD:AD,""),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2" t="str" cm="1">
        <f t="array" ref="Q67">IFERROR(_xlfn.LET(
_xlpm.CSVVal,_xlfn.XLOOKUP($A67,CSV!$A:$A,CSV!AE:AE,""),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X6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2" t="str">
        <f>_xlfn.TEXTJOIN("",TRUE,Input!$B$2,ROW(My_Audit!A67))</f>
        <v>X67</v>
      </c>
      <c r="B68" s="2" t="str">
        <f>_xlfn.TEXTJOIN("-",TRUE,"ITD",Input!$A$2,A68)</f>
        <v>ITD-SHR-X67</v>
      </c>
      <c r="C68" s="2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2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2" t="str">
        <f>_xlfn.XLOOKUP(A68,My_Audit!A:A,My_Audit!D:D,"")&amp;""</f>
        <v/>
      </c>
      <c r="F68" s="2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2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2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2" t="str">
        <f>_xlfn.XLOOKUP(A68,Output_Mac!A:A,Output_Mac!I:I,"")</f>
        <v/>
      </c>
      <c r="J68" s="2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2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2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2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O68" s="2" t="str">
        <f>_xlfn.LET(
    _xlpm.CSVVal, _xlfn.XLOOKUP($A68, CSV!$A:$A, CSV!AC:AC,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2" t="str" cm="1">
        <f t="array" ref="P68">IFERROR(_xlfn.LET(
_xlpm.CSVVal,_xlfn.XLOOKUP($A68,CSV!$A:$A,CSV!AD:AD,""),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2" t="str" cm="1">
        <f t="array" ref="Q68">IFERROR(_xlfn.LET(
_xlpm.CSVVal,_xlfn.XLOOKUP($A68,CSV!$A:$A,CSV!AE:AE,""),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X68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2" t="str">
        <f>_xlfn.TEXTJOIN("",TRUE,Input!$B$2,ROW(My_Audit!A68))</f>
        <v>X68</v>
      </c>
      <c r="B69" s="2" t="str">
        <f>_xlfn.TEXTJOIN("-",TRUE,"ITD",Input!$A$2,A69)</f>
        <v>ITD-SHR-X68</v>
      </c>
      <c r="C69" s="2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2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2" t="str">
        <f>_xlfn.XLOOKUP(A69,My_Audit!A:A,My_Audit!D:D,"")&amp;""</f>
        <v/>
      </c>
      <c r="F69" s="2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2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2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2" t="str">
        <f>_xlfn.XLOOKUP(A69,Output_Mac!A:A,Output_Mac!I:I,"")</f>
        <v/>
      </c>
      <c r="J69" s="2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2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2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2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O69" s="2" t="str">
        <f>_xlfn.LET(
    _xlpm.CSVVal, _xlfn.XLOOKUP($A69, CSV!$A:$A, CSV!AC:AC,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2" t="str" cm="1">
        <f t="array" ref="P69">IFERROR(_xlfn.LET(
_xlpm.CSVVal,_xlfn.XLOOKUP($A69,CSV!$A:$A,CSV!AD:AD,""),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2" t="str" cm="1">
        <f t="array" ref="Q69">IFERROR(_xlfn.LET(
_xlpm.CSVVal,_xlfn.XLOOKUP($A69,CSV!$A:$A,CSV!AE:AE,""),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X6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2" t="str">
        <f>_xlfn.TEXTJOIN("",TRUE,Input!$B$2,ROW(My_Audit!A69))</f>
        <v>X69</v>
      </c>
      <c r="B70" s="2" t="str">
        <f>_xlfn.TEXTJOIN("-",TRUE,"ITD",Input!$A$2,A70)</f>
        <v>ITD-SHR-X69</v>
      </c>
      <c r="C70" s="2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2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2" t="str">
        <f>_xlfn.XLOOKUP(A70,My_Audit!A:A,My_Audit!D:D,"")&amp;""</f>
        <v/>
      </c>
      <c r="F70" s="2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2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2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2" t="str">
        <f>_xlfn.XLOOKUP(A70,Output_Mac!A:A,Output_Mac!I:I,"")</f>
        <v/>
      </c>
      <c r="J70" s="2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2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2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2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O70" s="2" t="str">
        <f>_xlfn.LET(
    _xlpm.CSVVal, _xlfn.XLOOKUP($A70, CSV!$A:$A, CSV!AC:AC,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2" t="str" cm="1">
        <f t="array" ref="P70">IFERROR(_xlfn.LET(
_xlpm.CSVVal,_xlfn.XLOOKUP($A70,CSV!$A:$A,CSV!AD:AD,""),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2" t="str" cm="1">
        <f t="array" ref="Q70">IFERROR(_xlfn.LET(
_xlpm.CSVVal,_xlfn.XLOOKUP($A70,CSV!$A:$A,CSV!AE:AE,""),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X70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2" t="str">
        <f>_xlfn.TEXTJOIN("",TRUE,Input!$B$2,ROW(My_Audit!A70))</f>
        <v>X70</v>
      </c>
      <c r="B71" s="2" t="str">
        <f>_xlfn.TEXTJOIN("-",TRUE,"ITD",Input!$A$2,A71)</f>
        <v>ITD-SHR-X70</v>
      </c>
      <c r="C71" s="2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2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2" t="str">
        <f>_xlfn.XLOOKUP(A71,My_Audit!A:A,My_Audit!D:D,"")&amp;""</f>
        <v/>
      </c>
      <c r="F71" s="2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2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2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2" t="str">
        <f>_xlfn.XLOOKUP(A71,Output_Mac!A:A,Output_Mac!I:I,"")</f>
        <v/>
      </c>
      <c r="J71" s="2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2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2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2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O71" s="2" t="str">
        <f>_xlfn.LET(
    _xlpm.CSVVal, _xlfn.XLOOKUP($A71, CSV!$A:$A, CSV!AC:AC,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2" t="str" cm="1">
        <f t="array" ref="P71">IFERROR(_xlfn.LET(
_xlpm.CSVVal,_xlfn.XLOOKUP($A71,CSV!$A:$A,CSV!AD:AD,""),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2" t="str" cm="1">
        <f t="array" ref="Q71">IFERROR(_xlfn.LET(
_xlpm.CSVVal,_xlfn.XLOOKUP($A71,CSV!$A:$A,CSV!AE:AE,""),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X7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2" t="str">
        <f>_xlfn.TEXTJOIN("",TRUE,Input!$B$2,ROW(My_Audit!A71))</f>
        <v>X71</v>
      </c>
      <c r="B72" s="2" t="str">
        <f>_xlfn.TEXTJOIN("-",TRUE,"ITD",Input!$A$2,A72)</f>
        <v>ITD-SHR-X71</v>
      </c>
      <c r="C72" s="2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2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2" t="str">
        <f>_xlfn.XLOOKUP(A72,My_Audit!A:A,My_Audit!D:D,"")&amp;""</f>
        <v/>
      </c>
      <c r="F72" s="2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2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2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2" t="str">
        <f>_xlfn.XLOOKUP(A72,Output_Mac!A:A,Output_Mac!I:I,"")</f>
        <v/>
      </c>
      <c r="J72" s="2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2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2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2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O72" s="2" t="str">
        <f>_xlfn.LET(
    _xlpm.CSVVal, _xlfn.XLOOKUP($A72, CSV!$A:$A, CSV!AC:AC,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2" t="str" cm="1">
        <f t="array" ref="P72">IFERROR(_xlfn.LET(
_xlpm.CSVVal,_xlfn.XLOOKUP($A72,CSV!$A:$A,CSV!AD:AD,""),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2" t="str" cm="1">
        <f t="array" ref="Q72">IFERROR(_xlfn.LET(
_xlpm.CSVVal,_xlfn.XLOOKUP($A72,CSV!$A:$A,CSV!AE:AE,""),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X72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2" t="str">
        <f>_xlfn.TEXTJOIN("",TRUE,Input!$B$2,ROW(My_Audit!A72))</f>
        <v>X72</v>
      </c>
      <c r="B73" s="2" t="str">
        <f>_xlfn.TEXTJOIN("-",TRUE,"ITD",Input!$A$2,A73)</f>
        <v>ITD-SHR-X72</v>
      </c>
      <c r="C73" s="2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2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2" t="str">
        <f>_xlfn.XLOOKUP(A73,My_Audit!A:A,My_Audit!D:D,"")&amp;""</f>
        <v/>
      </c>
      <c r="F73" s="2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2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2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2" t="str">
        <f>_xlfn.XLOOKUP(A73,Output_Mac!A:A,Output_Mac!I:I,"")</f>
        <v/>
      </c>
      <c r="J73" s="2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2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2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2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O73" s="2" t="str">
        <f>_xlfn.LET(
    _xlpm.CSVVal, _xlfn.XLOOKUP($A73, CSV!$A:$A, CSV!AC:AC,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2" t="str" cm="1">
        <f t="array" ref="P73">IFERROR(_xlfn.LET(
_xlpm.CSVVal,_xlfn.XLOOKUP($A73,CSV!$A:$A,CSV!AD:AD,""),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2" t="str" cm="1">
        <f t="array" ref="Q73">IFERROR(_xlfn.LET(
_xlpm.CSVVal,_xlfn.XLOOKUP($A73,CSV!$A:$A,CSV!AE:AE,""),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X73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2" t="str">
        <f>_xlfn.TEXTJOIN("",TRUE,Input!$B$2,ROW(My_Audit!A73))</f>
        <v>X73</v>
      </c>
      <c r="B74" s="2" t="str">
        <f>_xlfn.TEXTJOIN("-",TRUE,"ITD",Input!$A$2,A74)</f>
        <v>ITD-SHR-X73</v>
      </c>
      <c r="C74" s="2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2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2" t="str">
        <f>_xlfn.XLOOKUP(A74,My_Audit!A:A,My_Audit!D:D,"")&amp;""</f>
        <v/>
      </c>
      <c r="F74" s="2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2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2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2" t="str">
        <f>_xlfn.XLOOKUP(A74,Output_Mac!A:A,Output_Mac!I:I,"")</f>
        <v/>
      </c>
      <c r="J74" s="2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2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2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2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O74" s="2" t="str">
        <f>_xlfn.LET(
    _xlpm.CSVVal, _xlfn.XLOOKUP($A74, CSV!$A:$A, CSV!AC:AC,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2" t="str" cm="1">
        <f t="array" ref="P74">IFERROR(_xlfn.LET(
_xlpm.CSVVal,_xlfn.XLOOKUP($A74,CSV!$A:$A,CSV!AD:AD,""),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2" t="str" cm="1">
        <f t="array" ref="Q74">IFERROR(_xlfn.LET(
_xlpm.CSVVal,_xlfn.XLOOKUP($A74,CSV!$A:$A,CSV!AE:AE,""),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X74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2" t="str">
        <f>_xlfn.TEXTJOIN("",TRUE,Input!$B$2,ROW(My_Audit!A74))</f>
        <v>X74</v>
      </c>
      <c r="B75" s="2" t="str">
        <f>_xlfn.TEXTJOIN("-",TRUE,"ITD",Input!$A$2,A75)</f>
        <v>ITD-SHR-X74</v>
      </c>
      <c r="C75" s="2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2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2" t="str">
        <f>_xlfn.XLOOKUP(A75,My_Audit!A:A,My_Audit!D:D,"")&amp;""</f>
        <v/>
      </c>
      <c r="F75" s="2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2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2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2" t="str">
        <f>_xlfn.XLOOKUP(A75,Output_Mac!A:A,Output_Mac!I:I,"")</f>
        <v/>
      </c>
      <c r="J75" s="2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2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2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2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O75" s="2" t="str">
        <f>_xlfn.LET(
    _xlpm.CSVVal, _xlfn.XLOOKUP($A75, CSV!$A:$A, CSV!AC:AC,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2" t="str" cm="1">
        <f t="array" ref="P75">IFERROR(_xlfn.LET(
_xlpm.CSVVal,_xlfn.XLOOKUP($A75,CSV!$A:$A,CSV!AD:AD,""),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2" t="str" cm="1">
        <f t="array" ref="Q75">IFERROR(_xlfn.LET(
_xlpm.CSVVal,_xlfn.XLOOKUP($A75,CSV!$A:$A,CSV!AE:AE,""),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X75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2" t="str">
        <f>_xlfn.TEXTJOIN("",TRUE,Input!$B$2,ROW(My_Audit!A75))</f>
        <v>X75</v>
      </c>
      <c r="B76" s="2" t="str">
        <f>_xlfn.TEXTJOIN("-",TRUE,"ITD",Input!$A$2,A76)</f>
        <v>ITD-SHR-X75</v>
      </c>
      <c r="C76" s="2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2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2" t="str">
        <f>_xlfn.XLOOKUP(A76,My_Audit!A:A,My_Audit!D:D,"")&amp;""</f>
        <v/>
      </c>
      <c r="F76" s="2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2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2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2" t="str">
        <f>_xlfn.XLOOKUP(A76,Output_Mac!A:A,Output_Mac!I:I,"")</f>
        <v/>
      </c>
      <c r="J76" s="2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2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2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2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O76" s="2" t="str">
        <f>_xlfn.LET(
    _xlpm.CSVVal, _xlfn.XLOOKUP($A76, CSV!$A:$A, CSV!AC:AC,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2" t="str" cm="1">
        <f t="array" ref="P76">IFERROR(_xlfn.LET(
_xlpm.CSVVal,_xlfn.XLOOKUP($A76,CSV!$A:$A,CSV!AD:AD,""),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2" t="str" cm="1">
        <f t="array" ref="Q76">IFERROR(_xlfn.LET(
_xlpm.CSVVal,_xlfn.XLOOKUP($A76,CSV!$A:$A,CSV!AE:AE,""),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X76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2" t="str">
        <f>_xlfn.TEXTJOIN("",TRUE,Input!$B$2,ROW(My_Audit!A76))</f>
        <v>X76</v>
      </c>
      <c r="B77" s="2" t="str">
        <f>_xlfn.TEXTJOIN("-",TRUE,"ITD",Input!$A$2,A77)</f>
        <v>ITD-SHR-X76</v>
      </c>
      <c r="C77" s="2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2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2" t="str">
        <f>_xlfn.XLOOKUP(A77,My_Audit!A:A,My_Audit!D:D,"")&amp;""</f>
        <v/>
      </c>
      <c r="F77" s="2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2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2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2" t="str">
        <f>_xlfn.XLOOKUP(A77,Output_Mac!A:A,Output_Mac!I:I,"")</f>
        <v/>
      </c>
      <c r="J77" s="2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2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2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2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O77" s="2" t="str">
        <f>_xlfn.LET(
    _xlpm.CSVVal, _xlfn.XLOOKUP($A77, CSV!$A:$A, CSV!AC:AC,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2" t="str" cm="1">
        <f t="array" ref="P77">IFERROR(_xlfn.LET(
_xlpm.CSVVal,_xlfn.XLOOKUP($A77,CSV!$A:$A,CSV!AD:AD,""),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2" t="str" cm="1">
        <f t="array" ref="Q77">IFERROR(_xlfn.LET(
_xlpm.CSVVal,_xlfn.XLOOKUP($A77,CSV!$A:$A,CSV!AE:AE,""),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X7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2" t="str">
        <f>_xlfn.TEXTJOIN("",TRUE,Input!$B$2,ROW(My_Audit!A77))</f>
        <v>X77</v>
      </c>
      <c r="B78" s="2" t="str">
        <f>_xlfn.TEXTJOIN("-",TRUE,"ITD",Input!$A$2,A78)</f>
        <v>ITD-SHR-X77</v>
      </c>
      <c r="C78" s="2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2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2" t="str">
        <f>_xlfn.XLOOKUP(A78,My_Audit!A:A,My_Audit!D:D,"")&amp;""</f>
        <v/>
      </c>
      <c r="F78" s="2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2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2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2" t="str">
        <f>_xlfn.XLOOKUP(A78,Output_Mac!A:A,Output_Mac!I:I,"")</f>
        <v/>
      </c>
      <c r="J78" s="2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2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2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2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O78" s="2" t="str">
        <f>_xlfn.LET(
    _xlpm.CSVVal, _xlfn.XLOOKUP($A78, CSV!$A:$A, CSV!AC:AC,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2" t="str" cm="1">
        <f t="array" ref="P78">IFERROR(_xlfn.LET(
_xlpm.CSVVal,_xlfn.XLOOKUP($A78,CSV!$A:$A,CSV!AD:AD,""),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2" t="str" cm="1">
        <f t="array" ref="Q78">IFERROR(_xlfn.LET(
_xlpm.CSVVal,_xlfn.XLOOKUP($A78,CSV!$A:$A,CSV!AE:AE,""),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X78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2" t="str">
        <f>_xlfn.TEXTJOIN("",TRUE,Input!$B$2,ROW(My_Audit!A78))</f>
        <v>X78</v>
      </c>
      <c r="B79" s="2" t="str">
        <f>_xlfn.TEXTJOIN("-",TRUE,"ITD",Input!$A$2,A79)</f>
        <v>ITD-SHR-X78</v>
      </c>
      <c r="C79" s="2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2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2" t="str">
        <f>_xlfn.XLOOKUP(A79,My_Audit!A:A,My_Audit!D:D,"")&amp;""</f>
        <v/>
      </c>
      <c r="F79" s="2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2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2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2" t="str">
        <f>_xlfn.XLOOKUP(A79,Output_Mac!A:A,Output_Mac!I:I,"")</f>
        <v/>
      </c>
      <c r="J79" s="2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2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2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2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O79" s="2" t="str">
        <f>_xlfn.LET(
    _xlpm.CSVVal, _xlfn.XLOOKUP($A79, CSV!$A:$A, CSV!AC:AC,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2" t="str" cm="1">
        <f t="array" ref="P79">IFERROR(_xlfn.LET(
_xlpm.CSVVal,_xlfn.XLOOKUP($A79,CSV!$A:$A,CSV!AD:AD,""),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2" t="str" cm="1">
        <f t="array" ref="Q79">IFERROR(_xlfn.LET(
_xlpm.CSVVal,_xlfn.XLOOKUP($A79,CSV!$A:$A,CSV!AE:AE,""),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X7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2" t="str">
        <f>_xlfn.TEXTJOIN("",TRUE,Input!$B$2,ROW(My_Audit!A79))</f>
        <v>X79</v>
      </c>
      <c r="B80" s="2" t="str">
        <f>_xlfn.TEXTJOIN("-",TRUE,"ITD",Input!$A$2,A80)</f>
        <v>ITD-SHR-X79</v>
      </c>
      <c r="C80" s="2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2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2" t="str">
        <f>_xlfn.XLOOKUP(A80,My_Audit!A:A,My_Audit!D:D,"")&amp;""</f>
        <v/>
      </c>
      <c r="F80" s="2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2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2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2" t="str">
        <f>_xlfn.XLOOKUP(A80,Output_Mac!A:A,Output_Mac!I:I,"")</f>
        <v/>
      </c>
      <c r="J80" s="2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2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2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2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O80" s="2" t="str">
        <f>_xlfn.LET(
    _xlpm.CSVVal, _xlfn.XLOOKUP($A80, CSV!$A:$A, CSV!AC:AC,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2" t="str" cm="1">
        <f t="array" ref="P80">IFERROR(_xlfn.LET(
_xlpm.CSVVal,_xlfn.XLOOKUP($A80,CSV!$A:$A,CSV!AD:AD,""),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2" t="str" cm="1">
        <f t="array" ref="Q80">IFERROR(_xlfn.LET(
_xlpm.CSVVal,_xlfn.XLOOKUP($A80,CSV!$A:$A,CSV!AE:AE,""),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X80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2" t="str">
        <f>_xlfn.TEXTJOIN("",TRUE,Input!$B$2,ROW(My_Audit!A80))</f>
        <v>X80</v>
      </c>
      <c r="B81" s="2" t="str">
        <f>_xlfn.TEXTJOIN("-",TRUE,"ITD",Input!$A$2,A81)</f>
        <v>ITD-SHR-X80</v>
      </c>
      <c r="C81" s="2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2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2" t="str">
        <f>_xlfn.XLOOKUP(A81,My_Audit!A:A,My_Audit!D:D,"")&amp;""</f>
        <v/>
      </c>
      <c r="F81" s="2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2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2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2" t="str">
        <f>_xlfn.XLOOKUP(A81,Output_Mac!A:A,Output_Mac!I:I,"")</f>
        <v/>
      </c>
      <c r="J81" s="2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2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2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2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O81" s="2" t="str">
        <f>_xlfn.LET(
    _xlpm.CSVVal, _xlfn.XLOOKUP($A81, CSV!$A:$A, CSV!AC:AC,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2" t="str" cm="1">
        <f t="array" ref="P81">IFERROR(_xlfn.LET(
_xlpm.CSVVal,_xlfn.XLOOKUP($A81,CSV!$A:$A,CSV!AD:AD,""),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2" t="str" cm="1">
        <f t="array" ref="Q81">IFERROR(_xlfn.LET(
_xlpm.CSVVal,_xlfn.XLOOKUP($A81,CSV!$A:$A,CSV!AE:AE,""),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X8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2" t="str">
        <f>_xlfn.TEXTJOIN("",TRUE,Input!$B$2,ROW(My_Audit!A81))</f>
        <v>X81</v>
      </c>
      <c r="B82" s="2" t="str">
        <f>_xlfn.TEXTJOIN("-",TRUE,"ITD",Input!$A$2,A82)</f>
        <v>ITD-SHR-X81</v>
      </c>
      <c r="C82" s="2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2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2" t="str">
        <f>_xlfn.XLOOKUP(A82,My_Audit!A:A,My_Audit!D:D,"")&amp;""</f>
        <v/>
      </c>
      <c r="F82" s="2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2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2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2" t="str">
        <f>_xlfn.XLOOKUP(A82,Output_Mac!A:A,Output_Mac!I:I,"")</f>
        <v/>
      </c>
      <c r="J82" s="2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2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2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2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O82" s="2" t="str">
        <f>_xlfn.LET(
    _xlpm.CSVVal, _xlfn.XLOOKUP($A82, CSV!$A:$A, CSV!AC:AC,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2" t="str" cm="1">
        <f t="array" ref="P82">IFERROR(_xlfn.LET(
_xlpm.CSVVal,_xlfn.XLOOKUP($A82,CSV!$A:$A,CSV!AD:AD,""),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2" t="str" cm="1">
        <f t="array" ref="Q82">IFERROR(_xlfn.LET(
_xlpm.CSVVal,_xlfn.XLOOKUP($A82,CSV!$A:$A,CSV!AE:AE,""),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X82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2" t="str">
        <f>_xlfn.TEXTJOIN("",TRUE,Input!$B$2,ROW(My_Audit!A82))</f>
        <v>X82</v>
      </c>
      <c r="B83" s="2" t="str">
        <f>_xlfn.TEXTJOIN("-",TRUE,"ITD",Input!$A$2,A83)</f>
        <v>ITD-SHR-X82</v>
      </c>
      <c r="C83" s="2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2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2" t="str">
        <f>_xlfn.XLOOKUP(A83,My_Audit!A:A,My_Audit!D:D,"")&amp;""</f>
        <v/>
      </c>
      <c r="F83" s="2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2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2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2" t="str">
        <f>_xlfn.XLOOKUP(A83,Output_Mac!A:A,Output_Mac!I:I,"")</f>
        <v/>
      </c>
      <c r="J83" s="2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2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2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2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O83" s="2" t="str">
        <f>_xlfn.LET(
    _xlpm.CSVVal, _xlfn.XLOOKUP($A83, CSV!$A:$A, CSV!AC:AC,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2" t="str" cm="1">
        <f t="array" ref="P83">IFERROR(_xlfn.LET(
_xlpm.CSVVal,_xlfn.XLOOKUP($A83,CSV!$A:$A,CSV!AD:AD,""),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2" t="str" cm="1">
        <f t="array" ref="Q83">IFERROR(_xlfn.LET(
_xlpm.CSVVal,_xlfn.XLOOKUP($A83,CSV!$A:$A,CSV!AE:AE,""),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X83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2" t="str">
        <f>_xlfn.TEXTJOIN("",TRUE,Input!$B$2,ROW(My_Audit!A83))</f>
        <v>X83</v>
      </c>
      <c r="B84" s="2" t="str">
        <f>_xlfn.TEXTJOIN("-",TRUE,"ITD",Input!$A$2,A84)</f>
        <v>ITD-SHR-X83</v>
      </c>
      <c r="C84" s="2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2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2" t="str">
        <f>_xlfn.XLOOKUP(A84,My_Audit!A:A,My_Audit!D:D,"")&amp;""</f>
        <v/>
      </c>
      <c r="F84" s="2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2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2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2" t="str">
        <f>_xlfn.XLOOKUP(A84,Output_Mac!A:A,Output_Mac!I:I,"")</f>
        <v/>
      </c>
      <c r="J84" s="2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2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2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2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O84" s="2" t="str">
        <f>_xlfn.LET(
    _xlpm.CSVVal, _xlfn.XLOOKUP($A84, CSV!$A:$A, CSV!AC:AC,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2" t="str" cm="1">
        <f t="array" ref="P84">IFERROR(_xlfn.LET(
_xlpm.CSVVal,_xlfn.XLOOKUP($A84,CSV!$A:$A,CSV!AD:AD,""),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2" t="str" cm="1">
        <f t="array" ref="Q84">IFERROR(_xlfn.LET(
_xlpm.CSVVal,_xlfn.XLOOKUP($A84,CSV!$A:$A,CSV!AE:AE,""),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X84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2" t="str">
        <f>_xlfn.TEXTJOIN("",TRUE,Input!$B$2,ROW(My_Audit!A84))</f>
        <v>X84</v>
      </c>
      <c r="B85" s="2" t="str">
        <f>_xlfn.TEXTJOIN("-",TRUE,"ITD",Input!$A$2,A85)</f>
        <v>ITD-SHR-X84</v>
      </c>
      <c r="C85" s="2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2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2" t="str">
        <f>_xlfn.XLOOKUP(A85,My_Audit!A:A,My_Audit!D:D,"")&amp;""</f>
        <v/>
      </c>
      <c r="F85" s="2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2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2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2" t="str">
        <f>_xlfn.XLOOKUP(A85,Output_Mac!A:A,Output_Mac!I:I,"")</f>
        <v/>
      </c>
      <c r="J85" s="2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2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2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2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O85" s="2" t="str">
        <f>_xlfn.LET(
    _xlpm.CSVVal, _xlfn.XLOOKUP($A85, CSV!$A:$A, CSV!AC:AC,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2" t="str" cm="1">
        <f t="array" ref="P85">IFERROR(_xlfn.LET(
_xlpm.CSVVal,_xlfn.XLOOKUP($A85,CSV!$A:$A,CSV!AD:AD,""),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2" t="str" cm="1">
        <f t="array" ref="Q85">IFERROR(_xlfn.LET(
_xlpm.CSVVal,_xlfn.XLOOKUP($A85,CSV!$A:$A,CSV!AE:AE,""),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X85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2" t="str">
        <f>_xlfn.TEXTJOIN("",TRUE,Input!$B$2,ROW(My_Audit!A85))</f>
        <v>X85</v>
      </c>
      <c r="B86" s="2" t="str">
        <f>_xlfn.TEXTJOIN("-",TRUE,"ITD",Input!$A$2,A86)</f>
        <v>ITD-SHR-X85</v>
      </c>
      <c r="C86" s="2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2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2" t="str">
        <f>_xlfn.XLOOKUP(A86,My_Audit!A:A,My_Audit!D:D,"")&amp;""</f>
        <v/>
      </c>
      <c r="F86" s="2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2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2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2" t="str">
        <f>_xlfn.XLOOKUP(A86,Output_Mac!A:A,Output_Mac!I:I,"")</f>
        <v/>
      </c>
      <c r="J86" s="2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2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2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2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O86" s="2" t="str">
        <f>_xlfn.LET(
    _xlpm.CSVVal, _xlfn.XLOOKUP($A86, CSV!$A:$A, CSV!AC:AC,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2" t="str" cm="1">
        <f t="array" ref="P86">IFERROR(_xlfn.LET(
_xlpm.CSVVal,_xlfn.XLOOKUP($A86,CSV!$A:$A,CSV!AD:AD,""),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2" t="str" cm="1">
        <f t="array" ref="Q86">IFERROR(_xlfn.LET(
_xlpm.CSVVal,_xlfn.XLOOKUP($A86,CSV!$A:$A,CSV!AE:AE,""),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X86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2" t="str">
        <f>_xlfn.TEXTJOIN("",TRUE,Input!$B$2,ROW(My_Audit!A86))</f>
        <v>X86</v>
      </c>
      <c r="B87" s="2" t="str">
        <f>_xlfn.TEXTJOIN("-",TRUE,"ITD",Input!$A$2,A87)</f>
        <v>ITD-SHR-X86</v>
      </c>
      <c r="C87" s="2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2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2" t="str">
        <f>_xlfn.XLOOKUP(A87,My_Audit!A:A,My_Audit!D:D,"")&amp;""</f>
        <v/>
      </c>
      <c r="F87" s="2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2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2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2" t="str">
        <f>_xlfn.XLOOKUP(A87,Output_Mac!A:A,Output_Mac!I:I,"")</f>
        <v/>
      </c>
      <c r="J87" s="2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2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2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2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O87" s="2" t="str">
        <f>_xlfn.LET(
    _xlpm.CSVVal, _xlfn.XLOOKUP($A87, CSV!$A:$A, CSV!AC:AC,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2" t="str" cm="1">
        <f t="array" ref="P87">IFERROR(_xlfn.LET(
_xlpm.CSVVal,_xlfn.XLOOKUP($A87,CSV!$A:$A,CSV!AD:AD,""),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2" t="str" cm="1">
        <f t="array" ref="Q87">IFERROR(_xlfn.LET(
_xlpm.CSVVal,_xlfn.XLOOKUP($A87,CSV!$A:$A,CSV!AE:AE,""),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X8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2" t="str">
        <f>_xlfn.TEXTJOIN("",TRUE,Input!$B$2,ROW(My_Audit!A87))</f>
        <v>X87</v>
      </c>
      <c r="B88" s="2" t="str">
        <f>_xlfn.TEXTJOIN("-",TRUE,"ITD",Input!$A$2,A88)</f>
        <v>ITD-SHR-X87</v>
      </c>
      <c r="C88" s="2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2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2" t="str">
        <f>_xlfn.XLOOKUP(A88,My_Audit!A:A,My_Audit!D:D,"")&amp;""</f>
        <v/>
      </c>
      <c r="F88" s="2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2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2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2" t="str">
        <f>_xlfn.XLOOKUP(A88,Output_Mac!A:A,Output_Mac!I:I,"")</f>
        <v/>
      </c>
      <c r="J88" s="2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2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2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2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O88" s="2" t="str">
        <f>_xlfn.LET(
    _xlpm.CSVVal, _xlfn.XLOOKUP($A88, CSV!$A:$A, CSV!AC:AC,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2" t="str" cm="1">
        <f t="array" ref="P88">IFERROR(_xlfn.LET(
_xlpm.CSVVal,_xlfn.XLOOKUP($A88,CSV!$A:$A,CSV!AD:AD,""),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2" t="str" cm="1">
        <f t="array" ref="Q88">IFERROR(_xlfn.LET(
_xlpm.CSVVal,_xlfn.XLOOKUP($A88,CSV!$A:$A,CSV!AE:AE,""),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X88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2" t="str">
        <f>_xlfn.TEXTJOIN("",TRUE,Input!$B$2,ROW(My_Audit!A88))</f>
        <v>X88</v>
      </c>
      <c r="B89" s="2" t="str">
        <f>_xlfn.TEXTJOIN("-",TRUE,"ITD",Input!$A$2,A89)</f>
        <v>ITD-SHR-X88</v>
      </c>
      <c r="C89" s="2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2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2" t="str">
        <f>_xlfn.XLOOKUP(A89,My_Audit!A:A,My_Audit!D:D,"")&amp;""</f>
        <v/>
      </c>
      <c r="F89" s="2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2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2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2" t="str">
        <f>_xlfn.XLOOKUP(A89,Output_Mac!A:A,Output_Mac!I:I,"")</f>
        <v/>
      </c>
      <c r="J89" s="2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2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2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2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O89" s="2" t="str">
        <f>_xlfn.LET(
    _xlpm.CSVVal, _xlfn.XLOOKUP($A89, CSV!$A:$A, CSV!AC:AC,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2" t="str" cm="1">
        <f t="array" ref="P89">IFERROR(_xlfn.LET(
_xlpm.CSVVal,_xlfn.XLOOKUP($A89,CSV!$A:$A,CSV!AD:AD,""),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2" t="str" cm="1">
        <f t="array" ref="Q89">IFERROR(_xlfn.LET(
_xlpm.CSVVal,_xlfn.XLOOKUP($A89,CSV!$A:$A,CSV!AE:AE,""),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X8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2" t="str">
        <f>_xlfn.TEXTJOIN("",TRUE,Input!$B$2,ROW(My_Audit!A89))</f>
        <v>X89</v>
      </c>
      <c r="B90" s="2" t="str">
        <f>_xlfn.TEXTJOIN("-",TRUE,"ITD",Input!$A$2,A90)</f>
        <v>ITD-SHR-X89</v>
      </c>
      <c r="C90" s="2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2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2" t="str">
        <f>_xlfn.XLOOKUP(A90,My_Audit!A:A,My_Audit!D:D,"")&amp;""</f>
        <v/>
      </c>
      <c r="F90" s="2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2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2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2" t="str">
        <f>_xlfn.XLOOKUP(A90,Output_Mac!A:A,Output_Mac!I:I,"")</f>
        <v/>
      </c>
      <c r="J90" s="2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2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2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2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O90" s="2" t="str">
        <f>_xlfn.LET(
    _xlpm.CSVVal, _xlfn.XLOOKUP($A90, CSV!$A:$A, CSV!AC:AC,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2" t="str" cm="1">
        <f t="array" ref="P90">IFERROR(_xlfn.LET(
_xlpm.CSVVal,_xlfn.XLOOKUP($A90,CSV!$A:$A,CSV!AD:AD,""),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2" t="str" cm="1">
        <f t="array" ref="Q90">IFERROR(_xlfn.LET(
_xlpm.CSVVal,_xlfn.XLOOKUP($A90,CSV!$A:$A,CSV!AE:AE,""),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X90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2" t="str">
        <f>_xlfn.TEXTJOIN("",TRUE,Input!$B$2,ROW(My_Audit!A90))</f>
        <v>X90</v>
      </c>
      <c r="B91" s="2" t="str">
        <f>_xlfn.TEXTJOIN("-",TRUE,"ITD",Input!$A$2,A91)</f>
        <v>ITD-SHR-X90</v>
      </c>
      <c r="C91" s="2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2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2" t="str">
        <f>_xlfn.XLOOKUP(A91,My_Audit!A:A,My_Audit!D:D,"")&amp;""</f>
        <v/>
      </c>
      <c r="F91" s="2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2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2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2" t="str">
        <f>_xlfn.XLOOKUP(A91,Output_Mac!A:A,Output_Mac!I:I,"")</f>
        <v/>
      </c>
      <c r="J91" s="2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2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2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2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O91" s="2" t="str">
        <f>_xlfn.LET(
    _xlpm.CSVVal, _xlfn.XLOOKUP($A91, CSV!$A:$A, CSV!AC:AC,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2" t="str" cm="1">
        <f t="array" ref="P91">IFERROR(_xlfn.LET(
_xlpm.CSVVal,_xlfn.XLOOKUP($A91,CSV!$A:$A,CSV!AD:AD,""),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2" t="str" cm="1">
        <f t="array" ref="Q91">IFERROR(_xlfn.LET(
_xlpm.CSVVal,_xlfn.XLOOKUP($A91,CSV!$A:$A,CSV!AE:AE,""),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X9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2" t="str">
        <f>_xlfn.TEXTJOIN("",TRUE,Input!$B$2,ROW(My_Audit!A91))</f>
        <v>X91</v>
      </c>
      <c r="B92" s="2" t="str">
        <f>_xlfn.TEXTJOIN("-",TRUE,"ITD",Input!$A$2,A92)</f>
        <v>ITD-SHR-X91</v>
      </c>
      <c r="C92" s="2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2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2" t="str">
        <f>_xlfn.XLOOKUP(A92,My_Audit!A:A,My_Audit!D:D,"")&amp;""</f>
        <v/>
      </c>
      <c r="F92" s="2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2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2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2" t="str">
        <f>_xlfn.XLOOKUP(A92,Output_Mac!A:A,Output_Mac!I:I,"")</f>
        <v/>
      </c>
      <c r="J92" s="2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2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2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2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O92" s="2" t="str">
        <f>_xlfn.LET(
    _xlpm.CSVVal, _xlfn.XLOOKUP($A92, CSV!$A:$A, CSV!AC:AC,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2" t="str" cm="1">
        <f t="array" ref="P92">IFERROR(_xlfn.LET(
_xlpm.CSVVal,_xlfn.XLOOKUP($A92,CSV!$A:$A,CSV!AD:AD,""),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2" t="str" cm="1">
        <f t="array" ref="Q92">IFERROR(_xlfn.LET(
_xlpm.CSVVal,_xlfn.XLOOKUP($A92,CSV!$A:$A,CSV!AE:AE,""),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X92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2" t="str">
        <f>_xlfn.TEXTJOIN("",TRUE,Input!$B$2,ROW(My_Audit!A92))</f>
        <v>X92</v>
      </c>
      <c r="B93" s="2" t="str">
        <f>_xlfn.TEXTJOIN("-",TRUE,"ITD",Input!$A$2,A93)</f>
        <v>ITD-SHR-X92</v>
      </c>
      <c r="C93" s="2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2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2" t="str">
        <f>_xlfn.XLOOKUP(A93,My_Audit!A:A,My_Audit!D:D,"")&amp;""</f>
        <v/>
      </c>
      <c r="F93" s="2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2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2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2" t="str">
        <f>_xlfn.XLOOKUP(A93,Output_Mac!A:A,Output_Mac!I:I,"")</f>
        <v/>
      </c>
      <c r="J93" s="2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2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2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2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O93" s="2" t="str">
        <f>_xlfn.LET(
    _xlpm.CSVVal, _xlfn.XLOOKUP($A93, CSV!$A:$A, CSV!AC:AC,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2" t="str" cm="1">
        <f t="array" ref="P93">IFERROR(_xlfn.LET(
_xlpm.CSVVal,_xlfn.XLOOKUP($A93,CSV!$A:$A,CSV!AD:AD,""),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2" t="str" cm="1">
        <f t="array" ref="Q93">IFERROR(_xlfn.LET(
_xlpm.CSVVal,_xlfn.XLOOKUP($A93,CSV!$A:$A,CSV!AE:AE,""),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X93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2" t="str">
        <f>_xlfn.TEXTJOIN("",TRUE,Input!$B$2,ROW(My_Audit!A93))</f>
        <v>X93</v>
      </c>
      <c r="B94" s="2" t="str">
        <f>_xlfn.TEXTJOIN("-",TRUE,"ITD",Input!$A$2,A94)</f>
        <v>ITD-SHR-X93</v>
      </c>
      <c r="C94" s="2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2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2" t="str">
        <f>_xlfn.XLOOKUP(A94,My_Audit!A:A,My_Audit!D:D,"")&amp;""</f>
        <v/>
      </c>
      <c r="F94" s="2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2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2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2" t="str">
        <f>_xlfn.XLOOKUP(A94,Output_Mac!A:A,Output_Mac!I:I,"")</f>
        <v/>
      </c>
      <c r="J94" s="2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2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2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2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O94" s="2" t="str">
        <f>_xlfn.LET(
    _xlpm.CSVVal, _xlfn.XLOOKUP($A94, CSV!$A:$A, CSV!AC:AC,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2" t="str" cm="1">
        <f t="array" ref="P94">IFERROR(_xlfn.LET(
_xlpm.CSVVal,_xlfn.XLOOKUP($A94,CSV!$A:$A,CSV!AD:AD,""),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2" t="str" cm="1">
        <f t="array" ref="Q94">IFERROR(_xlfn.LET(
_xlpm.CSVVal,_xlfn.XLOOKUP($A94,CSV!$A:$A,CSV!AE:AE,""),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X94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2" t="str">
        <f>_xlfn.TEXTJOIN("",TRUE,Input!$B$2,ROW(My_Audit!A94))</f>
        <v>X94</v>
      </c>
      <c r="B95" s="2" t="str">
        <f>_xlfn.TEXTJOIN("-",TRUE,"ITD",Input!$A$2,A95)</f>
        <v>ITD-SHR-X94</v>
      </c>
      <c r="C95" s="2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2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2" t="str">
        <f>_xlfn.XLOOKUP(A95,My_Audit!A:A,My_Audit!D:D,"")&amp;""</f>
        <v/>
      </c>
      <c r="F95" s="2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2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2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2" t="str">
        <f>_xlfn.XLOOKUP(A95,Output_Mac!A:A,Output_Mac!I:I,"")</f>
        <v/>
      </c>
      <c r="J95" s="2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2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2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2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O95" s="2" t="str">
        <f>_xlfn.LET(
    _xlpm.CSVVal, _xlfn.XLOOKUP($A95, CSV!$A:$A, CSV!AC:AC,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2" t="str" cm="1">
        <f t="array" ref="P95">IFERROR(_xlfn.LET(
_xlpm.CSVVal,_xlfn.XLOOKUP($A95,CSV!$A:$A,CSV!AD:AD,""),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2" t="str" cm="1">
        <f t="array" ref="Q95">IFERROR(_xlfn.LET(
_xlpm.CSVVal,_xlfn.XLOOKUP($A95,CSV!$A:$A,CSV!AE:AE,""),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X95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2" t="str">
        <f>_xlfn.TEXTJOIN("",TRUE,Input!$B$2,ROW(My_Audit!A95))</f>
        <v>X95</v>
      </c>
      <c r="B96" s="2" t="str">
        <f>_xlfn.TEXTJOIN("-",TRUE,"ITD",Input!$A$2,A96)</f>
        <v>ITD-SHR-X95</v>
      </c>
      <c r="C96" s="2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2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2" t="str">
        <f>_xlfn.XLOOKUP(A96,My_Audit!A:A,My_Audit!D:D,"")&amp;""</f>
        <v/>
      </c>
      <c r="F96" s="2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2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2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2" t="str">
        <f>_xlfn.XLOOKUP(A96,Output_Mac!A:A,Output_Mac!I:I,"")</f>
        <v/>
      </c>
      <c r="J96" s="2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2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2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2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O96" s="2" t="str">
        <f>_xlfn.LET(
    _xlpm.CSVVal, _xlfn.XLOOKUP($A96, CSV!$A:$A, CSV!AC:AC,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2" t="str" cm="1">
        <f t="array" ref="P96">IFERROR(_xlfn.LET(
_xlpm.CSVVal,_xlfn.XLOOKUP($A96,CSV!$A:$A,CSV!AD:AD,""),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2" t="str" cm="1">
        <f t="array" ref="Q96">IFERROR(_xlfn.LET(
_xlpm.CSVVal,_xlfn.XLOOKUP($A96,CSV!$A:$A,CSV!AE:AE,""),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X96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2" t="str">
        <f>_xlfn.TEXTJOIN("",TRUE,Input!$B$2,ROW(My_Audit!A96))</f>
        <v>X96</v>
      </c>
      <c r="B97" s="2" t="str">
        <f>_xlfn.TEXTJOIN("-",TRUE,"ITD",Input!$A$2,A97)</f>
        <v>ITD-SHR-X96</v>
      </c>
      <c r="C97" s="2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2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2" t="str">
        <f>_xlfn.XLOOKUP(A97,My_Audit!A:A,My_Audit!D:D,"")&amp;""</f>
        <v/>
      </c>
      <c r="F97" s="2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2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2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2" t="str">
        <f>_xlfn.XLOOKUP(A97,Output_Mac!A:A,Output_Mac!I:I,"")</f>
        <v/>
      </c>
      <c r="J97" s="2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2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2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2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O97" s="2" t="str">
        <f>_xlfn.LET(
    _xlpm.CSVVal, _xlfn.XLOOKUP($A97, CSV!$A:$A, CSV!AC:AC,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2" t="str" cm="1">
        <f t="array" ref="P97">IFERROR(_xlfn.LET(
_xlpm.CSVVal,_xlfn.XLOOKUP($A97,CSV!$A:$A,CSV!AD:AD,""),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2" t="str" cm="1">
        <f t="array" ref="Q97">IFERROR(_xlfn.LET(
_xlpm.CSVVal,_xlfn.XLOOKUP($A97,CSV!$A:$A,CSV!AE:AE,""),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X9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2" t="str">
        <f>_xlfn.TEXTJOIN("",TRUE,Input!$B$2,ROW(My_Audit!A97))</f>
        <v>X97</v>
      </c>
      <c r="B98" s="2" t="str">
        <f>_xlfn.TEXTJOIN("-",TRUE,"ITD",Input!$A$2,A98)</f>
        <v>ITD-SHR-X97</v>
      </c>
      <c r="C98" s="2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2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2" t="str">
        <f>_xlfn.XLOOKUP(A98,My_Audit!A:A,My_Audit!D:D,"")&amp;""</f>
        <v/>
      </c>
      <c r="F98" s="2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2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2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2" t="str">
        <f>_xlfn.XLOOKUP(A98,Output_Mac!A:A,Output_Mac!I:I,"")</f>
        <v/>
      </c>
      <c r="J98" s="2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2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2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2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O98" s="2" t="str">
        <f>_xlfn.LET(
    _xlpm.CSVVal, _xlfn.XLOOKUP($A98, CSV!$A:$A, CSV!AC:AC,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2" t="str" cm="1">
        <f t="array" ref="P98">IFERROR(_xlfn.LET(
_xlpm.CSVVal,_xlfn.XLOOKUP($A98,CSV!$A:$A,CSV!AD:AD,""),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2" t="str" cm="1">
        <f t="array" ref="Q98">IFERROR(_xlfn.LET(
_xlpm.CSVVal,_xlfn.XLOOKUP($A98,CSV!$A:$A,CSV!AE:AE,""),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X98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2" t="str">
        <f>_xlfn.TEXTJOIN("",TRUE,Input!$B$2,ROW(My_Audit!A98))</f>
        <v>X98</v>
      </c>
      <c r="B99" s="2" t="str">
        <f>_xlfn.TEXTJOIN("-",TRUE,"ITD",Input!$A$2,A99)</f>
        <v>ITD-SHR-X98</v>
      </c>
      <c r="C99" s="2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2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2" t="str">
        <f>_xlfn.XLOOKUP(A99,My_Audit!A:A,My_Audit!D:D,"")&amp;""</f>
        <v/>
      </c>
      <c r="F99" s="2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2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2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2" t="str">
        <f>_xlfn.XLOOKUP(A99,Output_Mac!A:A,Output_Mac!I:I,"")</f>
        <v/>
      </c>
      <c r="J99" s="2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2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2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2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O99" s="2" t="str">
        <f>_xlfn.LET(
    _xlpm.CSVVal, _xlfn.XLOOKUP($A99, CSV!$A:$A, CSV!AC:AC,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2" t="str" cm="1">
        <f t="array" ref="P99">IFERROR(_xlfn.LET(
_xlpm.CSVVal,_xlfn.XLOOKUP($A99,CSV!$A:$A,CSV!AD:AD,""),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2" t="str" cm="1">
        <f t="array" ref="Q99">IFERROR(_xlfn.LET(
_xlpm.CSVVal,_xlfn.XLOOKUP($A99,CSV!$A:$A,CSV!AE:AE,""),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X9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2" t="str">
        <f>_xlfn.TEXTJOIN("",TRUE,Input!$B$2,ROW(My_Audit!A99))</f>
        <v>X99</v>
      </c>
      <c r="B100" s="2" t="str">
        <f>_xlfn.TEXTJOIN("-",TRUE,"ITD",Input!$A$2,A100)</f>
        <v>ITD-SHR-X99</v>
      </c>
      <c r="C100" s="2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2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2" t="str">
        <f>_xlfn.XLOOKUP(A100,My_Audit!A:A,My_Audit!D:D,"")&amp;""</f>
        <v/>
      </c>
      <c r="F100" s="2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2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2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2" t="str">
        <f>_xlfn.XLOOKUP(A100,Output_Mac!A:A,Output_Mac!I:I,"")</f>
        <v/>
      </c>
      <c r="J100" s="2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2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2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2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O100" s="2" t="str">
        <f>_xlfn.LET(
    _xlpm.CSVVal, _xlfn.XLOOKUP($A100, CSV!$A:$A, CSV!AC:AC,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2" t="str" cm="1">
        <f t="array" ref="P100">IFERROR(_xlfn.LET(
_xlpm.CSVVal,_xlfn.XLOOKUP($A100,CSV!$A:$A,CSV!AD:AD,""),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2" t="str" cm="1">
        <f t="array" ref="Q100">IFERROR(_xlfn.LET(
_xlpm.CSVVal,_xlfn.XLOOKUP($A100,CSV!$A:$A,CSV!AE:AE,""),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X100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2" t="str">
        <f>_xlfn.TEXTJOIN("",TRUE,Input!$B$2,ROW(My_Audit!A100))</f>
        <v>X100</v>
      </c>
      <c r="B101" s="2" t="str">
        <f>_xlfn.TEXTJOIN("-",TRUE,"ITD",Input!$A$2,A101)</f>
        <v>ITD-SHR-X100</v>
      </c>
      <c r="C101" s="2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2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2" t="str">
        <f>_xlfn.XLOOKUP(A101,My_Audit!A:A,My_Audit!D:D,"")&amp;""</f>
        <v/>
      </c>
      <c r="F101" s="2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2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2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2" t="str">
        <f>_xlfn.XLOOKUP(A101,Output_Mac!A:A,Output_Mac!I:I,"")</f>
        <v/>
      </c>
      <c r="J101" s="2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2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2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2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O101" s="2" t="str">
        <f>_xlfn.LET(
    _xlpm.CSVVal, _xlfn.XLOOKUP($A101, CSV!$A:$A, CSV!AC:AC,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2" t="str" cm="1">
        <f t="array" ref="P101">IFERROR(_xlfn.LET(
_xlpm.CSVVal,_xlfn.XLOOKUP($A101,CSV!$A:$A,CSV!AD:AD,""),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2" t="str" cm="1">
        <f t="array" ref="Q101">IFERROR(_xlfn.LET(
_xlpm.CSVVal,_xlfn.XLOOKUP($A101,CSV!$A:$A,CSV!AE:AE,""),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X10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2" t="str">
        <f>_xlfn.TEXTJOIN("",TRUE,Input!$B$2,ROW(My_Audit!A101))</f>
        <v>X101</v>
      </c>
      <c r="B102" s="2" t="str">
        <f>_xlfn.TEXTJOIN("-",TRUE,"ITD",Input!$A$2,A102)</f>
        <v>ITD-SHR-X101</v>
      </c>
      <c r="C102" s="2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2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2" t="str">
        <f>_xlfn.XLOOKUP(A102,My_Audit!A:A,My_Audit!D:D,"")&amp;""</f>
        <v/>
      </c>
      <c r="F102" s="2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2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2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2" t="str">
        <f>_xlfn.XLOOKUP(A102,Output_Mac!A:A,Output_Mac!I:I,"")</f>
        <v/>
      </c>
      <c r="J102" s="2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2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2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2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O102" s="2" t="str">
        <f>_xlfn.LET(
    _xlpm.CSVVal, _xlfn.XLOOKUP($A102, CSV!$A:$A, CSV!AC:AC,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2" t="str" cm="1">
        <f t="array" ref="P102">IFERROR(_xlfn.LET(
_xlpm.CSVVal,_xlfn.XLOOKUP($A102,CSV!$A:$A,CSV!AD:AD,""),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2" t="str" cm="1">
        <f t="array" ref="Q102">IFERROR(_xlfn.LET(
_xlpm.CSVVal,_xlfn.XLOOKUP($A102,CSV!$A:$A,CSV!AE:AE,""),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X102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2" t="str">
        <f>_xlfn.TEXTJOIN("",TRUE,Input!$B$2,ROW(My_Audit!A102))</f>
        <v>X102</v>
      </c>
      <c r="B103" s="2" t="str">
        <f>_xlfn.TEXTJOIN("-",TRUE,"ITD",Input!$A$2,A103)</f>
        <v>ITD-SHR-X102</v>
      </c>
      <c r="C103" s="2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2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2" t="str">
        <f>_xlfn.XLOOKUP(A103,My_Audit!A:A,My_Audit!D:D,"")&amp;""</f>
        <v/>
      </c>
      <c r="F103" s="2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2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2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2" t="str">
        <f>_xlfn.XLOOKUP(A103,Output_Mac!A:A,Output_Mac!I:I,"")</f>
        <v/>
      </c>
      <c r="J103" s="2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2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2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2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O103" s="2" t="str">
        <f>_xlfn.LET(
    _xlpm.CSVVal, _xlfn.XLOOKUP($A103, CSV!$A:$A, CSV!AC:AC,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2" t="str" cm="1">
        <f t="array" ref="P103">IFERROR(_xlfn.LET(
_xlpm.CSVVal,_xlfn.XLOOKUP($A103,CSV!$A:$A,CSV!AD:AD,""),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2" t="str" cm="1">
        <f t="array" ref="Q103">IFERROR(_xlfn.LET(
_xlpm.CSVVal,_xlfn.XLOOKUP($A103,CSV!$A:$A,CSV!AE:AE,""),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X103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2" t="str">
        <f>_xlfn.TEXTJOIN("",TRUE,Input!$B$2,ROW(My_Audit!A103))</f>
        <v>X103</v>
      </c>
      <c r="B104" s="2" t="str">
        <f>_xlfn.TEXTJOIN("-",TRUE,"ITD",Input!$A$2,A104)</f>
        <v>ITD-SHR-X103</v>
      </c>
      <c r="C104" s="2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2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2" t="str">
        <f>_xlfn.XLOOKUP(A104,My_Audit!A:A,My_Audit!D:D,"")&amp;""</f>
        <v/>
      </c>
      <c r="F104" s="2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2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2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2" t="str">
        <f>_xlfn.XLOOKUP(A104,Output_Mac!A:A,Output_Mac!I:I,"")</f>
        <v/>
      </c>
      <c r="J104" s="2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2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2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2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O104" s="2" t="str">
        <f>_xlfn.LET(
    _xlpm.CSVVal, _xlfn.XLOOKUP($A104, CSV!$A:$A, CSV!AC:AC,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2" t="str" cm="1">
        <f t="array" ref="P104">IFERROR(_xlfn.LET(
_xlpm.CSVVal,_xlfn.XLOOKUP($A104,CSV!$A:$A,CSV!AD:AD,""),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2" t="str" cm="1">
        <f t="array" ref="Q104">IFERROR(_xlfn.LET(
_xlpm.CSVVal,_xlfn.XLOOKUP($A104,CSV!$A:$A,CSV!AE:AE,""),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X104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2" t="str">
        <f>_xlfn.TEXTJOIN("",TRUE,Input!$B$2,ROW(My_Audit!A104))</f>
        <v>X104</v>
      </c>
      <c r="B105" s="2" t="str">
        <f>_xlfn.TEXTJOIN("-",TRUE,"ITD",Input!$A$2,A105)</f>
        <v>ITD-SHR-X104</v>
      </c>
      <c r="C105" s="2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2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2" t="str">
        <f>_xlfn.XLOOKUP(A105,My_Audit!A:A,My_Audit!D:D,"")&amp;""</f>
        <v/>
      </c>
      <c r="F105" s="2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2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2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2" t="str">
        <f>_xlfn.XLOOKUP(A105,Output_Mac!A:A,Output_Mac!I:I,"")</f>
        <v/>
      </c>
      <c r="J105" s="2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2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2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2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O105" s="2" t="str">
        <f>_xlfn.LET(
    _xlpm.CSVVal, _xlfn.XLOOKUP($A105, CSV!$A:$A, CSV!AC:AC,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2" t="str" cm="1">
        <f t="array" ref="P105">IFERROR(_xlfn.LET(
_xlpm.CSVVal,_xlfn.XLOOKUP($A105,CSV!$A:$A,CSV!AD:AD,""),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2" t="str" cm="1">
        <f t="array" ref="Q105">IFERROR(_xlfn.LET(
_xlpm.CSVVal,_xlfn.XLOOKUP($A105,CSV!$A:$A,CSV!AE:AE,""),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X105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2" t="str">
        <f>_xlfn.TEXTJOIN("",TRUE,Input!$B$2,ROW(My_Audit!A105))</f>
        <v>X105</v>
      </c>
      <c r="B106" s="2" t="str">
        <f>_xlfn.TEXTJOIN("-",TRUE,"ITD",Input!$A$2,A106)</f>
        <v>ITD-SHR-X105</v>
      </c>
      <c r="C106" s="2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2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2" t="str">
        <f>_xlfn.XLOOKUP(A106,My_Audit!A:A,My_Audit!D:D,"")&amp;""</f>
        <v/>
      </c>
      <c r="F106" s="2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2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2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2" t="str">
        <f>_xlfn.XLOOKUP(A106,Output_Mac!A:A,Output_Mac!I:I,"")</f>
        <v/>
      </c>
      <c r="J106" s="2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2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2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2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O106" s="2" t="str">
        <f>_xlfn.LET(
    _xlpm.CSVVal, _xlfn.XLOOKUP($A106, CSV!$A:$A, CSV!AC:AC,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2" t="str" cm="1">
        <f t="array" ref="P106">IFERROR(_xlfn.LET(
_xlpm.CSVVal,_xlfn.XLOOKUP($A106,CSV!$A:$A,CSV!AD:AD,""),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2" t="str" cm="1">
        <f t="array" ref="Q106">IFERROR(_xlfn.LET(
_xlpm.CSVVal,_xlfn.XLOOKUP($A106,CSV!$A:$A,CSV!AE:AE,""),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X106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2" t="str">
        <f>_xlfn.TEXTJOIN("",TRUE,Input!$B$2,ROW(My_Audit!A106))</f>
        <v>X106</v>
      </c>
      <c r="B107" s="2" t="str">
        <f>_xlfn.TEXTJOIN("-",TRUE,"ITD",Input!$A$2,A107)</f>
        <v>ITD-SHR-X106</v>
      </c>
      <c r="C107" s="2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2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2" t="str">
        <f>_xlfn.XLOOKUP(A107,My_Audit!A:A,My_Audit!D:D,"")&amp;""</f>
        <v/>
      </c>
      <c r="F107" s="2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2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2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2" t="str">
        <f>_xlfn.XLOOKUP(A107,Output_Mac!A:A,Output_Mac!I:I,"")</f>
        <v/>
      </c>
      <c r="J107" s="2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2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2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2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O107" s="2" t="str">
        <f>_xlfn.LET(
    _xlpm.CSVVal, _xlfn.XLOOKUP($A107, CSV!$A:$A, CSV!AC:AC,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2" t="str" cm="1">
        <f t="array" ref="P107">IFERROR(_xlfn.LET(
_xlpm.CSVVal,_xlfn.XLOOKUP($A107,CSV!$A:$A,CSV!AD:AD,""),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2" t="str" cm="1">
        <f t="array" ref="Q107">IFERROR(_xlfn.LET(
_xlpm.CSVVal,_xlfn.XLOOKUP($A107,CSV!$A:$A,CSV!AE:AE,""),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X10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2" t="str">
        <f>_xlfn.TEXTJOIN("",TRUE,Input!$B$2,ROW(My_Audit!A107))</f>
        <v>X107</v>
      </c>
      <c r="B108" s="2" t="str">
        <f>_xlfn.TEXTJOIN("-",TRUE,"ITD",Input!$A$2,A108)</f>
        <v>ITD-SHR-X107</v>
      </c>
      <c r="C108" s="2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2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2" t="str">
        <f>_xlfn.XLOOKUP(A108,My_Audit!A:A,My_Audit!D:D,"")&amp;""</f>
        <v/>
      </c>
      <c r="F108" s="2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2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2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2" t="str">
        <f>_xlfn.XLOOKUP(A108,Output_Mac!A:A,Output_Mac!I:I,"")</f>
        <v/>
      </c>
      <c r="J108" s="2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2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2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2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O108" s="2" t="str">
        <f>_xlfn.LET(
    _xlpm.CSVVal, _xlfn.XLOOKUP($A108, CSV!$A:$A, CSV!AC:AC,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2" t="str" cm="1">
        <f t="array" ref="P108">IFERROR(_xlfn.LET(
_xlpm.CSVVal,_xlfn.XLOOKUP($A108,CSV!$A:$A,CSV!AD:AD,""),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2" t="str" cm="1">
        <f t="array" ref="Q108">IFERROR(_xlfn.LET(
_xlpm.CSVVal,_xlfn.XLOOKUP($A108,CSV!$A:$A,CSV!AE:AE,""),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X108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2" t="str">
        <f>_xlfn.TEXTJOIN("",TRUE,Input!$B$2,ROW(My_Audit!A108))</f>
        <v>X108</v>
      </c>
      <c r="B109" s="2" t="str">
        <f>_xlfn.TEXTJOIN("-",TRUE,"ITD",Input!$A$2,A109)</f>
        <v>ITD-SHR-X108</v>
      </c>
      <c r="C109" s="2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2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2" t="str">
        <f>_xlfn.XLOOKUP(A109,My_Audit!A:A,My_Audit!D:D,"")&amp;""</f>
        <v/>
      </c>
      <c r="F109" s="2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2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2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2" t="str">
        <f>_xlfn.XLOOKUP(A109,Output_Mac!A:A,Output_Mac!I:I,"")</f>
        <v/>
      </c>
      <c r="J109" s="2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2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2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2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O109" s="2" t="str">
        <f>_xlfn.LET(
    _xlpm.CSVVal, _xlfn.XLOOKUP($A109, CSV!$A:$A, CSV!AC:AC,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2" t="str" cm="1">
        <f t="array" ref="P109">IFERROR(_xlfn.LET(
_xlpm.CSVVal,_xlfn.XLOOKUP($A109,CSV!$A:$A,CSV!AD:AD,""),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2" t="str" cm="1">
        <f t="array" ref="Q109">IFERROR(_xlfn.LET(
_xlpm.CSVVal,_xlfn.XLOOKUP($A109,CSV!$A:$A,CSV!AE:AE,""),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X10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2" t="str">
        <f>_xlfn.TEXTJOIN("",TRUE,Input!$B$2,ROW(My_Audit!A109))</f>
        <v>X109</v>
      </c>
      <c r="B110" s="2" t="str">
        <f>_xlfn.TEXTJOIN("-",TRUE,"ITD",Input!$A$2,A110)</f>
        <v>ITD-SHR-X109</v>
      </c>
      <c r="C110" s="2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2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2" t="str">
        <f>_xlfn.XLOOKUP(A110,My_Audit!A:A,My_Audit!D:D,"")&amp;""</f>
        <v/>
      </c>
      <c r="F110" s="2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2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2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2" t="str">
        <f>_xlfn.XLOOKUP(A110,Output_Mac!A:A,Output_Mac!I:I,"")</f>
        <v/>
      </c>
      <c r="J110" s="2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2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2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2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O110" s="2" t="str">
        <f>_xlfn.LET(
    _xlpm.CSVVal, _xlfn.XLOOKUP($A110, CSV!$A:$A, CSV!AC:AC,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2" t="str" cm="1">
        <f t="array" ref="P110">IFERROR(_xlfn.LET(
_xlpm.CSVVal,_xlfn.XLOOKUP($A110,CSV!$A:$A,CSV!AD:AD,""),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2" t="str" cm="1">
        <f t="array" ref="Q110">IFERROR(_xlfn.LET(
_xlpm.CSVVal,_xlfn.XLOOKUP($A110,CSV!$A:$A,CSV!AE:AE,""),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X110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2" t="str">
        <f>_xlfn.TEXTJOIN("",TRUE,Input!$B$2,ROW(My_Audit!A110))</f>
        <v>X110</v>
      </c>
      <c r="B111" s="2" t="str">
        <f>_xlfn.TEXTJOIN("-",TRUE,"ITD",Input!$A$2,A111)</f>
        <v>ITD-SHR-X110</v>
      </c>
      <c r="C111" s="2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2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2" t="str">
        <f>_xlfn.XLOOKUP(A111,My_Audit!A:A,My_Audit!D:D,"")&amp;""</f>
        <v/>
      </c>
      <c r="F111" s="2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2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2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2" t="str">
        <f>_xlfn.XLOOKUP(A111,Output_Mac!A:A,Output_Mac!I:I,"")</f>
        <v/>
      </c>
      <c r="J111" s="2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2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2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2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O111" s="2" t="str">
        <f>_xlfn.LET(
    _xlpm.CSVVal, _xlfn.XLOOKUP($A111, CSV!$A:$A, CSV!AC:AC,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2" t="str" cm="1">
        <f t="array" ref="P111">IFERROR(_xlfn.LET(
_xlpm.CSVVal,_xlfn.XLOOKUP($A111,CSV!$A:$A,CSV!AD:AD,""),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2" t="str" cm="1">
        <f t="array" ref="Q111">IFERROR(_xlfn.LET(
_xlpm.CSVVal,_xlfn.XLOOKUP($A111,CSV!$A:$A,CSV!AE:AE,""),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X11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2" t="str">
        <f>_xlfn.TEXTJOIN("",TRUE,Input!$B$2,ROW(My_Audit!A111))</f>
        <v>X111</v>
      </c>
      <c r="B112" s="2" t="str">
        <f>_xlfn.TEXTJOIN("-",TRUE,"ITD",Input!$A$2,A112)</f>
        <v>ITD-SHR-X111</v>
      </c>
      <c r="C112" s="2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2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2" t="str">
        <f>_xlfn.XLOOKUP(A112,My_Audit!A:A,My_Audit!D:D,"")&amp;""</f>
        <v/>
      </c>
      <c r="F112" s="2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2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2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2" t="str">
        <f>_xlfn.XLOOKUP(A112,Output_Mac!A:A,Output_Mac!I:I,"")</f>
        <v/>
      </c>
      <c r="J112" s="2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2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2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2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O112" s="2" t="str">
        <f>_xlfn.LET(
    _xlpm.CSVVal, _xlfn.XLOOKUP($A112, CSV!$A:$A, CSV!AC:AC,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2" t="str" cm="1">
        <f t="array" ref="P112">IFERROR(_xlfn.LET(
_xlpm.CSVVal,_xlfn.XLOOKUP($A112,CSV!$A:$A,CSV!AD:AD,""),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2" t="str" cm="1">
        <f t="array" ref="Q112">IFERROR(_xlfn.LET(
_xlpm.CSVVal,_xlfn.XLOOKUP($A112,CSV!$A:$A,CSV!AE:AE,""),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X112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2" t="str">
        <f>_xlfn.TEXTJOIN("",TRUE,Input!$B$2,ROW(My_Audit!A112))</f>
        <v>X112</v>
      </c>
      <c r="B113" s="2" t="str">
        <f>_xlfn.TEXTJOIN("-",TRUE,"ITD",Input!$A$2,A113)</f>
        <v>ITD-SHR-X112</v>
      </c>
      <c r="C113" s="2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2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2" t="str">
        <f>_xlfn.XLOOKUP(A113,My_Audit!A:A,My_Audit!D:D,"")&amp;""</f>
        <v/>
      </c>
      <c r="F113" s="2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2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2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2" t="str">
        <f>_xlfn.XLOOKUP(A113,Output_Mac!A:A,Output_Mac!I:I,"")</f>
        <v/>
      </c>
      <c r="J113" s="2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2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2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2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O113" s="2" t="str">
        <f>_xlfn.LET(
    _xlpm.CSVVal, _xlfn.XLOOKUP($A113, CSV!$A:$A, CSV!AC:AC,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2" t="str" cm="1">
        <f t="array" ref="P113">IFERROR(_xlfn.LET(
_xlpm.CSVVal,_xlfn.XLOOKUP($A113,CSV!$A:$A,CSV!AD:AD,""),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2" t="str" cm="1">
        <f t="array" ref="Q113">IFERROR(_xlfn.LET(
_xlpm.CSVVal,_xlfn.XLOOKUP($A113,CSV!$A:$A,CSV!AE:AE,""),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X113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2" t="str">
        <f>_xlfn.TEXTJOIN("",TRUE,Input!$B$2,ROW(My_Audit!A113))</f>
        <v>X113</v>
      </c>
      <c r="B114" s="2" t="str">
        <f>_xlfn.TEXTJOIN("-",TRUE,"ITD",Input!$A$2,A114)</f>
        <v>ITD-SHR-X113</v>
      </c>
      <c r="C114" s="2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2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2" t="str">
        <f>_xlfn.XLOOKUP(A114,My_Audit!A:A,My_Audit!D:D,"")&amp;""</f>
        <v/>
      </c>
      <c r="F114" s="2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2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2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2" t="str">
        <f>_xlfn.XLOOKUP(A114,Output_Mac!A:A,Output_Mac!I:I,"")</f>
        <v/>
      </c>
      <c r="J114" s="2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2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2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2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O114" s="2" t="str">
        <f>_xlfn.LET(
    _xlpm.CSVVal, _xlfn.XLOOKUP($A114, CSV!$A:$A, CSV!AC:AC,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2" t="str" cm="1">
        <f t="array" ref="P114">IFERROR(_xlfn.LET(
_xlpm.CSVVal,_xlfn.XLOOKUP($A114,CSV!$A:$A,CSV!AD:AD,""),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2" t="str" cm="1">
        <f t="array" ref="Q114">IFERROR(_xlfn.LET(
_xlpm.CSVVal,_xlfn.XLOOKUP($A114,CSV!$A:$A,CSV!AE:AE,""),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X114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2" t="str">
        <f>_xlfn.TEXTJOIN("",TRUE,Input!$B$2,ROW(My_Audit!A114))</f>
        <v>X114</v>
      </c>
      <c r="B115" s="2" t="str">
        <f>_xlfn.TEXTJOIN("-",TRUE,"ITD",Input!$A$2,A115)</f>
        <v>ITD-SHR-X114</v>
      </c>
      <c r="C115" s="2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2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2" t="str">
        <f>_xlfn.XLOOKUP(A115,My_Audit!A:A,My_Audit!D:D,"")&amp;""</f>
        <v/>
      </c>
      <c r="F115" s="2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2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2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2" t="str">
        <f>_xlfn.XLOOKUP(A115,Output_Mac!A:A,Output_Mac!I:I,"")</f>
        <v/>
      </c>
      <c r="J115" s="2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2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2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2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O115" s="2" t="str">
        <f>_xlfn.LET(
    _xlpm.CSVVal, _xlfn.XLOOKUP($A115, CSV!$A:$A, CSV!AC:AC,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2" t="str" cm="1">
        <f t="array" ref="P115">IFERROR(_xlfn.LET(
_xlpm.CSVVal,_xlfn.XLOOKUP($A115,CSV!$A:$A,CSV!AD:AD,""),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2" t="str" cm="1">
        <f t="array" ref="Q115">IFERROR(_xlfn.LET(
_xlpm.CSVVal,_xlfn.XLOOKUP($A115,CSV!$A:$A,CSV!AE:AE,""),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X115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2" t="str">
        <f>_xlfn.TEXTJOIN("",TRUE,Input!$B$2,ROW(My_Audit!A115))</f>
        <v>X115</v>
      </c>
      <c r="B116" s="2" t="str">
        <f>_xlfn.TEXTJOIN("-",TRUE,"ITD",Input!$A$2,A116)</f>
        <v>ITD-SHR-X115</v>
      </c>
      <c r="C116" s="2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2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2" t="str">
        <f>_xlfn.XLOOKUP(A116,My_Audit!A:A,My_Audit!D:D,"")&amp;""</f>
        <v/>
      </c>
      <c r="F116" s="2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2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2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2" t="str">
        <f>_xlfn.XLOOKUP(A116,Output_Mac!A:A,Output_Mac!I:I,"")</f>
        <v/>
      </c>
      <c r="J116" s="2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2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2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2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O116" s="2" t="str">
        <f>_xlfn.LET(
    _xlpm.CSVVal, _xlfn.XLOOKUP($A116, CSV!$A:$A, CSV!AC:AC,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2" t="str" cm="1">
        <f t="array" ref="P116">IFERROR(_xlfn.LET(
_xlpm.CSVVal,_xlfn.XLOOKUP($A116,CSV!$A:$A,CSV!AD:AD,""),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2" t="str" cm="1">
        <f t="array" ref="Q116">IFERROR(_xlfn.LET(
_xlpm.CSVVal,_xlfn.XLOOKUP($A116,CSV!$A:$A,CSV!AE:AE,""),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X116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2" t="str">
        <f>_xlfn.TEXTJOIN("",TRUE,Input!$B$2,ROW(My_Audit!A116))</f>
        <v>X116</v>
      </c>
      <c r="B117" s="2" t="str">
        <f>_xlfn.TEXTJOIN("-",TRUE,"ITD",Input!$A$2,A117)</f>
        <v>ITD-SHR-X116</v>
      </c>
      <c r="C117" s="2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2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2" t="str">
        <f>_xlfn.XLOOKUP(A117,My_Audit!A:A,My_Audit!D:D,"")&amp;""</f>
        <v/>
      </c>
      <c r="F117" s="2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2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2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2" t="str">
        <f>_xlfn.XLOOKUP(A117,Output_Mac!A:A,Output_Mac!I:I,"")</f>
        <v/>
      </c>
      <c r="J117" s="2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2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2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2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O117" s="2" t="str">
        <f>_xlfn.LET(
    _xlpm.CSVVal, _xlfn.XLOOKUP($A117, CSV!$A:$A, CSV!AC:AC,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2" t="str" cm="1">
        <f t="array" ref="P117">IFERROR(_xlfn.LET(
_xlpm.CSVVal,_xlfn.XLOOKUP($A117,CSV!$A:$A,CSV!AD:AD,""),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2" t="str" cm="1">
        <f t="array" ref="Q117">IFERROR(_xlfn.LET(
_xlpm.CSVVal,_xlfn.XLOOKUP($A117,CSV!$A:$A,CSV!AE:AE,""),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X11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2" t="str">
        <f>_xlfn.TEXTJOIN("",TRUE,Input!$B$2,ROW(My_Audit!A117))</f>
        <v>X117</v>
      </c>
      <c r="B118" s="2" t="str">
        <f>_xlfn.TEXTJOIN("-",TRUE,"ITD",Input!$A$2,A118)</f>
        <v>ITD-SHR-X117</v>
      </c>
      <c r="C118" s="2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2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2" t="str">
        <f>_xlfn.XLOOKUP(A118,My_Audit!A:A,My_Audit!D:D,"")&amp;""</f>
        <v/>
      </c>
      <c r="F118" s="2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2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2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2" t="str">
        <f>_xlfn.XLOOKUP(A118,Output_Mac!A:A,Output_Mac!I:I,"")</f>
        <v/>
      </c>
      <c r="J118" s="2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2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2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2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O118" s="2" t="str">
        <f>_xlfn.LET(
    _xlpm.CSVVal, _xlfn.XLOOKUP($A118, CSV!$A:$A, CSV!AC:AC,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2" t="str" cm="1">
        <f t="array" ref="P118">IFERROR(_xlfn.LET(
_xlpm.CSVVal,_xlfn.XLOOKUP($A118,CSV!$A:$A,CSV!AD:AD,""),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2" t="str" cm="1">
        <f t="array" ref="Q118">IFERROR(_xlfn.LET(
_xlpm.CSVVal,_xlfn.XLOOKUP($A118,CSV!$A:$A,CSV!AE:AE,""),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X118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2" t="str">
        <f>_xlfn.TEXTJOIN("",TRUE,Input!$B$2,ROW(My_Audit!A118))</f>
        <v>X118</v>
      </c>
      <c r="B119" s="2" t="str">
        <f>_xlfn.TEXTJOIN("-",TRUE,"ITD",Input!$A$2,A119)</f>
        <v>ITD-SHR-X118</v>
      </c>
      <c r="C119" s="2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2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2" t="str">
        <f>_xlfn.XLOOKUP(A119,My_Audit!A:A,My_Audit!D:D,"")&amp;""</f>
        <v/>
      </c>
      <c r="F119" s="2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2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2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2" t="str">
        <f>_xlfn.XLOOKUP(A119,Output_Mac!A:A,Output_Mac!I:I,"")</f>
        <v/>
      </c>
      <c r="J119" s="2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2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2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2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O119" s="2" t="str">
        <f>_xlfn.LET(
    _xlpm.CSVVal, _xlfn.XLOOKUP($A119, CSV!$A:$A, CSV!AC:AC,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2" t="str" cm="1">
        <f t="array" ref="P119">IFERROR(_xlfn.LET(
_xlpm.CSVVal,_xlfn.XLOOKUP($A119,CSV!$A:$A,CSV!AD:AD,""),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2" t="str" cm="1">
        <f t="array" ref="Q119">IFERROR(_xlfn.LET(
_xlpm.CSVVal,_xlfn.XLOOKUP($A119,CSV!$A:$A,CSV!AE:AE,""),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X11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2" t="str">
        <f>_xlfn.TEXTJOIN("",TRUE,Input!$B$2,ROW(My_Audit!A119))</f>
        <v>X119</v>
      </c>
      <c r="B120" s="2" t="str">
        <f>_xlfn.TEXTJOIN("-",TRUE,"ITD",Input!$A$2,A120)</f>
        <v>ITD-SHR-X119</v>
      </c>
      <c r="C120" s="2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2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2" t="str">
        <f>_xlfn.XLOOKUP(A120,My_Audit!A:A,My_Audit!D:D,"")&amp;""</f>
        <v/>
      </c>
      <c r="F120" s="2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2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2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2" t="str">
        <f>_xlfn.XLOOKUP(A120,Output_Mac!A:A,Output_Mac!I:I,"")</f>
        <v/>
      </c>
      <c r="J120" s="2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2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2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2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O120" s="2" t="str">
        <f>_xlfn.LET(
    _xlpm.CSVVal, _xlfn.XLOOKUP($A120, CSV!$A:$A, CSV!AC:AC,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2" t="str" cm="1">
        <f t="array" ref="P120">IFERROR(_xlfn.LET(
_xlpm.CSVVal,_xlfn.XLOOKUP($A120,CSV!$A:$A,CSV!AD:AD,""),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2" t="str" cm="1">
        <f t="array" ref="Q120">IFERROR(_xlfn.LET(
_xlpm.CSVVal,_xlfn.XLOOKUP($A120,CSV!$A:$A,CSV!AE:AE,""),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X120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2" t="str">
        <f>_xlfn.TEXTJOIN("",TRUE,Input!$B$2,ROW(My_Audit!A120))</f>
        <v>X120</v>
      </c>
      <c r="B121" s="2" t="str">
        <f>_xlfn.TEXTJOIN("-",TRUE,"ITD",Input!$A$2,A121)</f>
        <v>ITD-SHR-X120</v>
      </c>
      <c r="C121" s="2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2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2" t="str">
        <f>_xlfn.XLOOKUP(A121,My_Audit!A:A,My_Audit!D:D,"")&amp;""</f>
        <v/>
      </c>
      <c r="F121" s="2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2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2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2" t="str">
        <f>_xlfn.XLOOKUP(A121,Output_Mac!A:A,Output_Mac!I:I,"")</f>
        <v/>
      </c>
      <c r="J121" s="2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2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2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2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O121" s="2" t="str">
        <f>_xlfn.LET(
    _xlpm.CSVVal, _xlfn.XLOOKUP($A121, CSV!$A:$A, CSV!AC:AC,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2" t="str" cm="1">
        <f t="array" ref="P121">IFERROR(_xlfn.LET(
_xlpm.CSVVal,_xlfn.XLOOKUP($A121,CSV!$A:$A,CSV!AD:AD,""),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2" t="str" cm="1">
        <f t="array" ref="Q121">IFERROR(_xlfn.LET(
_xlpm.CSVVal,_xlfn.XLOOKUP($A121,CSV!$A:$A,CSV!AE:AE,""),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X12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2" t="str">
        <f>_xlfn.TEXTJOIN("",TRUE,Input!$B$2,ROW(My_Audit!A121))</f>
        <v>X121</v>
      </c>
      <c r="B122" s="2" t="str">
        <f>_xlfn.TEXTJOIN("-",TRUE,"ITD",Input!$A$2,A122)</f>
        <v>ITD-SHR-X121</v>
      </c>
      <c r="C122" s="2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2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2" t="str">
        <f>_xlfn.XLOOKUP(A122,My_Audit!A:A,My_Audit!D:D,"")&amp;""</f>
        <v/>
      </c>
      <c r="F122" s="2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2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2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2" t="str">
        <f>_xlfn.XLOOKUP(A122,Output_Mac!A:A,Output_Mac!I:I,"")</f>
        <v/>
      </c>
      <c r="J122" s="2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2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2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2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O122" s="2" t="str">
        <f>_xlfn.LET(
    _xlpm.CSVVal, _xlfn.XLOOKUP($A122, CSV!$A:$A, CSV!AC:AC,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2" t="str" cm="1">
        <f t="array" ref="P122">IFERROR(_xlfn.LET(
_xlpm.CSVVal,_xlfn.XLOOKUP($A122,CSV!$A:$A,CSV!AD:AD,""),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2" t="str" cm="1">
        <f t="array" ref="Q122">IFERROR(_xlfn.LET(
_xlpm.CSVVal,_xlfn.XLOOKUP($A122,CSV!$A:$A,CSV!AE:AE,""),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X122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2" t="str">
        <f>_xlfn.TEXTJOIN("",TRUE,Input!$B$2,ROW(My_Audit!A122))</f>
        <v>X122</v>
      </c>
      <c r="B123" s="2" t="str">
        <f>_xlfn.TEXTJOIN("-",TRUE,"ITD",Input!$A$2,A123)</f>
        <v>ITD-SHR-X122</v>
      </c>
      <c r="C123" s="2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2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2" t="str">
        <f>_xlfn.XLOOKUP(A123,My_Audit!A:A,My_Audit!D:D,"")&amp;""</f>
        <v/>
      </c>
      <c r="F123" s="2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2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2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2" t="str">
        <f>_xlfn.XLOOKUP(A123,Output_Mac!A:A,Output_Mac!I:I,"")</f>
        <v/>
      </c>
      <c r="J123" s="2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2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2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2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O123" s="2" t="str">
        <f>_xlfn.LET(
    _xlpm.CSVVal, _xlfn.XLOOKUP($A123, CSV!$A:$A, CSV!AC:AC,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2" t="str" cm="1">
        <f t="array" ref="P123">IFERROR(_xlfn.LET(
_xlpm.CSVVal,_xlfn.XLOOKUP($A123,CSV!$A:$A,CSV!AD:AD,""),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2" t="str" cm="1">
        <f t="array" ref="Q123">IFERROR(_xlfn.LET(
_xlpm.CSVVal,_xlfn.XLOOKUP($A123,CSV!$A:$A,CSV!AE:AE,""),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X123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2" t="str">
        <f>_xlfn.TEXTJOIN("",TRUE,Input!$B$2,ROW(My_Audit!A123))</f>
        <v>X123</v>
      </c>
      <c r="B124" s="2" t="str">
        <f>_xlfn.TEXTJOIN("-",TRUE,"ITD",Input!$A$2,A124)</f>
        <v>ITD-SHR-X123</v>
      </c>
      <c r="C124" s="2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2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2" t="str">
        <f>_xlfn.XLOOKUP(A124,My_Audit!A:A,My_Audit!D:D,"")&amp;""</f>
        <v/>
      </c>
      <c r="F124" s="2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2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2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2" t="str">
        <f>_xlfn.XLOOKUP(A124,Output_Mac!A:A,Output_Mac!I:I,"")</f>
        <v/>
      </c>
      <c r="J124" s="2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2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2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2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O124" s="2" t="str">
        <f>_xlfn.LET(
    _xlpm.CSVVal, _xlfn.XLOOKUP($A124, CSV!$A:$A, CSV!AC:AC,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2" t="str" cm="1">
        <f t="array" ref="P124">IFERROR(_xlfn.LET(
_xlpm.CSVVal,_xlfn.XLOOKUP($A124,CSV!$A:$A,CSV!AD:AD,""),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2" t="str" cm="1">
        <f t="array" ref="Q124">IFERROR(_xlfn.LET(
_xlpm.CSVVal,_xlfn.XLOOKUP($A124,CSV!$A:$A,CSV!AE:AE,""),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X124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2" t="str">
        <f>_xlfn.TEXTJOIN("",TRUE,Input!$B$2,ROW(My_Audit!A124))</f>
        <v>X124</v>
      </c>
      <c r="B125" s="2" t="str">
        <f>_xlfn.TEXTJOIN("-",TRUE,"ITD",Input!$A$2,A125)</f>
        <v>ITD-SHR-X124</v>
      </c>
      <c r="C125" s="2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2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2" t="str">
        <f>_xlfn.XLOOKUP(A125,My_Audit!A:A,My_Audit!D:D,"")&amp;""</f>
        <v/>
      </c>
      <c r="F125" s="2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2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2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2" t="str">
        <f>_xlfn.XLOOKUP(A125,Output_Mac!A:A,Output_Mac!I:I,"")</f>
        <v/>
      </c>
      <c r="J125" s="2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2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2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2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O125" s="2" t="str">
        <f>_xlfn.LET(
    _xlpm.CSVVal, _xlfn.XLOOKUP($A125, CSV!$A:$A, CSV!AC:AC,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2" t="str" cm="1">
        <f t="array" ref="P125">IFERROR(_xlfn.LET(
_xlpm.CSVVal,_xlfn.XLOOKUP($A125,CSV!$A:$A,CSV!AD:AD,""),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2" t="str" cm="1">
        <f t="array" ref="Q125">IFERROR(_xlfn.LET(
_xlpm.CSVVal,_xlfn.XLOOKUP($A125,CSV!$A:$A,CSV!AE:AE,""),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X125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2" t="str">
        <f>_xlfn.TEXTJOIN("",TRUE,Input!$B$2,ROW(My_Audit!A125))</f>
        <v>X125</v>
      </c>
      <c r="B126" s="2" t="str">
        <f>_xlfn.TEXTJOIN("-",TRUE,"ITD",Input!$A$2,A126)</f>
        <v>ITD-SHR-X125</v>
      </c>
      <c r="C126" s="2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2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2" t="str">
        <f>_xlfn.XLOOKUP(A126,My_Audit!A:A,My_Audit!D:D,"")&amp;""</f>
        <v/>
      </c>
      <c r="F126" s="2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2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2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2" t="str">
        <f>_xlfn.XLOOKUP(A126,Output_Mac!A:A,Output_Mac!I:I,"")</f>
        <v/>
      </c>
      <c r="J126" s="2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2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2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2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O126" s="2" t="str">
        <f>_xlfn.LET(
    _xlpm.CSVVal, _xlfn.XLOOKUP($A126, CSV!$A:$A, CSV!AC:AC,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2" t="str" cm="1">
        <f t="array" ref="P126">IFERROR(_xlfn.LET(
_xlpm.CSVVal,_xlfn.XLOOKUP($A126,CSV!$A:$A,CSV!AD:AD,""),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2" t="str" cm="1">
        <f t="array" ref="Q126">IFERROR(_xlfn.LET(
_xlpm.CSVVal,_xlfn.XLOOKUP($A126,CSV!$A:$A,CSV!AE:AE,""),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X126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2" t="str">
        <f>_xlfn.TEXTJOIN("",TRUE,Input!$B$2,ROW(My_Audit!A126))</f>
        <v>X126</v>
      </c>
      <c r="B127" s="2" t="str">
        <f>_xlfn.TEXTJOIN("-",TRUE,"ITD",Input!$A$2,A127)</f>
        <v>ITD-SHR-X126</v>
      </c>
      <c r="C127" s="2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2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2" t="str">
        <f>_xlfn.XLOOKUP(A127,My_Audit!A:A,My_Audit!D:D,"")&amp;""</f>
        <v/>
      </c>
      <c r="F127" s="2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2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2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2" t="str">
        <f>_xlfn.XLOOKUP(A127,Output_Mac!A:A,Output_Mac!I:I,"")</f>
        <v/>
      </c>
      <c r="J127" s="2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2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2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2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O127" s="2" t="str">
        <f>_xlfn.LET(
    _xlpm.CSVVal, _xlfn.XLOOKUP($A127, CSV!$A:$A, CSV!AC:AC,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2" t="str" cm="1">
        <f t="array" ref="P127">IFERROR(_xlfn.LET(
_xlpm.CSVVal,_xlfn.XLOOKUP($A127,CSV!$A:$A,CSV!AD:AD,""),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2" t="str" cm="1">
        <f t="array" ref="Q127">IFERROR(_xlfn.LET(
_xlpm.CSVVal,_xlfn.XLOOKUP($A127,CSV!$A:$A,CSV!AE:AE,""),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X12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2" t="str">
        <f>_xlfn.TEXTJOIN("",TRUE,Input!$B$2,ROW(My_Audit!A127))</f>
        <v>X127</v>
      </c>
      <c r="B128" s="2" t="str">
        <f>_xlfn.TEXTJOIN("-",TRUE,"ITD",Input!$A$2,A128)</f>
        <v>ITD-SHR-X127</v>
      </c>
      <c r="C128" s="2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2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2" t="str">
        <f>_xlfn.XLOOKUP(A128,My_Audit!A:A,My_Audit!D:D,"")&amp;""</f>
        <v/>
      </c>
      <c r="F128" s="2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2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2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2" t="str">
        <f>_xlfn.XLOOKUP(A128,Output_Mac!A:A,Output_Mac!I:I,"")</f>
        <v/>
      </c>
      <c r="J128" s="2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2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2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2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O128" s="2" t="str">
        <f>_xlfn.LET(
    _xlpm.CSVVal, _xlfn.XLOOKUP($A128, CSV!$A:$A, CSV!AC:AC,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2" t="str" cm="1">
        <f t="array" ref="P128">IFERROR(_xlfn.LET(
_xlpm.CSVVal,_xlfn.XLOOKUP($A128,CSV!$A:$A,CSV!AD:AD,""),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2" t="str" cm="1">
        <f t="array" ref="Q128">IFERROR(_xlfn.LET(
_xlpm.CSVVal,_xlfn.XLOOKUP($A128,CSV!$A:$A,CSV!AE:AE,""),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X128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2" t="str">
        <f>_xlfn.TEXTJOIN("",TRUE,Input!$B$2,ROW(My_Audit!A128))</f>
        <v>X128</v>
      </c>
      <c r="B129" s="2" t="str">
        <f>_xlfn.TEXTJOIN("-",TRUE,"ITD",Input!$A$2,A129)</f>
        <v>ITD-SHR-X128</v>
      </c>
      <c r="C129" s="2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2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2" t="str">
        <f>_xlfn.XLOOKUP(A129,My_Audit!A:A,My_Audit!D:D,"")&amp;""</f>
        <v/>
      </c>
      <c r="F129" s="2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2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2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2" t="str">
        <f>_xlfn.XLOOKUP(A129,Output_Mac!A:A,Output_Mac!I:I,"")</f>
        <v/>
      </c>
      <c r="J129" s="2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2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2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2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O129" s="2" t="str">
        <f>_xlfn.LET(
    _xlpm.CSVVal, _xlfn.XLOOKUP($A129, CSV!$A:$A, CSV!AC:AC,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2" t="str" cm="1">
        <f t="array" ref="P129">IFERROR(_xlfn.LET(
_xlpm.CSVVal,_xlfn.XLOOKUP($A129,CSV!$A:$A,CSV!AD:AD,""),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2" t="str" cm="1">
        <f t="array" ref="Q129">IFERROR(_xlfn.LET(
_xlpm.CSVVal,_xlfn.XLOOKUP($A129,CSV!$A:$A,CSV!AE:AE,""),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X12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2" t="str">
        <f>_xlfn.TEXTJOIN("",TRUE,Input!$B$2,ROW(My_Audit!A129))</f>
        <v>X129</v>
      </c>
      <c r="B130" s="2" t="str">
        <f>_xlfn.TEXTJOIN("-",TRUE,"ITD",Input!$A$2,A130)</f>
        <v>ITD-SHR-X129</v>
      </c>
      <c r="C130" s="2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2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2" t="str">
        <f>_xlfn.XLOOKUP(A130,My_Audit!A:A,My_Audit!D:D,"")&amp;""</f>
        <v/>
      </c>
      <c r="F130" s="2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2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2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2" t="str">
        <f>_xlfn.XLOOKUP(A130,Output_Mac!A:A,Output_Mac!I:I,"")</f>
        <v/>
      </c>
      <c r="J130" s="2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2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2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2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O130" s="2" t="str">
        <f>_xlfn.LET(
    _xlpm.CSVVal, _xlfn.XLOOKUP($A130, CSV!$A:$A, CSV!AC:AC,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2" t="str" cm="1">
        <f t="array" ref="P130">IFERROR(_xlfn.LET(
_xlpm.CSVVal,_xlfn.XLOOKUP($A130,CSV!$A:$A,CSV!AD:AD,""),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2" t="str" cm="1">
        <f t="array" ref="Q130">IFERROR(_xlfn.LET(
_xlpm.CSVVal,_xlfn.XLOOKUP($A130,CSV!$A:$A,CSV!AE:AE,""),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X130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2" t="str">
        <f>_xlfn.TEXTJOIN("",TRUE,Input!$B$2,ROW(My_Audit!A130))</f>
        <v>X130</v>
      </c>
      <c r="B131" s="2" t="str">
        <f>_xlfn.TEXTJOIN("-",TRUE,"ITD",Input!$A$2,A131)</f>
        <v>ITD-SHR-X130</v>
      </c>
      <c r="C131" s="2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2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2" t="str">
        <f>_xlfn.XLOOKUP(A131,My_Audit!A:A,My_Audit!D:D,"")&amp;""</f>
        <v/>
      </c>
      <c r="F131" s="2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2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2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2" t="str">
        <f>_xlfn.XLOOKUP(A131,Output_Mac!A:A,Output_Mac!I:I,"")</f>
        <v/>
      </c>
      <c r="J131" s="2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2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2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2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O131" s="2" t="str">
        <f>_xlfn.LET(
    _xlpm.CSVVal, _xlfn.XLOOKUP($A131, CSV!$A:$A, CSV!AC:AC,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2" t="str" cm="1">
        <f t="array" ref="P131">IFERROR(_xlfn.LET(
_xlpm.CSVVal,_xlfn.XLOOKUP($A131,CSV!$A:$A,CSV!AD:AD,""),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2" t="str" cm="1">
        <f t="array" ref="Q131">IFERROR(_xlfn.LET(
_xlpm.CSVVal,_xlfn.XLOOKUP($A131,CSV!$A:$A,CSV!AE:AE,""),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X13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2" t="str">
        <f>_xlfn.TEXTJOIN("",TRUE,Input!$B$2,ROW(My_Audit!A131))</f>
        <v>X131</v>
      </c>
      <c r="B132" s="2" t="str">
        <f>_xlfn.TEXTJOIN("-",TRUE,"ITD",Input!$A$2,A132)</f>
        <v>ITD-SHR-X131</v>
      </c>
      <c r="C132" s="2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2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2" t="str">
        <f>_xlfn.XLOOKUP(A132,My_Audit!A:A,My_Audit!D:D,"")&amp;""</f>
        <v/>
      </c>
      <c r="F132" s="2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2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2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2" t="str">
        <f>_xlfn.XLOOKUP(A132,Output_Mac!A:A,Output_Mac!I:I,"")</f>
        <v/>
      </c>
      <c r="J132" s="2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2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2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2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O132" s="2" t="str">
        <f>_xlfn.LET(
    _xlpm.CSVVal, _xlfn.XLOOKUP($A132, CSV!$A:$A, CSV!AC:AC,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2" t="str" cm="1">
        <f t="array" ref="P132">IFERROR(_xlfn.LET(
_xlpm.CSVVal,_xlfn.XLOOKUP($A132,CSV!$A:$A,CSV!AD:AD,""),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2" t="str" cm="1">
        <f t="array" ref="Q132">IFERROR(_xlfn.LET(
_xlpm.CSVVal,_xlfn.XLOOKUP($A132,CSV!$A:$A,CSV!AE:AE,""),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X132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2" t="str">
        <f>_xlfn.TEXTJOIN("",TRUE,Input!$B$2,ROW(My_Audit!A132))</f>
        <v>X132</v>
      </c>
      <c r="B133" s="2" t="str">
        <f>_xlfn.TEXTJOIN("-",TRUE,"ITD",Input!$A$2,A133)</f>
        <v>ITD-SHR-X132</v>
      </c>
      <c r="C133" s="2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2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2" t="str">
        <f>_xlfn.XLOOKUP(A133,My_Audit!A:A,My_Audit!D:D,"")&amp;""</f>
        <v/>
      </c>
      <c r="F133" s="2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2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2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2" t="str">
        <f>_xlfn.XLOOKUP(A133,Output_Mac!A:A,Output_Mac!I:I,"")</f>
        <v/>
      </c>
      <c r="J133" s="2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2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2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2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O133" s="2" t="str">
        <f>_xlfn.LET(
    _xlpm.CSVVal, _xlfn.XLOOKUP($A133, CSV!$A:$A, CSV!AC:AC,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2" t="str" cm="1">
        <f t="array" ref="P133">IFERROR(_xlfn.LET(
_xlpm.CSVVal,_xlfn.XLOOKUP($A133,CSV!$A:$A,CSV!AD:AD,""),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2" t="str" cm="1">
        <f t="array" ref="Q133">IFERROR(_xlfn.LET(
_xlpm.CSVVal,_xlfn.XLOOKUP($A133,CSV!$A:$A,CSV!AE:AE,""),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X133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2" t="str">
        <f>_xlfn.TEXTJOIN("",TRUE,Input!$B$2,ROW(My_Audit!A133))</f>
        <v>X133</v>
      </c>
      <c r="B134" s="2" t="str">
        <f>_xlfn.TEXTJOIN("-",TRUE,"ITD",Input!$A$2,A134)</f>
        <v>ITD-SHR-X133</v>
      </c>
      <c r="C134" s="2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2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2" t="str">
        <f>_xlfn.XLOOKUP(A134,My_Audit!A:A,My_Audit!D:D,"")&amp;""</f>
        <v/>
      </c>
      <c r="F134" s="2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2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2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2" t="str">
        <f>_xlfn.XLOOKUP(A134,Output_Mac!A:A,Output_Mac!I:I,"")</f>
        <v/>
      </c>
      <c r="J134" s="2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2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2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2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O134" s="2" t="str">
        <f>_xlfn.LET(
    _xlpm.CSVVal, _xlfn.XLOOKUP($A134, CSV!$A:$A, CSV!AC:AC,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2" t="str" cm="1">
        <f t="array" ref="P134">IFERROR(_xlfn.LET(
_xlpm.CSVVal,_xlfn.XLOOKUP($A134,CSV!$A:$A,CSV!AD:AD,""),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2" t="str" cm="1">
        <f t="array" ref="Q134">IFERROR(_xlfn.LET(
_xlpm.CSVVal,_xlfn.XLOOKUP($A134,CSV!$A:$A,CSV!AE:AE,""),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X134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2" t="str">
        <f>_xlfn.TEXTJOIN("",TRUE,Input!$B$2,ROW(My_Audit!A134))</f>
        <v>X134</v>
      </c>
      <c r="B135" s="2" t="str">
        <f>_xlfn.TEXTJOIN("-",TRUE,"ITD",Input!$A$2,A135)</f>
        <v>ITD-SHR-X134</v>
      </c>
      <c r="C135" s="2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2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2" t="str">
        <f>_xlfn.XLOOKUP(A135,My_Audit!A:A,My_Audit!D:D,"")&amp;""</f>
        <v/>
      </c>
      <c r="F135" s="2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2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2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2" t="str">
        <f>_xlfn.XLOOKUP(A135,Output_Mac!A:A,Output_Mac!I:I,"")</f>
        <v/>
      </c>
      <c r="J135" s="2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2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2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2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O135" s="2" t="str">
        <f>_xlfn.LET(
    _xlpm.CSVVal, _xlfn.XLOOKUP($A135, CSV!$A:$A, CSV!AC:AC,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2" t="str" cm="1">
        <f t="array" ref="P135">IFERROR(_xlfn.LET(
_xlpm.CSVVal,_xlfn.XLOOKUP($A135,CSV!$A:$A,CSV!AD:AD,""),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2" t="str" cm="1">
        <f t="array" ref="Q135">IFERROR(_xlfn.LET(
_xlpm.CSVVal,_xlfn.XLOOKUP($A135,CSV!$A:$A,CSV!AE:AE,""),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X135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2" t="str">
        <f>_xlfn.TEXTJOIN("",TRUE,Input!$B$2,ROW(My_Audit!A135))</f>
        <v>X135</v>
      </c>
      <c r="B136" s="2" t="str">
        <f>_xlfn.TEXTJOIN("-",TRUE,"ITD",Input!$A$2,A136)</f>
        <v>ITD-SHR-X135</v>
      </c>
      <c r="C136" s="2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2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2" t="str">
        <f>_xlfn.XLOOKUP(A136,My_Audit!A:A,My_Audit!D:D,"")&amp;""</f>
        <v/>
      </c>
      <c r="F136" s="2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2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2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2" t="str">
        <f>_xlfn.XLOOKUP(A136,Output_Mac!A:A,Output_Mac!I:I,"")</f>
        <v/>
      </c>
      <c r="J136" s="2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2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2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2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O136" s="2" t="str">
        <f>_xlfn.LET(
    _xlpm.CSVVal, _xlfn.XLOOKUP($A136, CSV!$A:$A, CSV!AC:AC,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2" t="str" cm="1">
        <f t="array" ref="P136">IFERROR(_xlfn.LET(
_xlpm.CSVVal,_xlfn.XLOOKUP($A136,CSV!$A:$A,CSV!AD:AD,""),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2" t="str" cm="1">
        <f t="array" ref="Q136">IFERROR(_xlfn.LET(
_xlpm.CSVVal,_xlfn.XLOOKUP($A136,CSV!$A:$A,CSV!AE:AE,""),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X136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2" t="str">
        <f>_xlfn.TEXTJOIN("",TRUE,Input!$B$2,ROW(My_Audit!A136))</f>
        <v>X136</v>
      </c>
      <c r="B137" s="2" t="str">
        <f>_xlfn.TEXTJOIN("-",TRUE,"ITD",Input!$A$2,A137)</f>
        <v>ITD-SHR-X136</v>
      </c>
      <c r="C137" s="2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2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2" t="str">
        <f>_xlfn.XLOOKUP(A137,My_Audit!A:A,My_Audit!D:D,"")&amp;""</f>
        <v/>
      </c>
      <c r="F137" s="2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2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2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2" t="str">
        <f>_xlfn.XLOOKUP(A137,Output_Mac!A:A,Output_Mac!I:I,"")</f>
        <v/>
      </c>
      <c r="J137" s="2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2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2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2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O137" s="2" t="str">
        <f>_xlfn.LET(
    _xlpm.CSVVal, _xlfn.XLOOKUP($A137, CSV!$A:$A, CSV!AC:AC,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2" t="str" cm="1">
        <f t="array" ref="P137">IFERROR(_xlfn.LET(
_xlpm.CSVVal,_xlfn.XLOOKUP($A137,CSV!$A:$A,CSV!AD:AD,""),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2" t="str" cm="1">
        <f t="array" ref="Q137">IFERROR(_xlfn.LET(
_xlpm.CSVVal,_xlfn.XLOOKUP($A137,CSV!$A:$A,CSV!AE:AE,""),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X13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2" t="str">
        <f>_xlfn.TEXTJOIN("",TRUE,Input!$B$2,ROW(My_Audit!A137))</f>
        <v>X137</v>
      </c>
      <c r="B138" s="2" t="str">
        <f>_xlfn.TEXTJOIN("-",TRUE,"ITD",Input!$A$2,A138)</f>
        <v>ITD-SHR-X137</v>
      </c>
      <c r="C138" s="2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2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2" t="str">
        <f>_xlfn.XLOOKUP(A138,My_Audit!A:A,My_Audit!D:D,"")&amp;""</f>
        <v/>
      </c>
      <c r="F138" s="2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2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2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2" t="str">
        <f>_xlfn.XLOOKUP(A138,Output_Mac!A:A,Output_Mac!I:I,"")</f>
        <v/>
      </c>
      <c r="J138" s="2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2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2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2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O138" s="2" t="str">
        <f>_xlfn.LET(
    _xlpm.CSVVal, _xlfn.XLOOKUP($A138, CSV!$A:$A, CSV!AC:AC,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2" t="str" cm="1">
        <f t="array" ref="P138">IFERROR(_xlfn.LET(
_xlpm.CSVVal,_xlfn.XLOOKUP($A138,CSV!$A:$A,CSV!AD:AD,""),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2" t="str" cm="1">
        <f t="array" ref="Q138">IFERROR(_xlfn.LET(
_xlpm.CSVVal,_xlfn.XLOOKUP($A138,CSV!$A:$A,CSV!AE:AE,""),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X138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2" t="str">
        <f>_xlfn.TEXTJOIN("",TRUE,Input!$B$2,ROW(My_Audit!A138))</f>
        <v>X138</v>
      </c>
      <c r="B139" s="2" t="str">
        <f>_xlfn.TEXTJOIN("-",TRUE,"ITD",Input!$A$2,A139)</f>
        <v>ITD-SHR-X138</v>
      </c>
      <c r="C139" s="2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2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2" t="str">
        <f>_xlfn.XLOOKUP(A139,My_Audit!A:A,My_Audit!D:D,"")&amp;""</f>
        <v/>
      </c>
      <c r="F139" s="2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2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2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2" t="str">
        <f>_xlfn.XLOOKUP(A139,Output_Mac!A:A,Output_Mac!I:I,"")</f>
        <v/>
      </c>
      <c r="J139" s="2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2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2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2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O139" s="2" t="str">
        <f>_xlfn.LET(
    _xlpm.CSVVal, _xlfn.XLOOKUP($A139, CSV!$A:$A, CSV!AC:AC,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2" t="str" cm="1">
        <f t="array" ref="P139">IFERROR(_xlfn.LET(
_xlpm.CSVVal,_xlfn.XLOOKUP($A139,CSV!$A:$A,CSV!AD:AD,""),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2" t="str" cm="1">
        <f t="array" ref="Q139">IFERROR(_xlfn.LET(
_xlpm.CSVVal,_xlfn.XLOOKUP($A139,CSV!$A:$A,CSV!AE:AE,""),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X1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2" t="str">
        <f>_xlfn.TEXTJOIN("",TRUE,Input!$B$2,ROW(My_Audit!A139))</f>
        <v>X139</v>
      </c>
      <c r="B140" s="2" t="str">
        <f>_xlfn.TEXTJOIN("-",TRUE,"ITD",Input!$A$2,A140)</f>
        <v>ITD-SHR-X139</v>
      </c>
      <c r="C140" s="2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2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2" t="str">
        <f>_xlfn.XLOOKUP(A140,My_Audit!A:A,My_Audit!D:D,"")&amp;""</f>
        <v/>
      </c>
      <c r="F140" s="2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2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2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2" t="str">
        <f>_xlfn.XLOOKUP(A140,Output_Mac!A:A,Output_Mac!I:I,"")</f>
        <v/>
      </c>
      <c r="J140" s="2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2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2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2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O140" s="2" t="str">
        <f>_xlfn.LET(
    _xlpm.CSVVal, _xlfn.XLOOKUP($A140, CSV!$A:$A, CSV!AC:AC,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2" t="str" cm="1">
        <f t="array" ref="P140">IFERROR(_xlfn.LET(
_xlpm.CSVVal,_xlfn.XLOOKUP($A140,CSV!$A:$A,CSV!AD:AD,""),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2" t="str" cm="1">
        <f t="array" ref="Q140">IFERROR(_xlfn.LET(
_xlpm.CSVVal,_xlfn.XLOOKUP($A140,CSV!$A:$A,CSV!AE:AE,""),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X140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2" t="str">
        <f>_xlfn.TEXTJOIN("",TRUE,Input!$B$2,ROW(My_Audit!A140))</f>
        <v>X140</v>
      </c>
      <c r="B141" s="2" t="str">
        <f>_xlfn.TEXTJOIN("-",TRUE,"ITD",Input!$A$2,A141)</f>
        <v>ITD-SHR-X140</v>
      </c>
      <c r="C141" s="2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2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2" t="str">
        <f>_xlfn.XLOOKUP(A141,My_Audit!A:A,My_Audit!D:D,"")&amp;""</f>
        <v/>
      </c>
      <c r="F141" s="2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2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2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2" t="str">
        <f>_xlfn.XLOOKUP(A141,Output_Mac!A:A,Output_Mac!I:I,"")</f>
        <v/>
      </c>
      <c r="J141" s="2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2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2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2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O141" s="2" t="str">
        <f>_xlfn.LET(
    _xlpm.CSVVal, _xlfn.XLOOKUP($A141, CSV!$A:$A, CSV!AC:AC,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2" t="str" cm="1">
        <f t="array" ref="P141">IFERROR(_xlfn.LET(
_xlpm.CSVVal,_xlfn.XLOOKUP($A141,CSV!$A:$A,CSV!AD:AD,""),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2" t="str" cm="1">
        <f t="array" ref="Q141">IFERROR(_xlfn.LET(
_xlpm.CSVVal,_xlfn.XLOOKUP($A141,CSV!$A:$A,CSV!AE:AE,""),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X1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2" t="str">
        <f>_xlfn.TEXTJOIN("",TRUE,Input!$B$2,ROW(My_Audit!A141))</f>
        <v>X141</v>
      </c>
      <c r="B142" s="2" t="str">
        <f>_xlfn.TEXTJOIN("-",TRUE,"ITD",Input!$A$2,A142)</f>
        <v>ITD-SHR-X141</v>
      </c>
      <c r="C142" s="2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2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2" t="str">
        <f>_xlfn.XLOOKUP(A142,My_Audit!A:A,My_Audit!D:D,"")&amp;""</f>
        <v/>
      </c>
      <c r="F142" s="2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2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2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2" t="str">
        <f>_xlfn.XLOOKUP(A142,Output_Mac!A:A,Output_Mac!I:I,"")</f>
        <v/>
      </c>
      <c r="J142" s="2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2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2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2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O142" s="2" t="str">
        <f>_xlfn.LET(
    _xlpm.CSVVal, _xlfn.XLOOKUP($A142, CSV!$A:$A, CSV!AC:AC,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2" t="str" cm="1">
        <f t="array" ref="P142">IFERROR(_xlfn.LET(
_xlpm.CSVVal,_xlfn.XLOOKUP($A142,CSV!$A:$A,CSV!AD:AD,""),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2" t="str" cm="1">
        <f t="array" ref="Q142">IFERROR(_xlfn.LET(
_xlpm.CSVVal,_xlfn.XLOOKUP($A142,CSV!$A:$A,CSV!AE:AE,""),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X142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2" t="str">
        <f>_xlfn.TEXTJOIN("",TRUE,Input!$B$2,ROW(My_Audit!A142))</f>
        <v>X142</v>
      </c>
      <c r="B143" s="2" t="str">
        <f>_xlfn.TEXTJOIN("-",TRUE,"ITD",Input!$A$2,A143)</f>
        <v>ITD-SHR-X142</v>
      </c>
      <c r="C143" s="2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2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2" t="str">
        <f>_xlfn.XLOOKUP(A143,My_Audit!A:A,My_Audit!D:D,"")&amp;""</f>
        <v/>
      </c>
      <c r="F143" s="2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2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2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2" t="str">
        <f>_xlfn.XLOOKUP(A143,Output_Mac!A:A,Output_Mac!I:I,"")</f>
        <v/>
      </c>
      <c r="J143" s="2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2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2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2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O143" s="2" t="str">
        <f>_xlfn.LET(
    _xlpm.CSVVal, _xlfn.XLOOKUP($A143, CSV!$A:$A, CSV!AC:AC,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2" t="str" cm="1">
        <f t="array" ref="P143">IFERROR(_xlfn.LET(
_xlpm.CSVVal,_xlfn.XLOOKUP($A143,CSV!$A:$A,CSV!AD:AD,""),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2" t="str" cm="1">
        <f t="array" ref="Q143">IFERROR(_xlfn.LET(
_xlpm.CSVVal,_xlfn.XLOOKUP($A143,CSV!$A:$A,CSV!AE:AE,""),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X143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2" t="str">
        <f>_xlfn.TEXTJOIN("",TRUE,Input!$B$2,ROW(My_Audit!A143))</f>
        <v>X143</v>
      </c>
      <c r="B144" s="2" t="str">
        <f>_xlfn.TEXTJOIN("-",TRUE,"ITD",Input!$A$2,A144)</f>
        <v>ITD-SHR-X143</v>
      </c>
      <c r="C144" s="2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2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2" t="str">
        <f>_xlfn.XLOOKUP(A144,My_Audit!A:A,My_Audit!D:D,"")&amp;""</f>
        <v/>
      </c>
      <c r="F144" s="2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2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2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2" t="str">
        <f>_xlfn.XLOOKUP(A144,Output_Mac!A:A,Output_Mac!I:I,"")</f>
        <v/>
      </c>
      <c r="J144" s="2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2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2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2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O144" s="2" t="str">
        <f>_xlfn.LET(
    _xlpm.CSVVal, _xlfn.XLOOKUP($A144, CSV!$A:$A, CSV!AC:AC,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2" t="str" cm="1">
        <f t="array" ref="P144">IFERROR(_xlfn.LET(
_xlpm.CSVVal,_xlfn.XLOOKUP($A144,CSV!$A:$A,CSV!AD:AD,""),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2" t="str" cm="1">
        <f t="array" ref="Q144">IFERROR(_xlfn.LET(
_xlpm.CSVVal,_xlfn.XLOOKUP($A144,CSV!$A:$A,CSV!AE:AE,""),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X144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2" t="str">
        <f>_xlfn.TEXTJOIN("",TRUE,Input!$B$2,ROW(My_Audit!A144))</f>
        <v>X144</v>
      </c>
      <c r="B145" s="2" t="str">
        <f>_xlfn.TEXTJOIN("-",TRUE,"ITD",Input!$A$2,A145)</f>
        <v>ITD-SHR-X144</v>
      </c>
      <c r="C145" s="2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2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2" t="str">
        <f>_xlfn.XLOOKUP(A145,My_Audit!A:A,My_Audit!D:D,"")&amp;""</f>
        <v/>
      </c>
      <c r="F145" s="2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2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2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2" t="str">
        <f>_xlfn.XLOOKUP(A145,Output_Mac!A:A,Output_Mac!I:I,"")</f>
        <v/>
      </c>
      <c r="J145" s="2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2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2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2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O145" s="2" t="str">
        <f>_xlfn.LET(
    _xlpm.CSVVal, _xlfn.XLOOKUP($A145, CSV!$A:$A, CSV!AC:AC,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2" t="str" cm="1">
        <f t="array" ref="P145">IFERROR(_xlfn.LET(
_xlpm.CSVVal,_xlfn.XLOOKUP($A145,CSV!$A:$A,CSV!AD:AD,""),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2" t="str" cm="1">
        <f t="array" ref="Q145">IFERROR(_xlfn.LET(
_xlpm.CSVVal,_xlfn.XLOOKUP($A145,CSV!$A:$A,CSV!AE:AE,""),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X145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2" t="str">
        <f>_xlfn.TEXTJOIN("",TRUE,Input!$B$2,ROW(My_Audit!A145))</f>
        <v>X145</v>
      </c>
      <c r="B146" s="2" t="str">
        <f>_xlfn.TEXTJOIN("-",TRUE,"ITD",Input!$A$2,A146)</f>
        <v>ITD-SHR-X145</v>
      </c>
      <c r="C146" s="2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2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2" t="str">
        <f>_xlfn.XLOOKUP(A146,My_Audit!A:A,My_Audit!D:D,"")&amp;""</f>
        <v/>
      </c>
      <c r="F146" s="2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2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2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2" t="str">
        <f>_xlfn.XLOOKUP(A146,Output_Mac!A:A,Output_Mac!I:I,"")</f>
        <v/>
      </c>
      <c r="J146" s="2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2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2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2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O146" s="2" t="str">
        <f>_xlfn.LET(
    _xlpm.CSVVal, _xlfn.XLOOKUP($A146, CSV!$A:$A, CSV!AC:AC,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2" t="str" cm="1">
        <f t="array" ref="P146">IFERROR(_xlfn.LET(
_xlpm.CSVVal,_xlfn.XLOOKUP($A146,CSV!$A:$A,CSV!AD:AD,""),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2" t="str" cm="1">
        <f t="array" ref="Q146">IFERROR(_xlfn.LET(
_xlpm.CSVVal,_xlfn.XLOOKUP($A146,CSV!$A:$A,CSV!AE:AE,""),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X146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2" t="str">
        <f>_xlfn.TEXTJOIN("",TRUE,Input!$B$2,ROW(My_Audit!A146))</f>
        <v>X146</v>
      </c>
      <c r="B147" s="2" t="str">
        <f>_xlfn.TEXTJOIN("-",TRUE,"ITD",Input!$A$2,A147)</f>
        <v>ITD-SHR-X146</v>
      </c>
      <c r="C147" s="2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2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2" t="str">
        <f>_xlfn.XLOOKUP(A147,My_Audit!A:A,My_Audit!D:D,"")&amp;""</f>
        <v/>
      </c>
      <c r="F147" s="2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2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2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2" t="str">
        <f>_xlfn.XLOOKUP(A147,Output_Mac!A:A,Output_Mac!I:I,"")</f>
        <v/>
      </c>
      <c r="J147" s="2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2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2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2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O147" s="2" t="str">
        <f>_xlfn.LET(
    _xlpm.CSVVal, _xlfn.XLOOKUP($A147, CSV!$A:$A, CSV!AC:AC,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2" t="str" cm="1">
        <f t="array" ref="P147">IFERROR(_xlfn.LET(
_xlpm.CSVVal,_xlfn.XLOOKUP($A147,CSV!$A:$A,CSV!AD:AD,""),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2" t="str" cm="1">
        <f t="array" ref="Q147">IFERROR(_xlfn.LET(
_xlpm.CSVVal,_xlfn.XLOOKUP($A147,CSV!$A:$A,CSV!AE:AE,""),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X1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2" t="str">
        <f>_xlfn.TEXTJOIN("",TRUE,Input!$B$2,ROW(My_Audit!A147))</f>
        <v>X147</v>
      </c>
      <c r="B148" s="2" t="str">
        <f>_xlfn.TEXTJOIN("-",TRUE,"ITD",Input!$A$2,A148)</f>
        <v>ITD-SHR-X147</v>
      </c>
      <c r="C148" s="2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2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2" t="str">
        <f>_xlfn.XLOOKUP(A148,My_Audit!A:A,My_Audit!D:D,"")&amp;""</f>
        <v/>
      </c>
      <c r="F148" s="2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2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2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2" t="str">
        <f>_xlfn.XLOOKUP(A148,Output_Mac!A:A,Output_Mac!I:I,"")</f>
        <v/>
      </c>
      <c r="J148" s="2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2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2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2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O148" s="2" t="str">
        <f>_xlfn.LET(
    _xlpm.CSVVal, _xlfn.XLOOKUP($A148, CSV!$A:$A, CSV!AC:AC,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2" t="str" cm="1">
        <f t="array" ref="P148">IFERROR(_xlfn.LET(
_xlpm.CSVVal,_xlfn.XLOOKUP($A148,CSV!$A:$A,CSV!AD:AD,""),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2" t="str" cm="1">
        <f t="array" ref="Q148">IFERROR(_xlfn.LET(
_xlpm.CSVVal,_xlfn.XLOOKUP($A148,CSV!$A:$A,CSV!AE:AE,""),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X148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2" t="str">
        <f>_xlfn.TEXTJOIN("",TRUE,Input!$B$2,ROW(My_Audit!A148))</f>
        <v>X148</v>
      </c>
      <c r="B149" s="2" t="str">
        <f>_xlfn.TEXTJOIN("-",TRUE,"ITD",Input!$A$2,A149)</f>
        <v>ITD-SHR-X148</v>
      </c>
      <c r="C149" s="2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2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2" t="str">
        <f>_xlfn.XLOOKUP(A149,My_Audit!A:A,My_Audit!D:D,"")&amp;""</f>
        <v/>
      </c>
      <c r="F149" s="2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2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2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2" t="str">
        <f>_xlfn.XLOOKUP(A149,Output_Mac!A:A,Output_Mac!I:I,"")</f>
        <v/>
      </c>
      <c r="J149" s="2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2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2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2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O149" s="2" t="str">
        <f>_xlfn.LET(
    _xlpm.CSVVal, _xlfn.XLOOKUP($A149, CSV!$A:$A, CSV!AC:AC,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2" t="str" cm="1">
        <f t="array" ref="P149">IFERROR(_xlfn.LET(
_xlpm.CSVVal,_xlfn.XLOOKUP($A149,CSV!$A:$A,CSV!AD:AD,""),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2" t="str" cm="1">
        <f t="array" ref="Q149">IFERROR(_xlfn.LET(
_xlpm.CSVVal,_xlfn.XLOOKUP($A149,CSV!$A:$A,CSV!AE:AE,""),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X14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2" t="str">
        <f>_xlfn.TEXTJOIN("",TRUE,Input!$B$2,ROW(My_Audit!A149))</f>
        <v>X149</v>
      </c>
      <c r="B150" s="2" t="str">
        <f>_xlfn.TEXTJOIN("-",TRUE,"ITD",Input!$A$2,A150)</f>
        <v>ITD-SHR-X149</v>
      </c>
      <c r="C150" s="2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2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2" t="str">
        <f>_xlfn.XLOOKUP(A150,My_Audit!A:A,My_Audit!D:D,"")&amp;""</f>
        <v/>
      </c>
      <c r="F150" s="2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2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2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2" t="str">
        <f>_xlfn.XLOOKUP(A150,Output_Mac!A:A,Output_Mac!I:I,"")</f>
        <v/>
      </c>
      <c r="J150" s="2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2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2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2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O150" s="2" t="str">
        <f>_xlfn.LET(
    _xlpm.CSVVal, _xlfn.XLOOKUP($A150, CSV!$A:$A, CSV!AC:AC,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2" t="str" cm="1">
        <f t="array" ref="P150">IFERROR(_xlfn.LET(
_xlpm.CSVVal,_xlfn.XLOOKUP($A150,CSV!$A:$A,CSV!AD:AD,""),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2" t="str" cm="1">
        <f t="array" ref="Q150">IFERROR(_xlfn.LET(
_xlpm.CSVVal,_xlfn.XLOOKUP($A150,CSV!$A:$A,CSV!AE:AE,""),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X150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2" t="str">
        <f>_xlfn.TEXTJOIN("",TRUE,Input!$B$2,ROW(My_Audit!A150))</f>
        <v>X150</v>
      </c>
      <c r="B151" s="2" t="str">
        <f>_xlfn.TEXTJOIN("-",TRUE,"ITD",Input!$A$2,A151)</f>
        <v>ITD-SHR-X150</v>
      </c>
      <c r="C151" s="2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2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2" t="str">
        <f>_xlfn.XLOOKUP(A151,My_Audit!A:A,My_Audit!D:D,"")&amp;""</f>
        <v/>
      </c>
      <c r="F151" s="2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2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2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2" t="str">
        <f>_xlfn.XLOOKUP(A151,Output_Mac!A:A,Output_Mac!I:I,"")</f>
        <v/>
      </c>
      <c r="J151" s="2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2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2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2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O151" s="2" t="str">
        <f>_xlfn.LET(
    _xlpm.CSVVal, _xlfn.XLOOKUP($A151, CSV!$A:$A, CSV!AC:AC,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2" t="str" cm="1">
        <f t="array" ref="P151">IFERROR(_xlfn.LET(
_xlpm.CSVVal,_xlfn.XLOOKUP($A151,CSV!$A:$A,CSV!AD:AD,""),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2" t="str" cm="1">
        <f t="array" ref="Q151">IFERROR(_xlfn.LET(
_xlpm.CSVVal,_xlfn.XLOOKUP($A151,CSV!$A:$A,CSV!AE:AE,""),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X15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2" t="str">
        <f>_xlfn.TEXTJOIN("",TRUE,Input!$B$2,ROW(My_Audit!A151))</f>
        <v>X151</v>
      </c>
      <c r="B152" s="2" t="str">
        <f>_xlfn.TEXTJOIN("-",TRUE,"ITD",Input!$A$2,A152)</f>
        <v>ITD-SHR-X151</v>
      </c>
      <c r="C152" s="2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2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2" t="str">
        <f>_xlfn.XLOOKUP(A152,My_Audit!A:A,My_Audit!D:D,"")&amp;""</f>
        <v/>
      </c>
      <c r="F152" s="2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2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2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2" t="str">
        <f>_xlfn.XLOOKUP(A152,Output_Mac!A:A,Output_Mac!I:I,"")</f>
        <v/>
      </c>
      <c r="J152" s="2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2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2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2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O152" s="2" t="str">
        <f>_xlfn.LET(
    _xlpm.CSVVal, _xlfn.XLOOKUP($A152, CSV!$A:$A, CSV!AC:AC,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2" t="str" cm="1">
        <f t="array" ref="P152">IFERROR(_xlfn.LET(
_xlpm.CSVVal,_xlfn.XLOOKUP($A152,CSV!$A:$A,CSV!AD:AD,""),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2" t="str" cm="1">
        <f t="array" ref="Q152">IFERROR(_xlfn.LET(
_xlpm.CSVVal,_xlfn.XLOOKUP($A152,CSV!$A:$A,CSV!AE:AE,""),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X152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2" t="str">
        <f>_xlfn.TEXTJOIN("",TRUE,Input!$B$2,ROW(My_Audit!A152))</f>
        <v>X152</v>
      </c>
      <c r="B153" s="2" t="str">
        <f>_xlfn.TEXTJOIN("-",TRUE,"ITD",Input!$A$2,A153)</f>
        <v>ITD-SHR-X152</v>
      </c>
      <c r="C153" s="2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2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2" t="str">
        <f>_xlfn.XLOOKUP(A153,My_Audit!A:A,My_Audit!D:D,"")&amp;""</f>
        <v/>
      </c>
      <c r="F153" s="2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2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2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2" t="str">
        <f>_xlfn.XLOOKUP(A153,Output_Mac!A:A,Output_Mac!I:I,"")</f>
        <v/>
      </c>
      <c r="J153" s="2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2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2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2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O153" s="2" t="str">
        <f>_xlfn.LET(
    _xlpm.CSVVal, _xlfn.XLOOKUP($A153, CSV!$A:$A, CSV!AC:AC,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2" t="str" cm="1">
        <f t="array" ref="P153">IFERROR(_xlfn.LET(
_xlpm.CSVVal,_xlfn.XLOOKUP($A153,CSV!$A:$A,CSV!AD:AD,""),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2" t="str" cm="1">
        <f t="array" ref="Q153">IFERROR(_xlfn.LET(
_xlpm.CSVVal,_xlfn.XLOOKUP($A153,CSV!$A:$A,CSV!AE:AE,""),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X153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2" t="str">
        <f>_xlfn.TEXTJOIN("",TRUE,Input!$B$2,ROW(My_Audit!A153))</f>
        <v>X153</v>
      </c>
      <c r="B154" s="2" t="str">
        <f>_xlfn.TEXTJOIN("-",TRUE,"ITD",Input!$A$2,A154)</f>
        <v>ITD-SHR-X153</v>
      </c>
      <c r="C154" s="2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2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2" t="str">
        <f>_xlfn.XLOOKUP(A154,My_Audit!A:A,My_Audit!D:D,"")&amp;""</f>
        <v/>
      </c>
      <c r="F154" s="2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2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2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2" t="str">
        <f>_xlfn.XLOOKUP(A154,Output_Mac!A:A,Output_Mac!I:I,"")</f>
        <v/>
      </c>
      <c r="J154" s="2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2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2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2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O154" s="2" t="str">
        <f>_xlfn.LET(
    _xlpm.CSVVal, _xlfn.XLOOKUP($A154, CSV!$A:$A, CSV!AC:AC,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2" t="str" cm="1">
        <f t="array" ref="P154">IFERROR(_xlfn.LET(
_xlpm.CSVVal,_xlfn.XLOOKUP($A154,CSV!$A:$A,CSV!AD:AD,""),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2" t="str" cm="1">
        <f t="array" ref="Q154">IFERROR(_xlfn.LET(
_xlpm.CSVVal,_xlfn.XLOOKUP($A154,CSV!$A:$A,CSV!AE:AE,""),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X154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2" t="str">
        <f>_xlfn.TEXTJOIN("",TRUE,Input!$B$2,ROW(My_Audit!A154))</f>
        <v>X154</v>
      </c>
      <c r="B155" s="2" t="str">
        <f>_xlfn.TEXTJOIN("-",TRUE,"ITD",Input!$A$2,A155)</f>
        <v>ITD-SHR-X154</v>
      </c>
      <c r="C155" s="2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2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2" t="str">
        <f>_xlfn.XLOOKUP(A155,My_Audit!A:A,My_Audit!D:D,"")&amp;""</f>
        <v/>
      </c>
      <c r="F155" s="2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2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2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2" t="str">
        <f>_xlfn.XLOOKUP(A155,Output_Mac!A:A,Output_Mac!I:I,"")</f>
        <v/>
      </c>
      <c r="J155" s="2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2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2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2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O155" s="2" t="str">
        <f>_xlfn.LET(
    _xlpm.CSVVal, _xlfn.XLOOKUP($A155, CSV!$A:$A, CSV!AC:AC,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2" t="str" cm="1">
        <f t="array" ref="P155">IFERROR(_xlfn.LET(
_xlpm.CSVVal,_xlfn.XLOOKUP($A155,CSV!$A:$A,CSV!AD:AD,""),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2" t="str" cm="1">
        <f t="array" ref="Q155">IFERROR(_xlfn.LET(
_xlpm.CSVVal,_xlfn.XLOOKUP($A155,CSV!$A:$A,CSV!AE:AE,""),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X155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2" t="str">
        <f>_xlfn.TEXTJOIN("",TRUE,Input!$B$2,ROW(My_Audit!A155))</f>
        <v>X155</v>
      </c>
      <c r="B156" s="2" t="str">
        <f>_xlfn.TEXTJOIN("-",TRUE,"ITD",Input!$A$2,A156)</f>
        <v>ITD-SHR-X155</v>
      </c>
      <c r="C156" s="2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2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2" t="str">
        <f>_xlfn.XLOOKUP(A156,My_Audit!A:A,My_Audit!D:D,"")&amp;""</f>
        <v/>
      </c>
      <c r="F156" s="2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2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2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2" t="str">
        <f>_xlfn.XLOOKUP(A156,Output_Mac!A:A,Output_Mac!I:I,"")</f>
        <v/>
      </c>
      <c r="J156" s="2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2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2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2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O156" s="2" t="str">
        <f>_xlfn.LET(
    _xlpm.CSVVal, _xlfn.XLOOKUP($A156, CSV!$A:$A, CSV!AC:AC,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2" t="str" cm="1">
        <f t="array" ref="P156">IFERROR(_xlfn.LET(
_xlpm.CSVVal,_xlfn.XLOOKUP($A156,CSV!$A:$A,CSV!AD:AD,""),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2" t="str" cm="1">
        <f t="array" ref="Q156">IFERROR(_xlfn.LET(
_xlpm.CSVVal,_xlfn.XLOOKUP($A156,CSV!$A:$A,CSV!AE:AE,""),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X156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2" t="str">
        <f>_xlfn.TEXTJOIN("",TRUE,Input!$B$2,ROW(My_Audit!A156))</f>
        <v>X156</v>
      </c>
      <c r="B157" s="2" t="str">
        <f>_xlfn.TEXTJOIN("-",TRUE,"ITD",Input!$A$2,A157)</f>
        <v>ITD-SHR-X156</v>
      </c>
      <c r="C157" s="2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2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2" t="str">
        <f>_xlfn.XLOOKUP(A157,My_Audit!A:A,My_Audit!D:D,"")&amp;""</f>
        <v/>
      </c>
      <c r="F157" s="2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2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2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2" t="str">
        <f>_xlfn.XLOOKUP(A157,Output_Mac!A:A,Output_Mac!I:I,"")</f>
        <v/>
      </c>
      <c r="J157" s="2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2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2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2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O157" s="2" t="str">
        <f>_xlfn.LET(
    _xlpm.CSVVal, _xlfn.XLOOKUP($A157, CSV!$A:$A, CSV!AC:AC,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2" t="str" cm="1">
        <f t="array" ref="P157">IFERROR(_xlfn.LET(
_xlpm.CSVVal,_xlfn.XLOOKUP($A157,CSV!$A:$A,CSV!AD:AD,""),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2" t="str" cm="1">
        <f t="array" ref="Q157">IFERROR(_xlfn.LET(
_xlpm.CSVVal,_xlfn.XLOOKUP($A157,CSV!$A:$A,CSV!AE:AE,""),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X15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2" t="str">
        <f>_xlfn.TEXTJOIN("",TRUE,Input!$B$2,ROW(My_Audit!A157))</f>
        <v>X157</v>
      </c>
      <c r="B158" s="2" t="str">
        <f>_xlfn.TEXTJOIN("-",TRUE,"ITD",Input!$A$2,A158)</f>
        <v>ITD-SHR-X157</v>
      </c>
      <c r="C158" s="2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2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2" t="str">
        <f>_xlfn.XLOOKUP(A158,My_Audit!A:A,My_Audit!D:D,"")&amp;""</f>
        <v/>
      </c>
      <c r="F158" s="2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2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2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2" t="str">
        <f>_xlfn.XLOOKUP(A158,Output_Mac!A:A,Output_Mac!I:I,"")</f>
        <v/>
      </c>
      <c r="J158" s="2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2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2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2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O158" s="2" t="str">
        <f>_xlfn.LET(
    _xlpm.CSVVal, _xlfn.XLOOKUP($A158, CSV!$A:$A, CSV!AC:AC,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2" t="str" cm="1">
        <f t="array" ref="P158">IFERROR(_xlfn.LET(
_xlpm.CSVVal,_xlfn.XLOOKUP($A158,CSV!$A:$A,CSV!AD:AD,""),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2" t="str" cm="1">
        <f t="array" ref="Q158">IFERROR(_xlfn.LET(
_xlpm.CSVVal,_xlfn.XLOOKUP($A158,CSV!$A:$A,CSV!AE:AE,""),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X158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2" t="str">
        <f>_xlfn.TEXTJOIN("",TRUE,Input!$B$2,ROW(My_Audit!A158))</f>
        <v>X158</v>
      </c>
      <c r="B159" s="2" t="str">
        <f>_xlfn.TEXTJOIN("-",TRUE,"ITD",Input!$A$2,A159)</f>
        <v>ITD-SHR-X158</v>
      </c>
      <c r="C159" s="2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2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2" t="str">
        <f>_xlfn.XLOOKUP(A159,My_Audit!A:A,My_Audit!D:D,"")&amp;""</f>
        <v/>
      </c>
      <c r="F159" s="2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2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2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2" t="str">
        <f>_xlfn.XLOOKUP(A159,Output_Mac!A:A,Output_Mac!I:I,"")</f>
        <v/>
      </c>
      <c r="J159" s="2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2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2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2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O159" s="2" t="str">
        <f>_xlfn.LET(
    _xlpm.CSVVal, _xlfn.XLOOKUP($A159, CSV!$A:$A, CSV!AC:AC,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2" t="str" cm="1">
        <f t="array" ref="P159">IFERROR(_xlfn.LET(
_xlpm.CSVVal,_xlfn.XLOOKUP($A159,CSV!$A:$A,CSV!AD:AD,""),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2" t="str" cm="1">
        <f t="array" ref="Q159">IFERROR(_xlfn.LET(
_xlpm.CSVVal,_xlfn.XLOOKUP($A159,CSV!$A:$A,CSV!AE:AE,""),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X15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2" t="str">
        <f>_xlfn.TEXTJOIN("",TRUE,Input!$B$2,ROW(My_Audit!A159))</f>
        <v>X159</v>
      </c>
      <c r="B160" s="2" t="str">
        <f>_xlfn.TEXTJOIN("-",TRUE,"ITD",Input!$A$2,A160)</f>
        <v>ITD-SHR-X159</v>
      </c>
      <c r="C160" s="2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2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2" t="str">
        <f>_xlfn.XLOOKUP(A160,My_Audit!A:A,My_Audit!D:D,"")&amp;""</f>
        <v/>
      </c>
      <c r="F160" s="2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2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2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2" t="str">
        <f>_xlfn.XLOOKUP(A160,Output_Mac!A:A,Output_Mac!I:I,"")</f>
        <v/>
      </c>
      <c r="J160" s="2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2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2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2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O160" s="2" t="str">
        <f>_xlfn.LET(
    _xlpm.CSVVal, _xlfn.XLOOKUP($A160, CSV!$A:$A, CSV!AC:AC,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2" t="str" cm="1">
        <f t="array" ref="P160">IFERROR(_xlfn.LET(
_xlpm.CSVVal,_xlfn.XLOOKUP($A160,CSV!$A:$A,CSV!AD:AD,""),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2" t="str" cm="1">
        <f t="array" ref="Q160">IFERROR(_xlfn.LET(
_xlpm.CSVVal,_xlfn.XLOOKUP($A160,CSV!$A:$A,CSV!AE:AE,""),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X160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2" t="str">
        <f>_xlfn.TEXTJOIN("",TRUE,Input!$B$2,ROW(My_Audit!A160))</f>
        <v>X160</v>
      </c>
      <c r="B161" s="2" t="str">
        <f>_xlfn.TEXTJOIN("-",TRUE,"ITD",Input!$A$2,A161)</f>
        <v>ITD-SHR-X160</v>
      </c>
      <c r="C161" s="2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2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2" t="str">
        <f>_xlfn.XLOOKUP(A161,My_Audit!A:A,My_Audit!D:D,"")&amp;""</f>
        <v/>
      </c>
      <c r="F161" s="2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2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2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2" t="str">
        <f>_xlfn.XLOOKUP(A161,Output_Mac!A:A,Output_Mac!I:I,"")</f>
        <v/>
      </c>
      <c r="J161" s="2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2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2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2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O161" s="2" t="str">
        <f>_xlfn.LET(
    _xlpm.CSVVal, _xlfn.XLOOKUP($A161, CSV!$A:$A, CSV!AC:AC,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2" t="str" cm="1">
        <f t="array" ref="P161">IFERROR(_xlfn.LET(
_xlpm.CSVVal,_xlfn.XLOOKUP($A161,CSV!$A:$A,CSV!AD:AD,""),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2" t="str" cm="1">
        <f t="array" ref="Q161">IFERROR(_xlfn.LET(
_xlpm.CSVVal,_xlfn.XLOOKUP($A161,CSV!$A:$A,CSV!AE:AE,""),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X16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2" t="str">
        <f>_xlfn.TEXTJOIN("",TRUE,Input!$B$2,ROW(My_Audit!A161))</f>
        <v>X161</v>
      </c>
      <c r="B162" s="2" t="str">
        <f>_xlfn.TEXTJOIN("-",TRUE,"ITD",Input!$A$2,A162)</f>
        <v>ITD-SHR-X161</v>
      </c>
      <c r="C162" s="2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2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2" t="str">
        <f>_xlfn.XLOOKUP(A162,My_Audit!A:A,My_Audit!D:D,"")&amp;""</f>
        <v/>
      </c>
      <c r="F162" s="2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2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2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2" t="str">
        <f>_xlfn.XLOOKUP(A162,Output_Mac!A:A,Output_Mac!I:I,"")</f>
        <v/>
      </c>
      <c r="J162" s="2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2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2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2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O162" s="2" t="str">
        <f>_xlfn.LET(
    _xlpm.CSVVal, _xlfn.XLOOKUP($A162, CSV!$A:$A, CSV!AC:AC,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2" t="str" cm="1">
        <f t="array" ref="P162">IFERROR(_xlfn.LET(
_xlpm.CSVVal,_xlfn.XLOOKUP($A162,CSV!$A:$A,CSV!AD:AD,""),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2" t="str" cm="1">
        <f t="array" ref="Q162">IFERROR(_xlfn.LET(
_xlpm.CSVVal,_xlfn.XLOOKUP($A162,CSV!$A:$A,CSV!AE:AE,""),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X162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2" t="str">
        <f>_xlfn.TEXTJOIN("",TRUE,Input!$B$2,ROW(My_Audit!A162))</f>
        <v>X162</v>
      </c>
      <c r="B163" s="2" t="str">
        <f>_xlfn.TEXTJOIN("-",TRUE,"ITD",Input!$A$2,A163)</f>
        <v>ITD-SHR-X162</v>
      </c>
      <c r="C163" s="2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2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2" t="str">
        <f>_xlfn.XLOOKUP(A163,My_Audit!A:A,My_Audit!D:D,"")&amp;""</f>
        <v/>
      </c>
      <c r="F163" s="2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2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2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2" t="str">
        <f>_xlfn.XLOOKUP(A163,Output_Mac!A:A,Output_Mac!I:I,"")</f>
        <v/>
      </c>
      <c r="J163" s="2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2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2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2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O163" s="2" t="str">
        <f>_xlfn.LET(
    _xlpm.CSVVal, _xlfn.XLOOKUP($A163, CSV!$A:$A, CSV!AC:AC,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2" t="str" cm="1">
        <f t="array" ref="P163">IFERROR(_xlfn.LET(
_xlpm.CSVVal,_xlfn.XLOOKUP($A163,CSV!$A:$A,CSV!AD:AD,""),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2" t="str" cm="1">
        <f t="array" ref="Q163">IFERROR(_xlfn.LET(
_xlpm.CSVVal,_xlfn.XLOOKUP($A163,CSV!$A:$A,CSV!AE:AE,""),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X163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2" t="str">
        <f>_xlfn.TEXTJOIN("",TRUE,Input!$B$2,ROW(My_Audit!A163))</f>
        <v>X163</v>
      </c>
      <c r="B164" s="2" t="str">
        <f>_xlfn.TEXTJOIN("-",TRUE,"ITD",Input!$A$2,A164)</f>
        <v>ITD-SHR-X163</v>
      </c>
      <c r="C164" s="2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2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2" t="str">
        <f>_xlfn.XLOOKUP(A164,My_Audit!A:A,My_Audit!D:D,"")&amp;""</f>
        <v/>
      </c>
      <c r="F164" s="2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2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2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2" t="str">
        <f>_xlfn.XLOOKUP(A164,Output_Mac!A:A,Output_Mac!I:I,"")</f>
        <v/>
      </c>
      <c r="J164" s="2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2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2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2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O164" s="2" t="str">
        <f>_xlfn.LET(
    _xlpm.CSVVal, _xlfn.XLOOKUP($A164, CSV!$A:$A, CSV!AC:AC,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2" t="str" cm="1">
        <f t="array" ref="P164">IFERROR(_xlfn.LET(
_xlpm.CSVVal,_xlfn.XLOOKUP($A164,CSV!$A:$A,CSV!AD:AD,""),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2" t="str" cm="1">
        <f t="array" ref="Q164">IFERROR(_xlfn.LET(
_xlpm.CSVVal,_xlfn.XLOOKUP($A164,CSV!$A:$A,CSV!AE:AE,""),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X164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2" t="str">
        <f>_xlfn.TEXTJOIN("",TRUE,Input!$B$2,ROW(My_Audit!A164))</f>
        <v>X164</v>
      </c>
      <c r="B165" s="2" t="str">
        <f>_xlfn.TEXTJOIN("-",TRUE,"ITD",Input!$A$2,A165)</f>
        <v>ITD-SHR-X164</v>
      </c>
      <c r="C165" s="2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2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2" t="str">
        <f>_xlfn.XLOOKUP(A165,My_Audit!A:A,My_Audit!D:D,"")&amp;""</f>
        <v/>
      </c>
      <c r="F165" s="2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2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2" t="str" cm="1">
        <f t="array" ref="H165">IFERROR(_xlfn.LET(
_xlpm.CSVVal,_xlfn.XLOOKUP($A165,CSV!$A:$A,CSV!G:G,""),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2" t="str">
        <f>_xlfn.XLOOKUP(A165,Output_Mac!A:A,Output_Mac!I:I,"")</f>
        <v/>
      </c>
      <c r="J165" s="2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2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2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2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2" t="str" cm="1">
        <f t="array" ref="N165">IFERROR(_xlfn.LET(
_xlpm.CSVVal,_xlfn.XLOOKUP($A165,CSV!$A:$A,CSV!M:M,""),
_xlpm.MacVal,_xlfn.XLOOKUP($A165,Output_Mac!$A:$A,Output_Mac!N:N,""),
_xlpm.MyAuditVal,_xlfn.XLOOKUP($A165,My_Audit!$A:$A,My_Audit!M:M,""),
_xlfn.IFS(_xlpm.MyAuditVal&lt;&gt;"",UPPER(_xlpm.MyAuditVal),_xlpm.MacVal&lt;&gt;"",_xlpm.MacVal,_xlpm.CSVVal&lt;&gt;"",_xlpm.CSVVal
)),"")</f>
        <v/>
      </c>
      <c r="O165" s="2" t="str">
        <f>_xlfn.LET(
    _xlpm.CSVVal, _xlfn.XLOOKUP($A165, CSV!$A:$A, CSV!AC:AC, ""),
    _xlpm.MacVal, _xlfn.XLOOKUP($A165, Output_Mac!$A:$A, Output_Mac!S:S, ""),
    _xlpm.MyAuditVal, _xlfn.XLOOKUP($A165, My_Audit!$A:$A, My_Audit!O:O, ""),
    _xlfn.TEXTJOIN(", ", TRUE, _xlpm.MyAuditVal, _xlpm.MacVal, _xlpm.CSVVal)
)</f>
        <v/>
      </c>
      <c r="P165" s="2" t="str" cm="1">
        <f t="array" ref="P165">IFERROR(_xlfn.LET(
_xlpm.CSVVal,_xlfn.XLOOKUP($A165,CSV!$A:$A,CSV!AD:AD,""),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2" t="str" cm="1">
        <f t="array" ref="Q165">IFERROR(_xlfn.LET(
_xlpm.CSVVal,_xlfn.XLOOKUP($A165,CSV!$A:$A,CSV!AE:AE,""),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X165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2" t="str">
        <f>_xlfn.TEXTJOIN("",TRUE,Input!$B$2,ROW(My_Audit!A165))</f>
        <v>X165</v>
      </c>
      <c r="B166" s="2" t="str">
        <f>_xlfn.TEXTJOIN("-",TRUE,"ITD",Input!$A$2,A166)</f>
        <v>ITD-SHR-X165</v>
      </c>
      <c r="C166" s="2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2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2" t="str">
        <f>_xlfn.XLOOKUP(A166,My_Audit!A:A,My_Audit!D:D,"")&amp;""</f>
        <v/>
      </c>
      <c r="F166" s="2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2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2" t="str" cm="1">
        <f t="array" ref="H166">IFERROR(_xlfn.LET(
_xlpm.CSVVal,_xlfn.XLOOKUP($A166,CSV!$A:$A,CSV!G:G,""),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2" t="str">
        <f>_xlfn.XLOOKUP(A166,Output_Mac!A:A,Output_Mac!I:I,"")</f>
        <v/>
      </c>
      <c r="J166" s="2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2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2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2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2" t="str" cm="1">
        <f t="array" ref="N166">IFERROR(_xlfn.LET(
_xlpm.CSVVal,_xlfn.XLOOKUP($A166,CSV!$A:$A,CSV!M:M,""),
_xlpm.MacVal,_xlfn.XLOOKUP($A166,Output_Mac!$A:$A,Output_Mac!N:N,""),
_xlpm.MyAuditVal,_xlfn.XLOOKUP($A166,My_Audit!$A:$A,My_Audit!M:M,""),
_xlfn.IFS(_xlpm.MyAuditVal&lt;&gt;"",UPPER(_xlpm.MyAuditVal),_xlpm.MacVal&lt;&gt;"",_xlpm.MacVal,_xlpm.CSVVal&lt;&gt;"",_xlpm.CSVVal
)),"")</f>
        <v/>
      </c>
      <c r="O166" s="2" t="str">
        <f>_xlfn.LET(
    _xlpm.CSVVal, _xlfn.XLOOKUP($A166, CSV!$A:$A, CSV!AC:AC, ""),
    _xlpm.MacVal, _xlfn.XLOOKUP($A166, Output_Mac!$A:$A, Output_Mac!S:S, ""),
    _xlpm.MyAuditVal, _xlfn.XLOOKUP($A166, My_Audit!$A:$A, My_Audit!O:O, ""),
    _xlfn.TEXTJOIN(", ", TRUE, _xlpm.MyAuditVal, _xlpm.MacVal, _xlpm.CSVVal)
)</f>
        <v/>
      </c>
      <c r="P166" s="2" t="str" cm="1">
        <f t="array" ref="P166">IFERROR(_xlfn.LET(
_xlpm.CSVVal,_xlfn.XLOOKUP($A166,CSV!$A:$A,CSV!AD:AD,""),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2" t="str" cm="1">
        <f t="array" ref="Q166">IFERROR(_xlfn.LET(
_xlpm.CSVVal,_xlfn.XLOOKUP($A166,CSV!$A:$A,CSV!AE:AE,""),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X166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2" t="str">
        <f>_xlfn.TEXTJOIN("",TRUE,Input!$B$2,ROW(My_Audit!A166))</f>
        <v>X166</v>
      </c>
      <c r="B167" s="2" t="str">
        <f>_xlfn.TEXTJOIN("-",TRUE,"ITD",Input!$A$2,A167)</f>
        <v>ITD-SHR-X166</v>
      </c>
      <c r="C167" s="2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2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2" t="str">
        <f>_xlfn.XLOOKUP(A167,My_Audit!A:A,My_Audit!D:D,"")&amp;""</f>
        <v/>
      </c>
      <c r="F167" s="2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2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2" t="str" cm="1">
        <f t="array" ref="H167">IFERROR(_xlfn.LET(
_xlpm.CSVVal,_xlfn.XLOOKUP($A167,CSV!$A:$A,CSV!G:G,""),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2" t="str">
        <f>_xlfn.XLOOKUP(A167,Output_Mac!A:A,Output_Mac!I:I,"")</f>
        <v/>
      </c>
      <c r="J167" s="2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2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2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2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2" t="str" cm="1">
        <f t="array" ref="N167">IFERROR(_xlfn.LET(
_xlpm.CSVVal,_xlfn.XLOOKUP($A167,CSV!$A:$A,CSV!M:M,""),
_xlpm.MacVal,_xlfn.XLOOKUP($A167,Output_Mac!$A:$A,Output_Mac!N:N,""),
_xlpm.MyAuditVal,_xlfn.XLOOKUP($A167,My_Audit!$A:$A,My_Audit!M:M,""),
_xlfn.IFS(_xlpm.MyAuditVal&lt;&gt;"",UPPER(_xlpm.MyAuditVal),_xlpm.MacVal&lt;&gt;"",_xlpm.MacVal,_xlpm.CSVVal&lt;&gt;"",_xlpm.CSVVal
)),"")</f>
        <v/>
      </c>
      <c r="O167" s="2" t="str">
        <f>_xlfn.LET(
    _xlpm.CSVVal, _xlfn.XLOOKUP($A167, CSV!$A:$A, CSV!AC:AC, ""),
    _xlpm.MacVal, _xlfn.XLOOKUP($A167, Output_Mac!$A:$A, Output_Mac!S:S, ""),
    _xlpm.MyAuditVal, _xlfn.XLOOKUP($A167, My_Audit!$A:$A, My_Audit!O:O, ""),
    _xlfn.TEXTJOIN(", ", TRUE, _xlpm.MyAuditVal, _xlpm.MacVal, _xlpm.CSVVal)
)</f>
        <v/>
      </c>
      <c r="P167" s="2" t="str" cm="1">
        <f t="array" ref="P167">IFERROR(_xlfn.LET(
_xlpm.CSVVal,_xlfn.XLOOKUP($A167,CSV!$A:$A,CSV!AD:AD,""),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2" t="str" cm="1">
        <f t="array" ref="Q167">IFERROR(_xlfn.LET(
_xlpm.CSVVal,_xlfn.XLOOKUP($A167,CSV!$A:$A,CSV!AE:AE,""),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</row>
    <row r="168" spans="1:24">
      <c r="A168" s="2" t="str">
        <f>_xlfn.TEXTJOIN("",TRUE,Input!$B$2,ROW(My_Audit!A167))</f>
        <v>X167</v>
      </c>
      <c r="B168" s="2" t="str">
        <f>_xlfn.TEXTJOIN("-",TRUE,"ITD",Input!$A$2,A168)</f>
        <v>ITD-SHR-X167</v>
      </c>
      <c r="C168" s="2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2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2" t="str">
        <f>_xlfn.XLOOKUP(A168,My_Audit!A:A,My_Audit!D:D,"")&amp;""</f>
        <v/>
      </c>
      <c r="F168" s="2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2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2" t="str" cm="1">
        <f t="array" ref="H168">IFERROR(_xlfn.LET(
_xlpm.CSVVal,_xlfn.XLOOKUP($A168,CSV!$A:$A,CSV!G:G,""),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2" t="str">
        <f>_xlfn.XLOOKUP(A168,Output_Mac!A:A,Output_Mac!I:I,"")</f>
        <v/>
      </c>
      <c r="J168" s="2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2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2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2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2" t="str" cm="1">
        <f t="array" ref="N168">IFERROR(_xlfn.LET(
_xlpm.CSVVal,_xlfn.XLOOKUP($A168,CSV!$A:$A,CSV!M:M,""),
_xlpm.MacVal,_xlfn.XLOOKUP($A168,Output_Mac!$A:$A,Output_Mac!N:N,""),
_xlpm.MyAuditVal,_xlfn.XLOOKUP($A168,My_Audit!$A:$A,My_Audit!M:M,""),
_xlfn.IFS(_xlpm.MyAuditVal&lt;&gt;"",UPPER(_xlpm.MyAuditVal),_xlpm.MacVal&lt;&gt;"",_xlpm.MacVal,_xlpm.CSVVal&lt;&gt;"",_xlpm.CSVVal
)),"")</f>
        <v/>
      </c>
      <c r="O168" s="2" t="str">
        <f>_xlfn.LET(
    _xlpm.CSVVal, _xlfn.XLOOKUP($A168, CSV!$A:$A, CSV!AC:AC, ""),
    _xlpm.MacVal, _xlfn.XLOOKUP($A168, Output_Mac!$A:$A, Output_Mac!S:S, ""),
    _xlpm.MyAuditVal, _xlfn.XLOOKUP($A168, My_Audit!$A:$A, My_Audit!O:O, ""),
    _xlfn.TEXTJOIN(", ", TRUE, _xlpm.MyAuditVal, _xlpm.MacVal, _xlpm.CSVVal)
)</f>
        <v/>
      </c>
      <c r="P168" s="2" t="str" cm="1">
        <f t="array" ref="P168">IFERROR(_xlfn.LET(
_xlpm.CSVVal,_xlfn.XLOOKUP($A168,CSV!$A:$A,CSV!AD:AD,""),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2" t="str" cm="1">
        <f t="array" ref="Q168">IFERROR(_xlfn.LET(
_xlpm.CSVVal,_xlfn.XLOOKUP($A168,CSV!$A:$A,CSV!AE:AE,""),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</row>
    <row r="169" spans="1:24">
      <c r="A169" s="2" t="str">
        <f>_xlfn.TEXTJOIN("",TRUE,Input!$B$2,ROW(My_Audit!A168))</f>
        <v>X168</v>
      </c>
      <c r="B169" s="2" t="str">
        <f>_xlfn.TEXTJOIN("-",TRUE,"ITD",Input!$A$2,A169)</f>
        <v>ITD-SHR-X168</v>
      </c>
      <c r="C169" s="2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2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2" t="str">
        <f>_xlfn.XLOOKUP(A169,My_Audit!A:A,My_Audit!D:D,"")&amp;""</f>
        <v/>
      </c>
      <c r="F169" s="2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2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2" t="str" cm="1">
        <f t="array" ref="H169">IFERROR(_xlfn.LET(
_xlpm.CSVVal,_xlfn.XLOOKUP($A169,CSV!$A:$A,CSV!G:G,""),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2" t="str">
        <f>_xlfn.XLOOKUP(A169,Output_Mac!A:A,Output_Mac!I:I,"")</f>
        <v/>
      </c>
      <c r="J169" s="2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2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2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2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2" t="str" cm="1">
        <f t="array" ref="N169">IFERROR(_xlfn.LET(
_xlpm.CSVVal,_xlfn.XLOOKUP($A169,CSV!$A:$A,CSV!M:M,""),
_xlpm.MacVal,_xlfn.XLOOKUP($A169,Output_Mac!$A:$A,Output_Mac!N:N,""),
_xlpm.MyAuditVal,_xlfn.XLOOKUP($A169,My_Audit!$A:$A,My_Audit!M:M,""),
_xlfn.IFS(_xlpm.MyAuditVal&lt;&gt;"",UPPER(_xlpm.MyAuditVal),_xlpm.MacVal&lt;&gt;"",_xlpm.MacVal,_xlpm.CSVVal&lt;&gt;"",_xlpm.CSVVal
)),"")</f>
        <v/>
      </c>
      <c r="O169" s="2" t="str">
        <f>_xlfn.LET(
    _xlpm.CSVVal, _xlfn.XLOOKUP($A169, CSV!$A:$A, CSV!N:N, ""),
    _xlpm.MacVal, _xlfn.XLOOKUP($A169, Output_Mac!$A:$A, Output_Mac!S:S, ""),
    _xlpm.MyAuditVal, _xlfn.XLOOKUP($A169, My_Audit!$A:$A, My_Audit!O:O, ""),
    _xlfn.TEXTJOIN(", ", TRUE, _xlpm.MyAuditVal, _xlpm.MacVal, _xlpm.CSVVal)
)</f>
        <v/>
      </c>
      <c r="P169" s="2" t="str" cm="1">
        <f t="array" ref="P169">IFERROR(_xlfn.LET(
_xlpm.CSVVal,_xlfn.XLOOKUP($A169,CSV!$A:$A,CSV!O:O,""),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)),"")</f>
        <v/>
      </c>
      <c r="Q169" s="2" t="str" cm="1">
        <f t="array" ref="Q169">IFERROR(_xlfn.LET(
_xlpm.CSVVal,_xlfn.XLOOKUP($A169,CSV!$A:$A,CSV!P:P,""),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</row>
    <row r="170" spans="1:24">
      <c r="A170" s="2" t="str">
        <f>_xlfn.TEXTJOIN("",TRUE,Input!$B$2,ROW(My_Audit!A169))</f>
        <v>X169</v>
      </c>
      <c r="E170" s="2" t="str">
        <f>_xlfn.XLOOKUP(A170,My_Audit!A:A,My_Audit!D:D,"")&amp;""</f>
        <v/>
      </c>
      <c r="G170" s="2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I170" s="2" t="str">
        <f>_xlfn.XLOOKUP(A170,Output_Mac!A:A,Output_Mac!I:I,"")</f>
        <v/>
      </c>
      <c r="K170" s="2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2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2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O170" s="2" t="str">
        <f>_xlfn.LET(
    _xlpm.CSVVal, _xlfn.XLOOKUP($A170, CSV!$A:$A, CSV!N:N, ""),
    _xlpm.MacVal, _xlfn.XLOOKUP($A170, Output_Mac!$A:$A, Output_Mac!S:S, ""),
    _xlpm.MyAuditVal, _xlfn.XLOOKUP($A170, My_Audit!$A:$A, My_Audit!O:O, ""),
    _xlfn.TEXTJOIN(", ", TRUE, _xlpm.MyAuditVal, _xlpm.MacVal, _xlpm.CSVVal)
)</f>
        <v/>
      </c>
    </row>
    <row r="171" spans="1:24">
      <c r="A171" s="2" t="str">
        <f>_xlfn.TEXTJOIN("",TRUE,Input!$B$2,ROW(My_Audit!A170))</f>
        <v>X170</v>
      </c>
      <c r="E171" s="2" t="str">
        <f>_xlfn.XLOOKUP(A171,My_Audit!A:A,My_Audit!D:D,"")&amp;""</f>
        <v/>
      </c>
    </row>
    <row r="172" spans="1:24">
      <c r="A172" s="2" t="str">
        <f>_xlfn.TEXTJOIN("",TRUE,Input!$B$2,ROW(My_Audit!A171))</f>
        <v>X171</v>
      </c>
      <c r="E172" s="2" t="str">
        <f>_xlfn.XLOOKUP(A172,My_Audit!A:A,My_Audit!D:D,"")&amp;""</f>
        <v/>
      </c>
    </row>
    <row r="173" spans="1:24">
      <c r="A173" s="2" t="str">
        <f>_xlfn.TEXTJOIN("",TRUE,Input!$B$2,ROW(My_Audit!A172))</f>
        <v>X172</v>
      </c>
      <c r="E173" s="2" t="str">
        <f>_xlfn.XLOOKUP(A173,My_Audit!A:A,My_Audit!D:D,"")&amp;""</f>
        <v/>
      </c>
    </row>
    <row r="174" spans="1:24">
      <c r="A174" s="2" t="str">
        <f>_xlfn.TEXTJOIN("",TRUE,Input!$B$2,ROW(My_Audit!A173))</f>
        <v>X173</v>
      </c>
      <c r="E174" s="2" t="str">
        <f>_xlfn.XLOOKUP(A174,My_Audit!A:A,My_Audit!D:D,"")&amp;""</f>
        <v/>
      </c>
    </row>
    <row r="175" spans="1:24">
      <c r="A175" s="2" t="str">
        <f>_xlfn.TEXTJOIN("",TRUE,Input!$B$2,ROW(My_Audit!A174))</f>
        <v>X174</v>
      </c>
      <c r="E175" s="2" t="str">
        <f>_xlfn.XLOOKUP(A175,My_Audit!A:A,My_Audit!D:D,"")&amp;""</f>
        <v/>
      </c>
    </row>
    <row r="176" spans="1:24">
      <c r="A176" s="2" t="str">
        <f>_xlfn.TEXTJOIN("",TRUE,Input!$B$2,ROW(My_Audit!A175))</f>
        <v>X175</v>
      </c>
      <c r="E176" s="2" t="str">
        <f>_xlfn.XLOOKUP(A176,My_Audit!A:A,My_Audit!D:D,"")&amp;""</f>
        <v/>
      </c>
    </row>
    <row r="177" spans="1:5">
      <c r="A177" s="2" t="str">
        <f>_xlfn.TEXTJOIN("",TRUE,Input!$B$2,ROW(My_Audit!A176))</f>
        <v>X176</v>
      </c>
      <c r="E177" s="2" t="str">
        <f>_xlfn.XLOOKUP(A177,My_Audit!A:A,My_Audit!D:D,"")&amp;""</f>
        <v/>
      </c>
    </row>
    <row r="178" spans="1:5">
      <c r="A178" s="2" t="str">
        <f>_xlfn.TEXTJOIN("",TRUE,Input!$B$2,ROW(My_Audit!A177))</f>
        <v>X177</v>
      </c>
      <c r="E178" s="2" t="str">
        <f>_xlfn.XLOOKUP(A178,My_Audit!A:A,My_Audit!D:D,"")&amp;""</f>
        <v/>
      </c>
    </row>
    <row r="179" spans="1:5">
      <c r="A179" s="2" t="str">
        <f>_xlfn.TEXTJOIN("",TRUE,Input!$B$2,ROW(My_Audit!A178))</f>
        <v>X178</v>
      </c>
      <c r="E179" s="2" t="str">
        <f>_xlfn.XLOOKUP(A179,My_Audit!A:A,My_Audit!D:D,"")&amp;""</f>
        <v/>
      </c>
    </row>
    <row r="180" spans="1:5">
      <c r="A180" s="2" t="str">
        <f>_xlfn.TEXTJOIN("",TRUE,Input!$B$2,ROW(My_Audit!A179))</f>
        <v>X179</v>
      </c>
      <c r="E180" s="2" t="str">
        <f>_xlfn.XLOOKUP(A180,My_Audit!A:A,My_Audit!D:D,"")&amp;""</f>
        <v/>
      </c>
    </row>
    <row r="181" spans="1:5">
      <c r="A181" s="2" t="str">
        <f>_xlfn.TEXTJOIN("",TRUE,Input!$B$2,ROW(My_Audit!A180))</f>
        <v>X180</v>
      </c>
      <c r="E181" s="2" t="str">
        <f>_xlfn.XLOOKUP(A181,My_Audit!A:A,My_Audit!D:D,"")&amp;""</f>
        <v/>
      </c>
    </row>
    <row r="182" spans="1:5">
      <c r="A182" s="2" t="str">
        <f>_xlfn.TEXTJOIN("",TRUE,Input!$B$2,ROW(My_Audit!A181))</f>
        <v>X181</v>
      </c>
      <c r="E182" s="2" t="str">
        <f>_xlfn.XLOOKUP(A182,My_Audit!A:A,My_Audit!D:D,"")&amp;""</f>
        <v/>
      </c>
    </row>
    <row r="183" spans="1:5">
      <c r="A183" s="2" t="str">
        <f>_xlfn.TEXTJOIN("",TRUE,Input!$B$2,ROW(My_Audit!A182))</f>
        <v>X182</v>
      </c>
      <c r="E183" s="2" t="str">
        <f>_xlfn.XLOOKUP(A183,My_Audit!A:A,My_Audit!D:D,"")&amp;""</f>
        <v/>
      </c>
    </row>
    <row r="184" spans="1:5">
      <c r="A184" s="2" t="str">
        <f>_xlfn.TEXTJOIN("",TRUE,Input!$B$2,ROW(My_Audit!A183))</f>
        <v>X183</v>
      </c>
      <c r="E184" s="2" t="str">
        <f>_xlfn.XLOOKUP(A184,My_Audit!A:A,My_Audit!D:D,"")&amp;""</f>
        <v/>
      </c>
    </row>
    <row r="185" spans="1:5">
      <c r="A185" s="2" t="str">
        <f>_xlfn.TEXTJOIN("",TRUE,Input!$B$2,ROW(My_Audit!A184))</f>
        <v>X184</v>
      </c>
      <c r="E185" s="2" t="str">
        <f>_xlfn.XLOOKUP(A185,My_Audit!A:A,My_Audit!D:D,"")&amp;""</f>
        <v/>
      </c>
    </row>
    <row r="186" spans="1:5">
      <c r="A186" s="2" t="str">
        <f>_xlfn.TEXTJOIN("",TRUE,Input!$B$2,ROW(My_Audit!A185))</f>
        <v>X185</v>
      </c>
      <c r="E186" s="2" t="str">
        <f>_xlfn.XLOOKUP(A186,My_Audit!A:A,My_Audit!D:D,"")&amp;""</f>
        <v/>
      </c>
    </row>
    <row r="187" spans="1:5">
      <c r="A187" s="2" t="str">
        <f>_xlfn.TEXTJOIN("",TRUE,Input!$B$2,ROW(My_Audit!A186))</f>
        <v>X186</v>
      </c>
      <c r="E187" s="2" t="str">
        <f>_xlfn.XLOOKUP(A187,My_Audit!A:A,My_Audit!D:D,"")&amp;""</f>
        <v/>
      </c>
    </row>
    <row r="188" spans="1:5">
      <c r="A188" s="2" t="str">
        <f>_xlfn.TEXTJOIN("",TRUE,Input!$B$2,ROW(My_Audit!A187))</f>
        <v>X187</v>
      </c>
      <c r="E188" s="2" t="str">
        <f>_xlfn.XLOOKUP(A188,My_Audit!A:A,My_Audit!D:D,"")&amp;""</f>
        <v/>
      </c>
    </row>
    <row r="189" spans="1:5">
      <c r="A189" s="2" t="str">
        <f>_xlfn.TEXTJOIN("",TRUE,Input!$B$2,ROW(My_Audit!A188))</f>
        <v>X188</v>
      </c>
      <c r="E189" s="2" t="str">
        <f>_xlfn.XLOOKUP(A189,My_Audit!A:A,My_Audit!D:D,"")&amp;""</f>
        <v/>
      </c>
    </row>
    <row r="190" spans="1:5">
      <c r="A190" s="2" t="str">
        <f>_xlfn.TEXTJOIN("",TRUE,Input!$B$2,ROW(My_Audit!A189))</f>
        <v>X189</v>
      </c>
      <c r="E190" s="2" t="str">
        <f>_xlfn.XLOOKUP(A190,My_Audit!A:A,My_Audit!D:D,"")&amp;""</f>
        <v/>
      </c>
    </row>
    <row r="191" spans="1:5">
      <c r="A191" s="2" t="str">
        <f>_xlfn.TEXTJOIN("",TRUE,Input!$B$2,ROW(My_Audit!A190))</f>
        <v>X190</v>
      </c>
      <c r="E191" s="2" t="str">
        <f>_xlfn.XLOOKUP(A191,My_Audit!A:A,My_Audit!D:D,"")&amp;""</f>
        <v/>
      </c>
    </row>
    <row r="192" spans="1:5">
      <c r="A192" s="2" t="str">
        <f>_xlfn.TEXTJOIN("",TRUE,Input!$B$2,ROW(My_Audit!A191))</f>
        <v>X191</v>
      </c>
      <c r="E192" s="2" t="str">
        <f>_xlfn.XLOOKUP(A192,My_Audit!A:A,My_Audit!D:D,"")&amp;""</f>
        <v/>
      </c>
    </row>
    <row r="193" spans="1:5">
      <c r="A193" s="2" t="str">
        <f>_xlfn.TEXTJOIN("",TRUE,Input!$B$2,ROW(My_Audit!A192))</f>
        <v>X192</v>
      </c>
      <c r="E193" s="2" t="str">
        <f>_xlfn.XLOOKUP(A193,My_Audit!A:A,My_Audit!D:D,"")&amp;""</f>
        <v/>
      </c>
    </row>
    <row r="194" spans="1:5">
      <c r="A194" s="2" t="str">
        <f>_xlfn.TEXTJOIN("",TRUE,Input!$B$2,ROW(My_Audit!A193))</f>
        <v>X193</v>
      </c>
      <c r="E194" s="2" t="str">
        <f>_xlfn.XLOOKUP(A194,My_Audit!A:A,My_Audit!D:D,"")&amp;""</f>
        <v/>
      </c>
    </row>
    <row r="195" spans="1:5">
      <c r="A195" s="2" t="str">
        <f>_xlfn.TEXTJOIN("",TRUE,Input!$B$2,ROW(My_Audit!A194))</f>
        <v>X194</v>
      </c>
      <c r="E195" s="2" t="str">
        <f>_xlfn.XLOOKUP(A195,My_Audit!A:A,My_Audit!D:D,"")&amp;""</f>
        <v/>
      </c>
    </row>
    <row r="196" spans="1:5">
      <c r="A196" s="2" t="str">
        <f>_xlfn.TEXTJOIN("",TRUE,Input!$B$2,ROW(My_Audit!A195))</f>
        <v>X195</v>
      </c>
      <c r="E196" s="2" t="str">
        <f>_xlfn.XLOOKUP(A196,My_Audit!A:A,My_Audit!D:D,"")&amp;""</f>
        <v/>
      </c>
    </row>
    <row r="197" spans="1:5">
      <c r="A197" s="2" t="str">
        <f>_xlfn.TEXTJOIN("",TRUE,Input!$B$2,ROW(My_Audit!A196))</f>
        <v>X196</v>
      </c>
      <c r="E197" s="2" t="str">
        <f>_xlfn.XLOOKUP(A197,My_Audit!A:A,My_Audit!D:D,"")&amp;""</f>
        <v/>
      </c>
    </row>
    <row r="198" spans="1:5">
      <c r="A198" s="2" t="str">
        <f>_xlfn.TEXTJOIN("",TRUE,Input!$B$2,ROW(My_Audit!A197))</f>
        <v>X197</v>
      </c>
      <c r="E198" s="2" t="str">
        <f>_xlfn.XLOOKUP(A198,My_Audit!A:A,My_Audit!D:D,"")&amp;""</f>
        <v/>
      </c>
    </row>
    <row r="199" spans="1:5">
      <c r="A199" s="2" t="str">
        <f>_xlfn.TEXTJOIN("",TRUE,Input!$B$2,ROW(My_Audit!A198))</f>
        <v>X198</v>
      </c>
      <c r="E199" s="2" t="str">
        <f>_xlfn.XLOOKUP(A199,My_Audit!A:A,My_Audit!D:D,"")&amp;""</f>
        <v/>
      </c>
    </row>
    <row r="200" spans="1:5">
      <c r="A200" s="2" t="str">
        <f>_xlfn.TEXTJOIN("",TRUE,Input!$B$2,ROW(My_Audit!A199))</f>
        <v>X199</v>
      </c>
      <c r="E200" s="2" t="str">
        <f>_xlfn.XLOOKUP(A200,My_Audit!A:A,My_Audit!D:D,"")&amp;""</f>
        <v/>
      </c>
    </row>
    <row r="201" spans="1:5">
      <c r="A201" s="2" t="str">
        <f>_xlfn.TEXTJOIN("",TRUE,Input!$B$2,ROW(My_Audit!A200))</f>
        <v>X200</v>
      </c>
      <c r="E201" s="2" t="str">
        <f>_xlfn.XLOOKUP(A201,My_Audit!A:A,My_Audit!D:D,"")&amp;""</f>
        <v/>
      </c>
    </row>
    <row r="202" spans="1:5">
      <c r="A202" s="2" t="str">
        <f>_xlfn.TEXTJOIN("",TRUE,Input!$B$2,ROW(My_Audit!A201))</f>
        <v>X201</v>
      </c>
      <c r="E202" s="2" t="str">
        <f>_xlfn.XLOOKUP(A202,My_Audit!A:A,My_Audit!D:D,"")&amp;""</f>
        <v/>
      </c>
    </row>
    <row r="203" spans="1:5">
      <c r="A203" s="2" t="str">
        <f>_xlfn.TEXTJOIN("",TRUE,Input!$B$2,ROW(My_Audit!A202))</f>
        <v>X202</v>
      </c>
      <c r="E203" s="2" t="str">
        <f>_xlfn.XLOOKUP(A203,My_Audit!A:A,My_Audit!D:D,"")&amp;""</f>
        <v/>
      </c>
    </row>
    <row r="204" spans="1:5">
      <c r="A204" s="2" t="str">
        <f>_xlfn.TEXTJOIN("",TRUE,Input!$B$2,ROW(My_Audit!A203))</f>
        <v>X203</v>
      </c>
      <c r="E204" s="2" t="str">
        <f>_xlfn.XLOOKUP(A204,My_Audit!A:A,My_Audit!D:D,"")&amp;""</f>
        <v/>
      </c>
    </row>
    <row r="205" spans="1:5">
      <c r="A205" s="2" t="str">
        <f>_xlfn.TEXTJOIN("",TRUE,Input!$B$2,ROW(My_Audit!A204))</f>
        <v>X204</v>
      </c>
      <c r="E205" s="2" t="str">
        <f>_xlfn.XLOOKUP(A205,My_Audit!A:A,My_Audit!D:D,"")&amp;""</f>
        <v/>
      </c>
    </row>
    <row r="206" spans="1:5">
      <c r="A206" s="2" t="str">
        <f>_xlfn.TEXTJOIN("",TRUE,Input!$B$2,ROW(My_Audit!A205))</f>
        <v>X205</v>
      </c>
      <c r="E206" s="2" t="str">
        <f>_xlfn.XLOOKUP(A206,My_Audit!A:A,My_Audit!D:D,"")&amp;""</f>
        <v/>
      </c>
    </row>
    <row r="207" spans="1:5">
      <c r="A207" s="2" t="str">
        <f>_xlfn.TEXTJOIN("",TRUE,Input!$B$2,ROW(My_Audit!A206))</f>
        <v>X206</v>
      </c>
      <c r="E207" s="2" t="str">
        <f>_xlfn.XLOOKUP(A207,My_Audit!A:A,My_Audit!D:D,"")&amp;""</f>
        <v/>
      </c>
    </row>
    <row r="208" spans="1:5">
      <c r="A208" s="2" t="str">
        <f>_xlfn.TEXTJOIN("",TRUE,Input!$B$2,ROW(My_Audit!A207))</f>
        <v>X207</v>
      </c>
      <c r="E208" s="2" t="str">
        <f>_xlfn.XLOOKUP(A208,My_Audit!A:A,My_Audit!D:D,"")&amp;""</f>
        <v/>
      </c>
    </row>
    <row r="209" spans="1:5">
      <c r="A209" s="2" t="str">
        <f>_xlfn.TEXTJOIN("",TRUE,Input!$B$2,ROW(My_Audit!A208))</f>
        <v>X208</v>
      </c>
      <c r="E209" s="2" t="str">
        <f>_xlfn.XLOOKUP(A209,My_Audit!A:A,My_Audit!D:D,"")&amp;""</f>
        <v/>
      </c>
    </row>
    <row r="210" spans="1:5">
      <c r="A210" s="2" t="str">
        <f>_xlfn.TEXTJOIN("",TRUE,Input!$B$2,ROW(My_Audit!A209))</f>
        <v>X209</v>
      </c>
      <c r="E210" s="2" t="str">
        <f>_xlfn.XLOOKUP(A210,My_Audit!A:A,My_Audit!D:D,"")&amp;""</f>
        <v/>
      </c>
    </row>
    <row r="211" spans="1:5">
      <c r="A211" s="2" t="str">
        <f>_xlfn.TEXTJOIN("",TRUE,Input!$B$2,ROW(My_Audit!A210))</f>
        <v>X210</v>
      </c>
      <c r="E211" s="2" t="str">
        <f>_xlfn.XLOOKUP(A211,My_Audit!A:A,My_Audit!D:D,"")&amp;""</f>
        <v/>
      </c>
    </row>
    <row r="212" spans="1:5">
      <c r="A212" s="2" t="str">
        <f>_xlfn.TEXTJOIN("",TRUE,Input!$B$2,ROW(My_Audit!A211))</f>
        <v>X211</v>
      </c>
      <c r="E212" s="2" t="str">
        <f>_xlfn.XLOOKUP(A212,My_Audit!A:A,My_Audit!D:D,"")&amp;""</f>
        <v/>
      </c>
    </row>
    <row r="213" spans="1:5">
      <c r="A213" s="2" t="str">
        <f>_xlfn.TEXTJOIN("",TRUE,Input!$B$2,ROW(My_Audit!A212))</f>
        <v>X212</v>
      </c>
      <c r="E213" s="2" t="str">
        <f>_xlfn.XLOOKUP(A213,My_Audit!A:A,My_Audit!D:D,"")&amp;""</f>
        <v/>
      </c>
    </row>
    <row r="214" spans="1:5">
      <c r="A214" s="2" t="str">
        <f>_xlfn.TEXTJOIN("",TRUE,Input!$B$2,ROW(My_Audit!A213))</f>
        <v>X213</v>
      </c>
      <c r="E214" s="2" t="str">
        <f>_xlfn.XLOOKUP(A214,My_Audit!A:A,My_Audit!D:D,"")&amp;""</f>
        <v/>
      </c>
    </row>
    <row r="215" spans="1:5">
      <c r="A215" s="2" t="str">
        <f>_xlfn.TEXTJOIN("",TRUE,Input!$B$2,ROW(My_Audit!A214))</f>
        <v>X214</v>
      </c>
      <c r="E215" s="2" t="str">
        <f>_xlfn.XLOOKUP(A215,My_Audit!A:A,My_Audit!D:D,"")&amp;""</f>
        <v/>
      </c>
    </row>
    <row r="216" spans="1:5">
      <c r="A216" s="2" t="str">
        <f>_xlfn.TEXTJOIN("",TRUE,Input!$B$2,ROW(My_Audit!A215))</f>
        <v>X215</v>
      </c>
      <c r="E216" s="2" t="str">
        <f>_xlfn.XLOOKUP(A216,My_Audit!A:A,My_Audit!D:D,"")&amp;""</f>
        <v/>
      </c>
    </row>
    <row r="217" spans="1:5">
      <c r="A217" s="2" t="str">
        <f>_xlfn.TEXTJOIN("",TRUE,Input!$B$2,ROW(My_Audit!A216))</f>
        <v>X216</v>
      </c>
      <c r="E217" s="2" t="str">
        <f>_xlfn.XLOOKUP(A217,My_Audit!A:A,My_Audit!D:D,"")&amp;""</f>
        <v/>
      </c>
    </row>
    <row r="218" spans="1:5">
      <c r="A218" s="2" t="str">
        <f>_xlfn.TEXTJOIN("",TRUE,Input!$B$2,ROW(My_Audit!A217))</f>
        <v>X217</v>
      </c>
      <c r="E218" s="2" t="str">
        <f>_xlfn.XLOOKUP(A218,My_Audit!A:A,My_Audit!D:D,"")&amp;""</f>
        <v/>
      </c>
    </row>
    <row r="219" spans="1:5">
      <c r="A219" s="2" t="str">
        <f>_xlfn.TEXTJOIN("",TRUE,Input!$B$2,ROW(My_Audit!A218))</f>
        <v>X218</v>
      </c>
      <c r="E219" s="2" t="str">
        <f>_xlfn.XLOOKUP(A219,My_Audit!A:A,My_Audit!D:D,"")&amp;""</f>
        <v/>
      </c>
    </row>
    <row r="220" spans="1:5">
      <c r="A220" s="2" t="str">
        <f>_xlfn.TEXTJOIN("",TRUE,Input!$B$2,ROW(My_Audit!A219))</f>
        <v>X219</v>
      </c>
      <c r="E220" s="2" t="str">
        <f>_xlfn.XLOOKUP(A220,My_Audit!A:A,My_Audit!D:D,"")&amp;""</f>
        <v/>
      </c>
    </row>
    <row r="221" spans="1:5">
      <c r="A221" s="2" t="str">
        <f>_xlfn.TEXTJOIN("",TRUE,Input!$B$2,ROW(My_Audit!A220))</f>
        <v>X220</v>
      </c>
      <c r="E221" s="2" t="str">
        <f>_xlfn.XLOOKUP(A221,My_Audit!A:A,My_Audit!D:D,"")&amp;""</f>
        <v/>
      </c>
    </row>
    <row r="222" spans="1:5">
      <c r="A222" s="2" t="str">
        <f>_xlfn.TEXTJOIN("",TRUE,Input!$B$2,ROW(My_Audit!A221))</f>
        <v>X221</v>
      </c>
      <c r="E222" s="2" t="str">
        <f>_xlfn.XLOOKUP(A222,My_Audit!A:A,My_Audit!D:D,"")&amp;""</f>
        <v/>
      </c>
    </row>
    <row r="223" spans="1:5">
      <c r="A223" s="2" t="str">
        <f>_xlfn.TEXTJOIN("",TRUE,Input!$B$2,ROW(My_Audit!A222))</f>
        <v>X222</v>
      </c>
      <c r="E223" s="2" t="str">
        <f>_xlfn.XLOOKUP(A223,My_Audit!A:A,My_Audit!D:D,"")&amp;""</f>
        <v/>
      </c>
    </row>
    <row r="224" spans="1:5">
      <c r="A224" s="2" t="str">
        <f>_xlfn.TEXTJOIN("",TRUE,Input!$B$2,ROW(My_Audit!A223))</f>
        <v>X223</v>
      </c>
      <c r="E224" s="2" t="str">
        <f>_xlfn.XLOOKUP(A224,My_Audit!A:A,My_Audit!D:D,"")&amp;""</f>
        <v/>
      </c>
    </row>
    <row r="225" spans="1:5">
      <c r="A225" s="2" t="str">
        <f>_xlfn.TEXTJOIN("",TRUE,Input!$B$2,ROW(My_Audit!A224))</f>
        <v>X224</v>
      </c>
      <c r="E225" s="2" t="str">
        <f>_xlfn.XLOOKUP(A225,My_Audit!A:A,My_Audit!D:D,"")&amp;""</f>
        <v/>
      </c>
    </row>
    <row r="226" spans="1:5">
      <c r="A226" s="2" t="str">
        <f>_xlfn.TEXTJOIN("",TRUE,Input!$B$2,ROW(My_Audit!A225))</f>
        <v>X225</v>
      </c>
      <c r="E226" s="2" t="str">
        <f>_xlfn.XLOOKUP(A226,My_Audit!A:A,My_Audit!D:D,"")&amp;""</f>
        <v/>
      </c>
    </row>
    <row r="227" spans="1:5">
      <c r="A227" s="2" t="str">
        <f>_xlfn.TEXTJOIN("",TRUE,Input!$B$2,ROW(My_Audit!A226))</f>
        <v>X226</v>
      </c>
      <c r="E227" s="2" t="str">
        <f>_xlfn.XLOOKUP(A227,My_Audit!A:A,My_Audit!D:D,"")&amp;""</f>
        <v/>
      </c>
    </row>
    <row r="228" spans="1:5">
      <c r="A228" s="2" t="str">
        <f>_xlfn.TEXTJOIN("",TRUE,Input!$B$2,ROW(My_Audit!A227))</f>
        <v>X227</v>
      </c>
      <c r="E228" s="2" t="str">
        <f>_xlfn.XLOOKUP(A228,My_Audit!A:A,My_Audit!D:D,"")&amp;""</f>
        <v/>
      </c>
    </row>
    <row r="229" spans="1:5">
      <c r="A229" s="2" t="str">
        <f>_xlfn.TEXTJOIN("",TRUE,Input!$B$2,ROW(My_Audit!A228))</f>
        <v>X228</v>
      </c>
      <c r="E229" s="2" t="str">
        <f>_xlfn.XLOOKUP(A229,My_Audit!A:A,My_Audit!D:D,"")&amp;""</f>
        <v/>
      </c>
    </row>
    <row r="230" spans="1:5">
      <c r="A230" s="2" t="str">
        <f>_xlfn.TEXTJOIN("",TRUE,Input!$B$2,ROW(My_Audit!A229))</f>
        <v>X229</v>
      </c>
      <c r="E230" s="2" t="str">
        <f>_xlfn.XLOOKUP(A230,My_Audit!A:A,My_Audit!D:D,"")&amp;""</f>
        <v/>
      </c>
    </row>
    <row r="231" spans="1:5">
      <c r="A231" s="2" t="str">
        <f>_xlfn.TEXTJOIN("",TRUE,Input!$B$2,ROW(My_Audit!A230))</f>
        <v>X230</v>
      </c>
      <c r="E231" s="2" t="str">
        <f>_xlfn.XLOOKUP(A231,My_Audit!A:A,My_Audit!D:D,"")&amp;""</f>
        <v/>
      </c>
    </row>
    <row r="232" spans="1:5">
      <c r="A232" s="2" t="str">
        <f>_xlfn.TEXTJOIN("",TRUE,Input!$B$2,ROW(My_Audit!A231))</f>
        <v>X231</v>
      </c>
      <c r="E232" s="2" t="str">
        <f>_xlfn.XLOOKUP(A232,My_Audit!A:A,My_Audit!D:D,"")&amp;""</f>
        <v/>
      </c>
    </row>
    <row r="233" spans="1:5">
      <c r="A233" s="2" t="str">
        <f>_xlfn.TEXTJOIN("",TRUE,Input!$B$2,ROW(My_Audit!A232))</f>
        <v>X232</v>
      </c>
      <c r="E233" s="2" t="str">
        <f>_xlfn.XLOOKUP(A233,My_Audit!A:A,My_Audit!D:D,"")&amp;""</f>
        <v/>
      </c>
    </row>
    <row r="234" spans="1:5">
      <c r="A234" s="2" t="str">
        <f>_xlfn.TEXTJOIN("",TRUE,Input!$B$2,ROW(My_Audit!A233))</f>
        <v>X233</v>
      </c>
      <c r="E234" s="2" t="str">
        <f>_xlfn.XLOOKUP(A234,My_Audit!A:A,My_Audit!D:D,"")&amp;""</f>
        <v/>
      </c>
    </row>
    <row r="235" spans="1:5">
      <c r="A235" s="2" t="str">
        <f>_xlfn.TEXTJOIN("",TRUE,Input!$B$2,ROW(My_Audit!A234))</f>
        <v>X234</v>
      </c>
      <c r="E235" s="2" t="str">
        <f>_xlfn.XLOOKUP(A235,My_Audit!A:A,My_Audit!D:D,"")&amp;""</f>
        <v/>
      </c>
    </row>
    <row r="236" spans="1:5">
      <c r="A236" s="2" t="str">
        <f>_xlfn.TEXTJOIN("",TRUE,Input!$B$2,ROW(My_Audit!A235))</f>
        <v>X235</v>
      </c>
      <c r="E236" s="2" t="str">
        <f>_xlfn.XLOOKUP(A236,My_Audit!A:A,My_Audit!D:D,"")&amp;""</f>
        <v/>
      </c>
    </row>
    <row r="237" spans="1:5">
      <c r="A237" s="2" t="str">
        <f>_xlfn.TEXTJOIN("",TRUE,Input!$B$2,ROW(My_Audit!A236))</f>
        <v>X236</v>
      </c>
      <c r="E237" s="2" t="str">
        <f>_xlfn.XLOOKUP(A237,My_Audit!A:A,My_Audit!D:D,"")&amp;""</f>
        <v/>
      </c>
    </row>
    <row r="238" spans="1:5">
      <c r="A238" s="2" t="str">
        <f>_xlfn.TEXTJOIN("",TRUE,Input!$B$2,ROW(My_Audit!A237))</f>
        <v>X237</v>
      </c>
      <c r="E238" s="2" t="str">
        <f>_xlfn.XLOOKUP(A238,My_Audit!A:A,My_Audit!D:D,"")&amp;""</f>
        <v/>
      </c>
    </row>
    <row r="239" spans="1:5">
      <c r="A239" s="2" t="str">
        <f>_xlfn.TEXTJOIN("",TRUE,Input!$B$2,ROW(My_Audit!A238))</f>
        <v>X238</v>
      </c>
      <c r="E239" s="2" t="str">
        <f>_xlfn.XLOOKUP(A239,My_Audit!A:A,My_Audit!D:D,"")&amp;""</f>
        <v/>
      </c>
    </row>
    <row r="240" spans="1:5">
      <c r="A240" s="2" t="str">
        <f>_xlfn.TEXTJOIN("",TRUE,Input!$B$2,ROW(My_Audit!A239))</f>
        <v>X239</v>
      </c>
      <c r="E240" s="2" t="str">
        <f>_xlfn.XLOOKUP(A240,My_Audit!A:A,My_Audit!D:D,"")&amp;""</f>
        <v/>
      </c>
    </row>
    <row r="241" spans="1:5">
      <c r="A241" s="2" t="str">
        <f>_xlfn.TEXTJOIN("",TRUE,Input!$B$2,ROW(My_Audit!A240))</f>
        <v>X240</v>
      </c>
      <c r="E241" s="2" t="str">
        <f>_xlfn.XLOOKUP(A241,My_Audit!A:A,My_Audit!D:D,"")&amp;""</f>
        <v/>
      </c>
    </row>
    <row r="242" spans="1:5">
      <c r="A242" s="2" t="str">
        <f>_xlfn.TEXTJOIN("",TRUE,Input!$B$2,ROW(My_Audit!A241))</f>
        <v>X241</v>
      </c>
      <c r="E242" s="2" t="str">
        <f>_xlfn.XLOOKUP(A242,My_Audit!A:A,My_Audit!D:D,"")&amp;""</f>
        <v/>
      </c>
    </row>
    <row r="243" spans="1:5">
      <c r="A243" s="2" t="str">
        <f>_xlfn.TEXTJOIN("",TRUE,Input!$B$2,ROW(My_Audit!A242))</f>
        <v>X242</v>
      </c>
      <c r="E243" s="2" t="str">
        <f>_xlfn.XLOOKUP(A243,My_Audit!A:A,My_Audit!D:D,"")&amp;""</f>
        <v/>
      </c>
    </row>
    <row r="244" spans="1:5">
      <c r="A244" s="2" t="str">
        <f>_xlfn.TEXTJOIN("",TRUE,Input!$B$2,ROW(My_Audit!A243))</f>
        <v>X243</v>
      </c>
      <c r="E244" s="2" t="str">
        <f>_xlfn.XLOOKUP(A244,My_Audit!A:A,My_Audit!D:D,"")&amp;""</f>
        <v/>
      </c>
    </row>
    <row r="245" spans="1:5">
      <c r="A245" s="2" t="str">
        <f>_xlfn.TEXTJOIN("",TRUE,Input!$B$2,ROW(My_Audit!A244))</f>
        <v>X244</v>
      </c>
      <c r="E245" s="2" t="str">
        <f>_xlfn.XLOOKUP(A245,My_Audit!A:A,My_Audit!D:D,"")&amp;""</f>
        <v/>
      </c>
    </row>
    <row r="246" spans="1:5">
      <c r="A246" s="2" t="str">
        <f>_xlfn.TEXTJOIN("",TRUE,Input!$B$2,ROW(My_Audit!A245))</f>
        <v>X245</v>
      </c>
      <c r="E246" s="2" t="str">
        <f>_xlfn.XLOOKUP(A246,My_Audit!A:A,My_Audit!D:D,"")&amp;""</f>
        <v/>
      </c>
    </row>
    <row r="247" spans="1:5">
      <c r="A247" s="2" t="str">
        <f>_xlfn.TEXTJOIN("",TRUE,Input!$B$2,ROW(My_Audit!A246))</f>
        <v>X246</v>
      </c>
      <c r="E247" s="2" t="str">
        <f>_xlfn.XLOOKUP(A247,My_Audit!A:A,My_Audit!D:D,"")&amp;""</f>
        <v/>
      </c>
    </row>
    <row r="248" spans="1:5">
      <c r="A248" s="2" t="str">
        <f>_xlfn.TEXTJOIN("",TRUE,Input!$B$2,ROW(My_Audit!A247))</f>
        <v>X247</v>
      </c>
      <c r="E248" s="2" t="str">
        <f>_xlfn.XLOOKUP(A248,My_Audit!A:A,My_Audit!D:D,"")&amp;""</f>
        <v/>
      </c>
    </row>
    <row r="249" spans="1:5">
      <c r="A249" s="2" t="str">
        <f>_xlfn.TEXTJOIN("",TRUE,Input!$B$2,ROW(My_Audit!A248))</f>
        <v>X248</v>
      </c>
      <c r="E249" s="2" t="str">
        <f>_xlfn.XLOOKUP(A249,My_Audit!A:A,My_Audit!D:D,"")&amp;""</f>
        <v/>
      </c>
    </row>
    <row r="250" spans="1:5">
      <c r="A250" s="2" t="str">
        <f>_xlfn.TEXTJOIN("",TRUE,Input!$B$2,ROW(My_Audit!A249))</f>
        <v>X249</v>
      </c>
      <c r="E250" s="2" t="str">
        <f>_xlfn.XLOOKUP(A250,My_Audit!A:A,My_Audit!D:D,"")&amp;""</f>
        <v/>
      </c>
    </row>
    <row r="251" spans="1:5">
      <c r="A251" s="2" t="str">
        <f>_xlfn.TEXTJOIN("",TRUE,Input!$B$2,ROW(My_Audit!A250))</f>
        <v>X250</v>
      </c>
      <c r="E251" s="2" t="str">
        <f>_xlfn.XLOOKUP(A251,My_Audit!A:A,My_Audit!D:D,"")&amp;""</f>
        <v/>
      </c>
    </row>
    <row r="252" spans="1:5">
      <c r="A252" s="2" t="str">
        <f>_xlfn.TEXTJOIN("",TRUE,Input!$B$2,ROW(My_Audit!A251))</f>
        <v>X251</v>
      </c>
      <c r="E252" s="2" t="str">
        <f>_xlfn.XLOOKUP(A252,My_Audit!A:A,My_Audit!D:D,"")&amp;""</f>
        <v/>
      </c>
    </row>
    <row r="253" spans="1:5">
      <c r="A253" s="2" t="str">
        <f>_xlfn.TEXTJOIN("",TRUE,Input!$B$2,ROW(My_Audit!A252))</f>
        <v>X252</v>
      </c>
      <c r="E253" s="2" t="str">
        <f>_xlfn.XLOOKUP(A253,My_Audit!A:A,My_Audit!D:D,"")&amp;""</f>
        <v/>
      </c>
    </row>
    <row r="254" spans="1:5">
      <c r="A254" s="2" t="str">
        <f>_xlfn.TEXTJOIN("",TRUE,Input!$B$2,ROW(My_Audit!A253))</f>
        <v>X253</v>
      </c>
      <c r="E254" s="2" t="str">
        <f>_xlfn.XLOOKUP(A254,My_Audit!A:A,My_Audit!D:D,"")&amp;""</f>
        <v/>
      </c>
    </row>
    <row r="255" spans="1:5">
      <c r="A255" s="2" t="str">
        <f>_xlfn.TEXTJOIN("",TRUE,Input!$B$2,ROW(My_Audit!A254))</f>
        <v>X254</v>
      </c>
      <c r="E255" s="2" t="str">
        <f>_xlfn.XLOOKUP(A255,My_Audit!A:A,My_Audit!D:D,"")&amp;""</f>
        <v/>
      </c>
    </row>
    <row r="256" spans="1:5">
      <c r="A256" s="2" t="str">
        <f>_xlfn.TEXTJOIN("",TRUE,Input!$B$2,ROW(My_Audit!A255))</f>
        <v>X255</v>
      </c>
      <c r="E256" s="2" t="str">
        <f>_xlfn.XLOOKUP(A256,My_Audit!A:A,My_Audit!D:D,"")&amp;""</f>
        <v/>
      </c>
    </row>
    <row r="257" spans="1:5">
      <c r="A257" s="2" t="str">
        <f>_xlfn.TEXTJOIN("",TRUE,Input!$B$2,ROW(My_Audit!A256))</f>
        <v>X256</v>
      </c>
      <c r="E257" s="2" t="str">
        <f>_xlfn.XLOOKUP(A257,My_Audit!A:A,My_Audit!D:D,"")&amp;""</f>
        <v/>
      </c>
    </row>
    <row r="258" spans="1:5">
      <c r="A258" s="2" t="str">
        <f>_xlfn.TEXTJOIN("",TRUE,Input!$B$2,ROW(My_Audit!A257))</f>
        <v>X257</v>
      </c>
      <c r="E258" s="2" t="str">
        <f>_xlfn.XLOOKUP(A258,My_Audit!A:A,My_Audit!D:D,"")&amp;""</f>
        <v/>
      </c>
    </row>
    <row r="259" spans="1:5">
      <c r="A259" s="2" t="str">
        <f>_xlfn.TEXTJOIN("",TRUE,Input!$B$2,ROW(My_Audit!A258))</f>
        <v>X258</v>
      </c>
      <c r="E259" s="2" t="str">
        <f>_xlfn.XLOOKUP(A259,My_Audit!A:A,My_Audit!D:D,"")&amp;""</f>
        <v/>
      </c>
    </row>
    <row r="260" spans="1:5">
      <c r="A260" s="2" t="str">
        <f>_xlfn.TEXTJOIN("",TRUE,Input!$B$2,ROW(My_Audit!A259))</f>
        <v>X259</v>
      </c>
      <c r="E260" s="2" t="str">
        <f>_xlfn.XLOOKUP(A260,My_Audit!A:A,My_Audit!D:D,"")&amp;""</f>
        <v/>
      </c>
    </row>
    <row r="261" spans="1:5">
      <c r="A261" s="2" t="str">
        <f>_xlfn.TEXTJOIN("",TRUE,Input!$B$2,ROW(My_Audit!A260))</f>
        <v>X260</v>
      </c>
      <c r="E261" s="2" t="str">
        <f>_xlfn.XLOOKUP(A261,My_Audit!A:A,My_Audit!D:D,"")&amp;""</f>
        <v/>
      </c>
    </row>
    <row r="262" spans="1:5">
      <c r="A262" s="2" t="str">
        <f>_xlfn.TEXTJOIN("",TRUE,Input!$B$2,ROW(My_Audit!A261))</f>
        <v>X261</v>
      </c>
      <c r="E262" s="2" t="str">
        <f>_xlfn.XLOOKUP(A262,My_Audit!A:A,My_Audit!D:D,"")&amp;""</f>
        <v/>
      </c>
    </row>
    <row r="263" spans="1:5">
      <c r="A263" s="2" t="str">
        <f>_xlfn.TEXTJOIN("",TRUE,Input!$B$2,ROW(My_Audit!A262))</f>
        <v>X262</v>
      </c>
      <c r="E263" s="2" t="str">
        <f>_xlfn.XLOOKUP(A263,My_Audit!A:A,My_Audit!D:D,"")&amp;""</f>
        <v/>
      </c>
    </row>
    <row r="264" spans="1:5">
      <c r="A264" s="2" t="str">
        <f>_xlfn.TEXTJOIN("",TRUE,Input!$B$2,ROW(My_Audit!A263))</f>
        <v>X263</v>
      </c>
      <c r="E264" s="2" t="str">
        <f>_xlfn.XLOOKUP(A264,My_Audit!A:A,My_Audit!D:D,"")&amp;""</f>
        <v/>
      </c>
    </row>
    <row r="265" spans="1:5">
      <c r="A265" s="2" t="str">
        <f>_xlfn.TEXTJOIN("",TRUE,Input!$B$2,ROW(My_Audit!A264))</f>
        <v>X264</v>
      </c>
      <c r="E265" s="2" t="str">
        <f>_xlfn.XLOOKUP(A265,My_Audit!A:A,My_Audit!D:D,"")&amp;""</f>
        <v/>
      </c>
    </row>
    <row r="266" spans="1:5">
      <c r="A266" s="2" t="str">
        <f>_xlfn.TEXTJOIN("",TRUE,Input!$B$2,ROW(My_Audit!A265))</f>
        <v>X265</v>
      </c>
      <c r="E266" s="2" t="str">
        <f>_xlfn.XLOOKUP(A266,My_Audit!A:A,My_Audit!D:D,"")&amp;""</f>
        <v/>
      </c>
    </row>
    <row r="267" spans="1:5">
      <c r="A267" s="2" t="str">
        <f>_xlfn.TEXTJOIN("",TRUE,Input!$B$2,ROW(My_Audit!A266))</f>
        <v>X266</v>
      </c>
      <c r="E267" s="2" t="str">
        <f>_xlfn.XLOOKUP(A267,My_Audit!A:A,My_Audit!D:D,"")&amp;""</f>
        <v/>
      </c>
    </row>
    <row r="268" spans="1:5">
      <c r="A268" s="2" t="str">
        <f>_xlfn.TEXTJOIN("",TRUE,Input!$B$2,ROW(My_Audit!A267))</f>
        <v>X267</v>
      </c>
      <c r="E268" s="2" t="str">
        <f>_xlfn.XLOOKUP(A268,My_Audit!A:A,My_Audit!D:D,"")&amp;""</f>
        <v/>
      </c>
    </row>
    <row r="269" spans="1:5">
      <c r="A269" s="2" t="str">
        <f>_xlfn.TEXTJOIN("",TRUE,Input!$B$2,ROW(My_Audit!A268))</f>
        <v>X268</v>
      </c>
      <c r="E269" s="2" t="str">
        <f>_xlfn.XLOOKUP(A269,My_Audit!A:A,My_Audit!D:D,"")&amp;""</f>
        <v/>
      </c>
    </row>
    <row r="270" spans="1:5">
      <c r="A270" s="2" t="str">
        <f>_xlfn.TEXTJOIN("",TRUE,Input!$B$2,ROW(My_Audit!A269))</f>
        <v>X269</v>
      </c>
      <c r="E270" s="2" t="str">
        <f>_xlfn.XLOOKUP(A270,My_Audit!A:A,My_Audit!D:D,"")&amp;""</f>
        <v/>
      </c>
    </row>
    <row r="271" spans="1:5">
      <c r="A271" s="2" t="str">
        <f>_xlfn.TEXTJOIN("",TRUE,Input!$B$2,ROW(My_Audit!A270))</f>
        <v>X270</v>
      </c>
      <c r="E271" s="2" t="str">
        <f>_xlfn.XLOOKUP(A271,My_Audit!A:A,My_Audit!D:D,"")&amp;""</f>
        <v/>
      </c>
    </row>
    <row r="272" spans="1:5">
      <c r="A272" s="2" t="str">
        <f>_xlfn.TEXTJOIN("",TRUE,Input!$B$2,ROW(My_Audit!A271))</f>
        <v>X271</v>
      </c>
      <c r="E272" s="2" t="str">
        <f>_xlfn.XLOOKUP(A272,My_Audit!A:A,My_Audit!D:D,"")&amp;""</f>
        <v/>
      </c>
    </row>
    <row r="273" spans="1:5">
      <c r="A273" s="2" t="str">
        <f>_xlfn.TEXTJOIN("",TRUE,Input!$B$2,ROW(My_Audit!A272))</f>
        <v>X272</v>
      </c>
      <c r="E273" s="2" t="str">
        <f>_xlfn.XLOOKUP(A273,My_Audit!A:A,My_Audit!D:D,"")&amp;""</f>
        <v/>
      </c>
    </row>
    <row r="274" spans="1:5">
      <c r="A274" s="2" t="str">
        <f>_xlfn.TEXTJOIN("",TRUE,Input!$B$2,ROW(My_Audit!A273))</f>
        <v>X273</v>
      </c>
      <c r="E274" s="2" t="str">
        <f>_xlfn.XLOOKUP(A274,My_Audit!A:A,My_Audit!D:D,"")&amp;""</f>
        <v/>
      </c>
    </row>
    <row r="275" spans="1:5">
      <c r="A275" s="2" t="str">
        <f>_xlfn.TEXTJOIN("",TRUE,Input!$B$2,ROW(My_Audit!A274))</f>
        <v>X274</v>
      </c>
      <c r="E275" s="2" t="str">
        <f>_xlfn.XLOOKUP(A275,My_Audit!A:A,My_Audit!D:D,"")&amp;""</f>
        <v/>
      </c>
    </row>
    <row r="276" spans="1:5">
      <c r="A276" s="2" t="str">
        <f>_xlfn.TEXTJOIN("",TRUE,Input!$B$2,ROW(My_Audit!A275))</f>
        <v>X275</v>
      </c>
      <c r="E276" s="2" t="str">
        <f>_xlfn.XLOOKUP(A276,My_Audit!A:A,My_Audit!D:D,"")&amp;""</f>
        <v/>
      </c>
    </row>
    <row r="277" spans="1:5">
      <c r="A277" s="2" t="str">
        <f>_xlfn.TEXTJOIN("",TRUE,Input!$B$2,ROW(My_Audit!A276))</f>
        <v>X276</v>
      </c>
      <c r="E277" s="2" t="str">
        <f>_xlfn.XLOOKUP(A277,My_Audit!A:A,My_Audit!D:D,"")&amp;""</f>
        <v/>
      </c>
    </row>
    <row r="278" spans="1:5">
      <c r="A278" s="2" t="str">
        <f>_xlfn.TEXTJOIN("",TRUE,Input!$B$2,ROW(My_Audit!A277))</f>
        <v>X277</v>
      </c>
      <c r="E278" s="2" t="str">
        <f>_xlfn.XLOOKUP(A278,My_Audit!A:A,My_Audit!D:D,"")&amp;""</f>
        <v/>
      </c>
    </row>
    <row r="279" spans="1:5">
      <c r="A279" s="2" t="str">
        <f>_xlfn.TEXTJOIN("",TRUE,Input!$B$2,ROW(My_Audit!A278))</f>
        <v>X278</v>
      </c>
      <c r="E279" s="2" t="str">
        <f>_xlfn.XLOOKUP(A279,My_Audit!A:A,My_Audit!D:D,"")&amp;""</f>
        <v/>
      </c>
    </row>
    <row r="280" spans="1:5">
      <c r="A280" s="2" t="str">
        <f>_xlfn.TEXTJOIN("",TRUE,Input!$B$2,ROW(My_Audit!A279))</f>
        <v>X279</v>
      </c>
      <c r="E280" s="2" t="str">
        <f>_xlfn.XLOOKUP(A280,My_Audit!A:A,My_Audit!D:D,"")&amp;""</f>
        <v/>
      </c>
    </row>
    <row r="281" spans="1:5">
      <c r="A281" s="2" t="str">
        <f>_xlfn.TEXTJOIN("",TRUE,Input!$B$2,ROW(My_Audit!A280))</f>
        <v>X280</v>
      </c>
      <c r="E281" s="2" t="str">
        <f>_xlfn.XLOOKUP(A281,My_Audit!A:A,My_Audit!D:D,"")&amp;""</f>
        <v/>
      </c>
    </row>
    <row r="282" spans="1:5">
      <c r="A282" s="2" t="str">
        <f>_xlfn.TEXTJOIN("",TRUE,Input!$B$2,ROW(My_Audit!A281))</f>
        <v>X281</v>
      </c>
      <c r="E282" s="2" t="str">
        <f>_xlfn.XLOOKUP(A282,My_Audit!A:A,My_Audit!D:D,"")&amp;""</f>
        <v/>
      </c>
    </row>
    <row r="283" spans="1:5">
      <c r="A283" s="2" t="str">
        <f>_xlfn.TEXTJOIN("",TRUE,Input!$B$2,ROW(My_Audit!A282))</f>
        <v>X282</v>
      </c>
      <c r="E283" s="2" t="str">
        <f>_xlfn.XLOOKUP(A283,My_Audit!A:A,My_Audit!D:D,"")&amp;""</f>
        <v/>
      </c>
    </row>
    <row r="284" spans="1:5">
      <c r="A284" s="2" t="str">
        <f>_xlfn.TEXTJOIN("",TRUE,Input!$B$2,ROW(My_Audit!A283))</f>
        <v>X283</v>
      </c>
      <c r="E284" s="2" t="str">
        <f>_xlfn.XLOOKUP(A284,My_Audit!A:A,My_Audit!D:D,"")&amp;""</f>
        <v/>
      </c>
    </row>
    <row r="285" spans="1:5">
      <c r="A285" s="2" t="str">
        <f>_xlfn.TEXTJOIN("",TRUE,Input!$B$2,ROW(My_Audit!A284))</f>
        <v>X284</v>
      </c>
      <c r="E285" s="2" t="str">
        <f>_xlfn.XLOOKUP(A285,My_Audit!A:A,My_Audit!D:D,"")&amp;""</f>
        <v/>
      </c>
    </row>
    <row r="286" spans="1:5">
      <c r="A286" s="2" t="str">
        <f>_xlfn.TEXTJOIN("",TRUE,Input!$B$2,ROW(My_Audit!A285))</f>
        <v>X285</v>
      </c>
      <c r="E286" s="2" t="str">
        <f>_xlfn.XLOOKUP(A286,My_Audit!A:A,My_Audit!D:D,"")&amp;""</f>
        <v/>
      </c>
    </row>
    <row r="287" spans="1:5">
      <c r="A287" s="2" t="str">
        <f>_xlfn.TEXTJOIN("",TRUE,Input!$B$2,ROW(My_Audit!A286))</f>
        <v>X286</v>
      </c>
      <c r="E287" s="2" t="str">
        <f>_xlfn.XLOOKUP(A287,My_Audit!A:A,My_Audit!D:D,"")&amp;""</f>
        <v/>
      </c>
    </row>
    <row r="288" spans="1:5">
      <c r="A288" s="2" t="str">
        <f>_xlfn.TEXTJOIN("",TRUE,Input!$B$2,ROW(My_Audit!A287))</f>
        <v>X287</v>
      </c>
      <c r="E288" s="2" t="str">
        <f>_xlfn.XLOOKUP(A288,My_Audit!A:A,My_Audit!D:D,"")&amp;""</f>
        <v/>
      </c>
    </row>
    <row r="289" spans="1:5">
      <c r="A289" s="2" t="str">
        <f>_xlfn.TEXTJOIN("",TRUE,Input!$B$2,ROW(My_Audit!A288))</f>
        <v>X288</v>
      </c>
      <c r="E289" s="2" t="str">
        <f>_xlfn.XLOOKUP(A289,My_Audit!A:A,My_Audit!D:D,"")&amp;""</f>
        <v/>
      </c>
    </row>
    <row r="290" spans="1:5">
      <c r="A290" s="2" t="str">
        <f>_xlfn.TEXTJOIN("",TRUE,Input!$B$2,ROW(My_Audit!A289))</f>
        <v>X289</v>
      </c>
      <c r="E290" s="2" t="str">
        <f>_xlfn.XLOOKUP(A290,My_Audit!A:A,My_Audit!D:D,"")&amp;""</f>
        <v/>
      </c>
    </row>
    <row r="291" spans="1:5">
      <c r="A291" s="2" t="str">
        <f>_xlfn.TEXTJOIN("",TRUE,Input!$B$2,ROW(My_Audit!A290))</f>
        <v>X290</v>
      </c>
      <c r="E291" s="2" t="str">
        <f>_xlfn.XLOOKUP(A291,My_Audit!A:A,My_Audit!D:D,"")&amp;""</f>
        <v/>
      </c>
    </row>
    <row r="292" spans="1:5">
      <c r="A292" s="2" t="str">
        <f>_xlfn.TEXTJOIN("",TRUE,Input!$B$2,ROW(My_Audit!A291))</f>
        <v>X291</v>
      </c>
      <c r="E292" s="2" t="str">
        <f>_xlfn.XLOOKUP(A292,My_Audit!A:A,My_Audit!D:D,"")&amp;""</f>
        <v/>
      </c>
    </row>
    <row r="293" spans="1:5">
      <c r="A293" s="2" t="str">
        <f>_xlfn.TEXTJOIN("",TRUE,Input!$B$2,ROW(My_Audit!A292))</f>
        <v>X292</v>
      </c>
      <c r="E293" s="2" t="str">
        <f>_xlfn.XLOOKUP(A293,My_Audit!A:A,My_Audit!D:D,"")&amp;""</f>
        <v/>
      </c>
    </row>
    <row r="294" spans="1:5">
      <c r="A294" s="2" t="str">
        <f>_xlfn.TEXTJOIN("",TRUE,Input!$B$2,ROW(My_Audit!A293))</f>
        <v>X293</v>
      </c>
      <c r="E294" s="2" t="str">
        <f>_xlfn.XLOOKUP(A294,My_Audit!A:A,My_Audit!D:D,"")&amp;""</f>
        <v/>
      </c>
    </row>
    <row r="295" spans="1:5">
      <c r="A295" s="2" t="str">
        <f>_xlfn.TEXTJOIN("",TRUE,Input!$B$2,ROW(My_Audit!A294))</f>
        <v>X294</v>
      </c>
      <c r="E295" s="2" t="str">
        <f>_xlfn.XLOOKUP(A295,My_Audit!A:A,My_Audit!D:D,"")&amp;""</f>
        <v/>
      </c>
    </row>
    <row r="296" spans="1:5">
      <c r="A296" s="2" t="str">
        <f>_xlfn.TEXTJOIN("",TRUE,Input!$B$2,ROW(My_Audit!A295))</f>
        <v>X295</v>
      </c>
      <c r="E296" s="2" t="str">
        <f>_xlfn.XLOOKUP(A296,My_Audit!A:A,My_Audit!D:D,"")&amp;""</f>
        <v/>
      </c>
    </row>
    <row r="297" spans="1:5">
      <c r="A297" s="2" t="str">
        <f>_xlfn.TEXTJOIN("",TRUE,Input!$B$2,ROW(My_Audit!A296))</f>
        <v>X296</v>
      </c>
      <c r="E297" s="2" t="str">
        <f>_xlfn.XLOOKUP(A297,My_Audit!A:A,My_Audit!D:D,"")&amp;""</f>
        <v/>
      </c>
    </row>
    <row r="298" spans="1:5">
      <c r="A298" s="2" t="str">
        <f>_xlfn.TEXTJOIN("",TRUE,Input!$B$2,ROW(My_Audit!A297))</f>
        <v>X297</v>
      </c>
      <c r="E298" s="2" t="str">
        <f>_xlfn.XLOOKUP(A298,My_Audit!A:A,My_Audit!D:D,"")&amp;""</f>
        <v/>
      </c>
    </row>
    <row r="299" spans="1:5">
      <c r="A299" s="2" t="str">
        <f>_xlfn.TEXTJOIN("",TRUE,Input!$B$2,ROW(My_Audit!A298))</f>
        <v>X298</v>
      </c>
      <c r="E299" s="2" t="str">
        <f>_xlfn.XLOOKUP(A299,My_Audit!A:A,My_Audit!D:D,"")&amp;""</f>
        <v/>
      </c>
    </row>
    <row r="300" spans="1:5">
      <c r="A300" s="2" t="str">
        <f>_xlfn.TEXTJOIN("",TRUE,Input!$B$2,ROW(My_Audit!A299))</f>
        <v>X299</v>
      </c>
      <c r="E300" s="2" t="str">
        <f>_xlfn.XLOOKUP(A300,My_Audit!A:A,My_Audit!D:D,"")&amp;""</f>
        <v/>
      </c>
    </row>
    <row r="301" spans="1:5">
      <c r="A301" s="2" t="str">
        <f>_xlfn.TEXTJOIN("",TRUE,Input!$B$2,ROW(My_Audit!A300))</f>
        <v>X300</v>
      </c>
      <c r="E301" s="2" t="str">
        <f>_xlfn.XLOOKUP(A301,My_Audit!A:A,My_Audit!D:D,"")&amp;""</f>
        <v/>
      </c>
    </row>
    <row r="302" spans="1:5">
      <c r="A302" s="2" t="str">
        <f>_xlfn.TEXTJOIN("",TRUE,Input!$B$2,ROW(My_Audit!A301))</f>
        <v>X301</v>
      </c>
      <c r="E302" s="2" t="str">
        <f>_xlfn.XLOOKUP(A302,My_Audit!A:A,My_Audit!D:D,"")&amp;""</f>
        <v/>
      </c>
    </row>
    <row r="303" spans="1:5">
      <c r="A303" s="2" t="str">
        <f>_xlfn.TEXTJOIN("",TRUE,Input!$B$2,ROW(My_Audit!A302))</f>
        <v>X302</v>
      </c>
      <c r="E303" s="2" t="str">
        <f>_xlfn.XLOOKUP(A303,My_Audit!A:A,My_Audit!D:D,"")&amp;""</f>
        <v/>
      </c>
    </row>
    <row r="304" spans="1:5">
      <c r="A304" s="2" t="str">
        <f>_xlfn.TEXTJOIN("",TRUE,Input!$B$2,ROW(My_Audit!A303))</f>
        <v>X303</v>
      </c>
      <c r="E304" s="2" t="str">
        <f>_xlfn.XLOOKUP(A304,My_Audit!A:A,My_Audit!D:D,"")&amp;""</f>
        <v/>
      </c>
    </row>
    <row r="305" spans="1:5">
      <c r="A305" s="2" t="str">
        <f>_xlfn.TEXTJOIN("",TRUE,Input!$B$2,ROW(My_Audit!A304))</f>
        <v>X304</v>
      </c>
      <c r="E305" s="2" t="str">
        <f>_xlfn.XLOOKUP(A305,My_Audit!A:A,My_Audit!D:D,"")&amp;""</f>
        <v/>
      </c>
    </row>
    <row r="306" spans="1:5">
      <c r="A306" s="2" t="str">
        <f>_xlfn.TEXTJOIN("",TRUE,Input!$B$2,ROW(My_Audit!A305))</f>
        <v>X305</v>
      </c>
      <c r="E306" s="2" t="str">
        <f>_xlfn.XLOOKUP(A306,My_Audit!A:A,My_Audit!D:D,"")&amp;""</f>
        <v/>
      </c>
    </row>
    <row r="307" spans="1:5">
      <c r="A307" s="2" t="str">
        <f>_xlfn.TEXTJOIN("",TRUE,Input!$B$2,ROW(My_Audit!A306))</f>
        <v>X306</v>
      </c>
      <c r="E307" s="2" t="str">
        <f>_xlfn.XLOOKUP(A307,My_Audit!A:A,My_Audit!D:D,"")&amp;""</f>
        <v/>
      </c>
    </row>
    <row r="308" spans="1:5">
      <c r="A308" s="2" t="str">
        <f>_xlfn.TEXTJOIN("",TRUE,Input!$B$2,ROW(My_Audit!A307))</f>
        <v>X307</v>
      </c>
      <c r="E308" s="2" t="str">
        <f>_xlfn.XLOOKUP(A308,My_Audit!A:A,My_Audit!D:D,"")&amp;""</f>
        <v/>
      </c>
    </row>
    <row r="309" spans="1:5">
      <c r="A309" s="2" t="str">
        <f>_xlfn.TEXTJOIN("",TRUE,Input!$B$2,ROW(My_Audit!A308))</f>
        <v>X308</v>
      </c>
      <c r="E309" s="2" t="str">
        <f>_xlfn.XLOOKUP(A309,My_Audit!A:A,My_Audit!D:D,"")&amp;""</f>
        <v/>
      </c>
    </row>
    <row r="310" spans="1:5">
      <c r="A310" s="2" t="str">
        <f>_xlfn.TEXTJOIN("",TRUE,Input!$B$2,ROW(My_Audit!A309))</f>
        <v>X309</v>
      </c>
      <c r="E310" s="2" t="str">
        <f>_xlfn.XLOOKUP(A310,My_Audit!A:A,My_Audit!D:D,"")&amp;""</f>
        <v/>
      </c>
    </row>
    <row r="311" spans="1:5">
      <c r="A311" s="2" t="str">
        <f>_xlfn.TEXTJOIN("",TRUE,Input!$B$2,ROW(My_Audit!A310))</f>
        <v>X310</v>
      </c>
      <c r="E311" s="2" t="str">
        <f>_xlfn.XLOOKUP(A311,My_Audit!A:A,My_Audit!D:D,"")&amp;""</f>
        <v/>
      </c>
    </row>
    <row r="312" spans="1:5">
      <c r="A312" s="2" t="str">
        <f>_xlfn.TEXTJOIN("",TRUE,Input!$B$2,ROW(My_Audit!A311))</f>
        <v>X311</v>
      </c>
      <c r="E312" s="2" t="str">
        <f>_xlfn.XLOOKUP(A312,My_Audit!A:A,My_Audit!D:D,"")&amp;""</f>
        <v/>
      </c>
    </row>
    <row r="313" spans="1:5">
      <c r="A313" s="2" t="str">
        <f>_xlfn.TEXTJOIN("",TRUE,Input!$B$2,ROW(My_Audit!A312))</f>
        <v>X312</v>
      </c>
      <c r="E313" s="2" t="str">
        <f>_xlfn.XLOOKUP(A313,My_Audit!A:A,My_Audit!D:D,"")&amp;""</f>
        <v/>
      </c>
    </row>
    <row r="314" spans="1:5">
      <c r="A314" s="2" t="str">
        <f>_xlfn.TEXTJOIN("",TRUE,Input!$B$2,ROW(My_Audit!A313))</f>
        <v>X313</v>
      </c>
      <c r="E314" s="2" t="str">
        <f>_xlfn.XLOOKUP(A314,My_Audit!A:A,My_Audit!D:D,"")&amp;""</f>
        <v/>
      </c>
    </row>
    <row r="315" spans="1:5">
      <c r="A315" s="2" t="str">
        <f>_xlfn.TEXTJOIN("",TRUE,Input!$B$2,ROW(My_Audit!A314))</f>
        <v>X314</v>
      </c>
      <c r="E315" s="2" t="str">
        <f>_xlfn.XLOOKUP(A315,My_Audit!A:A,My_Audit!D:D,"")&amp;""</f>
        <v/>
      </c>
    </row>
    <row r="316" spans="1:5">
      <c r="A316" s="2" t="str">
        <f>_xlfn.TEXTJOIN("",TRUE,Input!$B$2,ROW(My_Audit!A315))</f>
        <v>X315</v>
      </c>
      <c r="E316" s="2" t="str">
        <f>_xlfn.XLOOKUP(A316,My_Audit!A:A,My_Audit!D:D,"")&amp;""</f>
        <v/>
      </c>
    </row>
    <row r="317" spans="1:5">
      <c r="A317" s="2" t="str">
        <f>_xlfn.TEXTJOIN("",TRUE,Input!$B$2,ROW(My_Audit!A316))</f>
        <v>X316</v>
      </c>
      <c r="E317" s="2" t="str">
        <f>_xlfn.XLOOKUP(A317,My_Audit!A:A,My_Audit!D:D,"")&amp;""</f>
        <v/>
      </c>
    </row>
    <row r="318" spans="1:5">
      <c r="A318" s="2" t="str">
        <f>_xlfn.TEXTJOIN("",TRUE,Input!$B$2,ROW(My_Audit!A317))</f>
        <v>X317</v>
      </c>
      <c r="E318" s="2" t="str">
        <f>_xlfn.XLOOKUP(A318,My_Audit!A:A,My_Audit!D:D,"")&amp;""</f>
        <v/>
      </c>
    </row>
    <row r="319" spans="1:5">
      <c r="A319" s="2" t="str">
        <f>_xlfn.TEXTJOIN("",TRUE,Input!$B$2,ROW(My_Audit!A318))</f>
        <v>X318</v>
      </c>
      <c r="E319" s="2" t="str">
        <f>_xlfn.XLOOKUP(A319,My_Audit!A:A,My_Audit!D:D,"")&amp;""</f>
        <v/>
      </c>
    </row>
    <row r="320" spans="1:5">
      <c r="A320" s="2" t="str">
        <f>_xlfn.TEXTJOIN("",TRUE,Input!$B$2,ROW(My_Audit!A319))</f>
        <v>X319</v>
      </c>
      <c r="E320" s="2" t="str">
        <f>_xlfn.XLOOKUP(A320,My_Audit!A:A,My_Audit!D:D,"")&amp;""</f>
        <v/>
      </c>
    </row>
    <row r="321" spans="1:5">
      <c r="A321" s="2" t="str">
        <f>_xlfn.TEXTJOIN("",TRUE,Input!$B$2,ROW(My_Audit!A320))</f>
        <v>X320</v>
      </c>
      <c r="E321" s="2" t="str">
        <f>_xlfn.XLOOKUP(A321,My_Audit!A:A,My_Audit!D:D,"")&amp;""</f>
        <v/>
      </c>
    </row>
    <row r="322" spans="1:5">
      <c r="A322" s="2" t="str">
        <f>_xlfn.TEXTJOIN("",TRUE,Input!$B$2,ROW(My_Audit!A321))</f>
        <v>X321</v>
      </c>
      <c r="E322" s="2" t="str">
        <f>_xlfn.XLOOKUP(A322,My_Audit!A:A,My_Audit!D:D,"")&amp;""</f>
        <v/>
      </c>
    </row>
    <row r="323" spans="1:5">
      <c r="A323" s="2" t="str">
        <f>_xlfn.TEXTJOIN("",TRUE,Input!$B$2,ROW(My_Audit!A322))</f>
        <v>X322</v>
      </c>
      <c r="E323" s="2" t="str">
        <f>_xlfn.XLOOKUP(A323,My_Audit!A:A,My_Audit!D:D,"")&amp;""</f>
        <v/>
      </c>
    </row>
    <row r="324" spans="1:5">
      <c r="A324" s="2" t="str">
        <f>_xlfn.TEXTJOIN("",TRUE,Input!$B$2,ROW(My_Audit!A323))</f>
        <v>X323</v>
      </c>
      <c r="E324" s="2" t="str">
        <f>_xlfn.XLOOKUP(A324,My_Audit!A:A,My_Audit!D:D,"")&amp;""</f>
        <v/>
      </c>
    </row>
    <row r="325" spans="1:5">
      <c r="A325" s="2" t="str">
        <f>_xlfn.TEXTJOIN("",TRUE,Input!$B$2,ROW(My_Audit!A324))</f>
        <v>X324</v>
      </c>
      <c r="E325" s="2" t="str">
        <f>_xlfn.XLOOKUP(A325,My_Audit!A:A,My_Audit!D:D,"")&amp;""</f>
        <v/>
      </c>
    </row>
    <row r="326" spans="1:5">
      <c r="A326" s="2" t="str">
        <f>_xlfn.TEXTJOIN("",TRUE,Input!$B$2,ROW(My_Audit!A325))</f>
        <v>X325</v>
      </c>
      <c r="E326" s="2" t="str">
        <f>_xlfn.XLOOKUP(A326,My_Audit!A:A,My_Audit!D:D,"")&amp;""</f>
        <v/>
      </c>
    </row>
    <row r="327" spans="1:5">
      <c r="A327" s="2" t="str">
        <f>_xlfn.TEXTJOIN("",TRUE,Input!$B$2,ROW(My_Audit!A326))</f>
        <v>X326</v>
      </c>
      <c r="E327" s="2" t="str">
        <f>_xlfn.XLOOKUP(A327,My_Audit!A:A,My_Audit!D:D,"")&amp;""</f>
        <v/>
      </c>
    </row>
    <row r="328" spans="1:5">
      <c r="A328" s="2" t="str">
        <f>_xlfn.TEXTJOIN("",TRUE,Input!$B$2,ROW(My_Audit!A327))</f>
        <v>X327</v>
      </c>
      <c r="E328" s="2" t="str">
        <f>_xlfn.XLOOKUP(A328,My_Audit!A:A,My_Audit!D:D,"")&amp;""</f>
        <v/>
      </c>
    </row>
    <row r="329" spans="1:5">
      <c r="A329" s="2" t="str">
        <f>_xlfn.TEXTJOIN("",TRUE,Input!$B$2,ROW(My_Audit!A328))</f>
        <v>X328</v>
      </c>
      <c r="E329" s="2" t="str">
        <f>_xlfn.XLOOKUP(A329,My_Audit!A:A,My_Audit!D:D,"")&amp;""</f>
        <v/>
      </c>
    </row>
    <row r="330" spans="1:5">
      <c r="A330" s="2" t="str">
        <f>_xlfn.TEXTJOIN("",TRUE,Input!$B$2,ROW(My_Audit!A329))</f>
        <v>X329</v>
      </c>
      <c r="E330" s="2" t="str">
        <f>_xlfn.XLOOKUP(A330,My_Audit!A:A,My_Audit!D:D,"")&amp;""</f>
        <v/>
      </c>
    </row>
    <row r="331" spans="1:5">
      <c r="A331" s="2" t="str">
        <f>_xlfn.TEXTJOIN("",TRUE,Input!$B$2,ROW(My_Audit!A330))</f>
        <v>X330</v>
      </c>
      <c r="E331" s="2" t="str">
        <f>_xlfn.XLOOKUP(A331,My_Audit!A:A,My_Audit!D:D,"")&amp;""</f>
        <v/>
      </c>
    </row>
    <row r="332" spans="1:5">
      <c r="A332" s="2" t="str">
        <f>_xlfn.TEXTJOIN("",TRUE,Input!$B$2,ROW(My_Audit!A331))</f>
        <v>X331</v>
      </c>
      <c r="E332" s="2" t="str">
        <f>_xlfn.XLOOKUP(A332,My_Audit!A:A,My_Audit!D:D,"")&amp;""</f>
        <v/>
      </c>
    </row>
    <row r="333" spans="1:5">
      <c r="A333" s="2" t="str">
        <f>_xlfn.TEXTJOIN("",TRUE,Input!$B$2,ROW(My_Audit!A332))</f>
        <v>X332</v>
      </c>
      <c r="E333" s="2" t="str">
        <f>_xlfn.XLOOKUP(A333,My_Audit!A:A,My_Audit!D:D,"")&amp;""</f>
        <v/>
      </c>
    </row>
    <row r="334" spans="1:5">
      <c r="A334" s="2" t="str">
        <f>_xlfn.TEXTJOIN("",TRUE,Input!$B$2,ROW(My_Audit!A333))</f>
        <v>X333</v>
      </c>
      <c r="E334" s="2" t="str">
        <f>_xlfn.XLOOKUP(A334,My_Audit!A:A,My_Audit!D:D,"")&amp;""</f>
        <v/>
      </c>
    </row>
    <row r="335" spans="1:5">
      <c r="A335" s="2" t="str">
        <f>_xlfn.TEXTJOIN("",TRUE,Input!$B$2,ROW(My_Audit!A334))</f>
        <v>X334</v>
      </c>
      <c r="E335" s="2" t="str">
        <f>_xlfn.XLOOKUP(A335,My_Audit!A:A,My_Audit!D:D,"")&amp;""</f>
        <v/>
      </c>
    </row>
    <row r="336" spans="1:5">
      <c r="A336" s="2" t="str">
        <f>_xlfn.TEXTJOIN("",TRUE,Input!$B$2,ROW(My_Audit!A335))</f>
        <v>X335</v>
      </c>
      <c r="E336" s="2" t="str">
        <f>_xlfn.XLOOKUP(A336,My_Audit!A:A,My_Audit!D:D,"")&amp;""</f>
        <v/>
      </c>
    </row>
    <row r="337" spans="1:5">
      <c r="A337" s="2" t="str">
        <f>_xlfn.TEXTJOIN("",TRUE,Input!$B$2,ROW(My_Audit!A336))</f>
        <v>X336</v>
      </c>
      <c r="E337" s="2" t="str">
        <f>_xlfn.XLOOKUP(A337,My_Audit!A:A,My_Audit!D:D,"")&amp;""</f>
        <v/>
      </c>
    </row>
    <row r="338" spans="1:5">
      <c r="A338" s="2" t="str">
        <f>_xlfn.TEXTJOIN("",TRUE,Input!$B$2,ROW(My_Audit!A337))</f>
        <v>X337</v>
      </c>
      <c r="E338" s="2" t="str">
        <f>_xlfn.XLOOKUP(A338,My_Audit!A:A,My_Audit!D:D,"")&amp;""</f>
        <v/>
      </c>
    </row>
    <row r="339" spans="1:5">
      <c r="A339" s="2" t="str">
        <f>_xlfn.TEXTJOIN("",TRUE,Input!$B$2,ROW(My_Audit!A338))</f>
        <v>X338</v>
      </c>
      <c r="E339" s="2" t="str">
        <f>_xlfn.XLOOKUP(A339,My_Audit!A:A,My_Audit!D:D,"")&amp;""</f>
        <v/>
      </c>
    </row>
    <row r="340" spans="1:5">
      <c r="A340" s="2" t="str">
        <f>_xlfn.TEXTJOIN("",TRUE,Input!$B$2,ROW(My_Audit!A339))</f>
        <v>X339</v>
      </c>
      <c r="E340" s="2" t="str">
        <f>_xlfn.XLOOKUP(A340,My_Audit!A:A,My_Audit!D:D,"")&amp;""</f>
        <v/>
      </c>
    </row>
    <row r="341" spans="1:5">
      <c r="A341" s="2" t="str">
        <f>_xlfn.TEXTJOIN("",TRUE,Input!$B$2,ROW(My_Audit!A340))</f>
        <v>X340</v>
      </c>
      <c r="E341" s="2" t="str">
        <f>_xlfn.XLOOKUP(A341,My_Audit!A:A,My_Audit!D:D,"")&amp;""</f>
        <v/>
      </c>
    </row>
    <row r="342" spans="1:5">
      <c r="A342" s="2" t="str">
        <f>_xlfn.TEXTJOIN("",TRUE,Input!$B$2,ROW(My_Audit!A341))</f>
        <v>X341</v>
      </c>
      <c r="E342" s="2" t="str">
        <f>_xlfn.XLOOKUP(A342,My_Audit!A:A,My_Audit!D:D,"")&amp;""</f>
        <v/>
      </c>
    </row>
    <row r="343" spans="1:5">
      <c r="A343" s="2" t="str">
        <f>_xlfn.TEXTJOIN("",TRUE,Input!$B$2,ROW(My_Audit!A342))</f>
        <v>X342</v>
      </c>
      <c r="E343" s="2" t="str">
        <f>_xlfn.XLOOKUP(A343,My_Audit!A:A,My_Audit!D:D,"")&amp;""</f>
        <v/>
      </c>
    </row>
    <row r="344" spans="1:5">
      <c r="A344" s="2" t="str">
        <f>_xlfn.TEXTJOIN("",TRUE,Input!$B$2,ROW(My_Audit!A343))</f>
        <v>X343</v>
      </c>
      <c r="E344" s="2" t="str">
        <f>_xlfn.XLOOKUP(A344,My_Audit!A:A,My_Audit!D:D,"")&amp;""</f>
        <v/>
      </c>
    </row>
    <row r="345" spans="1:5">
      <c r="A345" s="2" t="str">
        <f>_xlfn.TEXTJOIN("",TRUE,Input!$B$2,ROW(My_Audit!A344))</f>
        <v>X344</v>
      </c>
      <c r="E345" s="2" t="str">
        <f>_xlfn.XLOOKUP(A345,My_Audit!A:A,My_Audit!D:D,"")&amp;""</f>
        <v/>
      </c>
    </row>
    <row r="346" spans="1:5">
      <c r="A346" s="2" t="str">
        <f>_xlfn.TEXTJOIN("",TRUE,Input!$B$2,ROW(My_Audit!A345))</f>
        <v>X345</v>
      </c>
      <c r="E346" s="2" t="str">
        <f>_xlfn.XLOOKUP(A346,My_Audit!A:A,My_Audit!D:D,"")&amp;""</f>
        <v/>
      </c>
    </row>
    <row r="347" spans="1:5">
      <c r="A347" s="2" t="str">
        <f>_xlfn.TEXTJOIN("",TRUE,Input!$B$2,ROW(My_Audit!A346))</f>
        <v>X346</v>
      </c>
      <c r="E347" s="2" t="str">
        <f>_xlfn.XLOOKUP(A347,My_Audit!A:A,My_Audit!D:D,"")&amp;""</f>
        <v/>
      </c>
    </row>
    <row r="348" spans="1:5">
      <c r="A348" s="2" t="str">
        <f>_xlfn.TEXTJOIN("",TRUE,Input!$B$2,ROW(My_Audit!A347))</f>
        <v>X347</v>
      </c>
      <c r="E348" s="2" t="str">
        <f>_xlfn.XLOOKUP(A348,My_Audit!A:A,My_Audit!D:D,"")&amp;""</f>
        <v/>
      </c>
    </row>
    <row r="349" spans="1:5">
      <c r="A349" s="2" t="str">
        <f>_xlfn.TEXTJOIN("",TRUE,Input!$B$2,ROW(My_Audit!A348))</f>
        <v>X348</v>
      </c>
      <c r="E349" s="2" t="str">
        <f>_xlfn.XLOOKUP(A349,My_Audit!A:A,My_Audit!D:D,"")&amp;""</f>
        <v/>
      </c>
    </row>
    <row r="350" spans="1:5">
      <c r="A350" s="2" t="str">
        <f>_xlfn.TEXTJOIN("",TRUE,Input!$B$2,ROW(My_Audit!A349))</f>
        <v>X349</v>
      </c>
      <c r="E350" s="2" t="str">
        <f>_xlfn.XLOOKUP(A350,My_Audit!A:A,My_Audit!D:D,"")&amp;""</f>
        <v/>
      </c>
    </row>
    <row r="351" spans="1:5">
      <c r="A351" s="2" t="str">
        <f>_xlfn.TEXTJOIN("",TRUE,Input!$B$2,ROW(My_Audit!A350))</f>
        <v>X350</v>
      </c>
      <c r="E351" s="2" t="str">
        <f>_xlfn.XLOOKUP(A351,My_Audit!A:A,My_Audit!D:D,"")&amp;""</f>
        <v/>
      </c>
    </row>
    <row r="352" spans="1:5">
      <c r="A352" s="2" t="str">
        <f>_xlfn.TEXTJOIN("",TRUE,Input!$B$2,ROW(My_Audit!A351))</f>
        <v>X351</v>
      </c>
      <c r="E352" s="2" t="str">
        <f>_xlfn.XLOOKUP(A352,My_Audit!A:A,My_Audit!D:D,"")&amp;""</f>
        <v/>
      </c>
    </row>
    <row r="353" spans="1:5">
      <c r="A353" s="2" t="str">
        <f>_xlfn.TEXTJOIN("",TRUE,Input!$B$2,ROW(My_Audit!A352))</f>
        <v>X352</v>
      </c>
      <c r="E353" s="2" t="str">
        <f>_xlfn.XLOOKUP(A353,My_Audit!A:A,My_Audit!D:D,"")&amp;""</f>
        <v/>
      </c>
    </row>
    <row r="354" spans="1:5">
      <c r="A354" s="2" t="str">
        <f>_xlfn.TEXTJOIN("",TRUE,Input!$B$2,ROW(My_Audit!A353))</f>
        <v>X353</v>
      </c>
      <c r="E354" s="2" t="str">
        <f>_xlfn.XLOOKUP(A354,My_Audit!A:A,My_Audit!D:D,"")&amp;""</f>
        <v/>
      </c>
    </row>
    <row r="355" spans="1:5">
      <c r="A355" s="2" t="str">
        <f>_xlfn.TEXTJOIN("",TRUE,Input!$B$2,ROW(My_Audit!A354))</f>
        <v>X354</v>
      </c>
      <c r="E355" s="2" t="str">
        <f>_xlfn.XLOOKUP(A355,My_Audit!A:A,My_Audit!D:D,"")&amp;""</f>
        <v/>
      </c>
    </row>
    <row r="356" spans="1:5">
      <c r="A356" s="2" t="str">
        <f>_xlfn.TEXTJOIN("",TRUE,Input!$B$2,ROW(My_Audit!A355))</f>
        <v>X355</v>
      </c>
      <c r="E356" s="2" t="str">
        <f>_xlfn.XLOOKUP(A356,My_Audit!A:A,My_Audit!D:D,"")&amp;""</f>
        <v/>
      </c>
    </row>
    <row r="357" spans="1:5">
      <c r="A357" s="2" t="str">
        <f>_xlfn.TEXTJOIN("",TRUE,Input!$B$2,ROW(My_Audit!A356))</f>
        <v>X356</v>
      </c>
      <c r="E357" s="2" t="str">
        <f>_xlfn.XLOOKUP(A357,My_Audit!A:A,My_Audit!D:D,"")&amp;""</f>
        <v/>
      </c>
    </row>
    <row r="358" spans="1:5">
      <c r="A358" s="2" t="str">
        <f>_xlfn.TEXTJOIN("",TRUE,Input!$B$2,ROW(My_Audit!A357))</f>
        <v>X357</v>
      </c>
      <c r="E358" s="2" t="str">
        <f>_xlfn.XLOOKUP(A358,My_Audit!A:A,My_Audit!D:D,"")&amp;""</f>
        <v/>
      </c>
    </row>
    <row r="359" spans="1:5">
      <c r="A359" s="2" t="str">
        <f>_xlfn.TEXTJOIN("",TRUE,Input!$B$2,ROW(My_Audit!A358))</f>
        <v>X358</v>
      </c>
      <c r="E359" s="2" t="str">
        <f>_xlfn.XLOOKUP(A359,My_Audit!A:A,My_Audit!D:D,"")&amp;""</f>
        <v/>
      </c>
    </row>
    <row r="360" spans="1:5">
      <c r="A360" s="2" t="str">
        <f>_xlfn.TEXTJOIN("",TRUE,Input!$B$2,ROW(My_Audit!A359))</f>
        <v>X359</v>
      </c>
      <c r="E360" s="2" t="str">
        <f>_xlfn.XLOOKUP(A360,My_Audit!A:A,My_Audit!D:D,"")&amp;""</f>
        <v/>
      </c>
    </row>
    <row r="361" spans="1:5">
      <c r="A361" s="2" t="str">
        <f>_xlfn.TEXTJOIN("",TRUE,Input!$B$2,ROW(My_Audit!A360))</f>
        <v>X360</v>
      </c>
      <c r="E361" s="2" t="str">
        <f>_xlfn.XLOOKUP(A361,My_Audit!A:A,My_Audit!D:D,"")&amp;""</f>
        <v/>
      </c>
    </row>
    <row r="362" spans="1:5">
      <c r="A362" s="2" t="str">
        <f>_xlfn.TEXTJOIN("",TRUE,Input!$B$2,ROW(My_Audit!A361))</f>
        <v>X361</v>
      </c>
      <c r="E362" s="2" t="str">
        <f>_xlfn.XLOOKUP(A362,My_Audit!A:A,My_Audit!D:D,"")&amp;""</f>
        <v/>
      </c>
    </row>
    <row r="363" spans="1:5">
      <c r="A363" s="2" t="str">
        <f>_xlfn.TEXTJOIN("",TRUE,Input!$B$2,ROW(My_Audit!A362))</f>
        <v>X362</v>
      </c>
      <c r="E363" s="2" t="str">
        <f>_xlfn.XLOOKUP(A363,My_Audit!A:A,My_Audit!D:D,"")&amp;""</f>
        <v/>
      </c>
    </row>
    <row r="364" spans="1:5">
      <c r="A364" s="2" t="str">
        <f>_xlfn.TEXTJOIN("",TRUE,Input!$B$2,ROW(My_Audit!A363))</f>
        <v>X363</v>
      </c>
      <c r="E364" s="2" t="str">
        <f>_xlfn.XLOOKUP(A364,My_Audit!A:A,My_Audit!D:D,"")&amp;""</f>
        <v/>
      </c>
    </row>
    <row r="365" spans="1:5">
      <c r="A365" s="2" t="str">
        <f>_xlfn.TEXTJOIN("",TRUE,Input!$B$2,ROW(My_Audit!A364))</f>
        <v>X364</v>
      </c>
      <c r="E365" s="2" t="str">
        <f>_xlfn.XLOOKUP(A365,My_Audit!A:A,My_Audit!D:D,"")&amp;""</f>
        <v/>
      </c>
    </row>
    <row r="366" spans="1:5">
      <c r="A366" s="2" t="str">
        <f>_xlfn.TEXTJOIN("",TRUE,Input!$B$2,ROW(My_Audit!A365))</f>
        <v>X365</v>
      </c>
      <c r="E366" s="2" t="str">
        <f>_xlfn.XLOOKUP(A366,My_Audit!A:A,My_Audit!D:D,"")&amp;""</f>
        <v/>
      </c>
    </row>
    <row r="367" spans="1:5">
      <c r="A367" s="2" t="str">
        <f>_xlfn.TEXTJOIN("",TRUE,Input!$B$2,ROW(My_Audit!A366))</f>
        <v>X366</v>
      </c>
      <c r="E367" s="2" t="str">
        <f>_xlfn.XLOOKUP(A367,My_Audit!A:A,My_Audit!D:D,"")&amp;""</f>
        <v/>
      </c>
    </row>
    <row r="368" spans="1:5">
      <c r="A368" s="2" t="str">
        <f>_xlfn.TEXTJOIN("",TRUE,Input!$B$2,ROW(My_Audit!A367))</f>
        <v>X367</v>
      </c>
      <c r="E368" s="2" t="str">
        <f>_xlfn.XLOOKUP(A368,My_Audit!A:A,My_Audit!D:D,"")&amp;""</f>
        <v/>
      </c>
    </row>
    <row r="369" spans="1:5">
      <c r="A369" s="2" t="str">
        <f>_xlfn.TEXTJOIN("",TRUE,Input!$B$2,ROW(My_Audit!A368))</f>
        <v>X368</v>
      </c>
      <c r="E369" s="2" t="str">
        <f>_xlfn.XLOOKUP(A369,My_Audit!A:A,My_Audit!D:D,"")&amp;""</f>
        <v/>
      </c>
    </row>
    <row r="370" spans="1:5">
      <c r="A370" s="2" t="str">
        <f>_xlfn.TEXTJOIN("",TRUE,Input!$B$2,ROW(My_Audit!A369))</f>
        <v>X369</v>
      </c>
      <c r="E370" s="2" t="str">
        <f>_xlfn.XLOOKUP(A370,My_Audit!A:A,My_Audit!D:D,"")&amp;""</f>
        <v/>
      </c>
    </row>
    <row r="371" spans="1:5">
      <c r="A371" s="2" t="str">
        <f>_xlfn.TEXTJOIN("",TRUE,Input!$B$2,ROW(My_Audit!A370))</f>
        <v>X370</v>
      </c>
      <c r="E371" s="2" t="str">
        <f>_xlfn.XLOOKUP(A371,My_Audit!A:A,My_Audit!D:D,"")&amp;""</f>
        <v/>
      </c>
    </row>
    <row r="372" spans="1:5">
      <c r="A372" s="2" t="str">
        <f>_xlfn.TEXTJOIN("",TRUE,Input!$B$2,ROW(My_Audit!A371))</f>
        <v>X371</v>
      </c>
      <c r="E372" s="2" t="str">
        <f>_xlfn.XLOOKUP(A372,My_Audit!A:A,My_Audit!D:D,"")&amp;""</f>
        <v/>
      </c>
    </row>
    <row r="373" spans="1:5">
      <c r="A373" s="2" t="str">
        <f>_xlfn.TEXTJOIN("",TRUE,Input!$B$2,ROW(My_Audit!A372))</f>
        <v>X372</v>
      </c>
      <c r="E373" s="2" t="str">
        <f>_xlfn.XLOOKUP(A373,My_Audit!A:A,My_Audit!D:D,"")&amp;""</f>
        <v/>
      </c>
    </row>
    <row r="374" spans="1:5">
      <c r="A374" s="2" t="str">
        <f>_xlfn.TEXTJOIN("",TRUE,Input!$B$2,ROW(My_Audit!A373))</f>
        <v>X373</v>
      </c>
      <c r="E374" s="2" t="str">
        <f>_xlfn.XLOOKUP(A374,My_Audit!A:A,My_Audit!D:D,"")&amp;""</f>
        <v/>
      </c>
    </row>
    <row r="375" spans="1:5">
      <c r="A375" s="2" t="str">
        <f>_xlfn.TEXTJOIN("",TRUE,Input!$B$2,ROW(My_Audit!A374))</f>
        <v>X374</v>
      </c>
      <c r="E375" s="2" t="str">
        <f>_xlfn.XLOOKUP(A375,My_Audit!A:A,My_Audit!D:D,"")&amp;""</f>
        <v/>
      </c>
    </row>
    <row r="376" spans="1:5">
      <c r="A376" s="2" t="str">
        <f>_xlfn.TEXTJOIN("",TRUE,Input!$B$2,ROW(My_Audit!A375))</f>
        <v>X375</v>
      </c>
      <c r="E376" s="2" t="str">
        <f>_xlfn.XLOOKUP(A376,My_Audit!A:A,My_Audit!D:D,"")&amp;""</f>
        <v/>
      </c>
    </row>
    <row r="377" spans="1:5">
      <c r="A377" s="2" t="str">
        <f>_xlfn.TEXTJOIN("",TRUE,Input!$B$2,ROW(My_Audit!A376))</f>
        <v>X376</v>
      </c>
      <c r="E377" s="2" t="str">
        <f>_xlfn.XLOOKUP(A377,My_Audit!A:A,My_Audit!D:D,"")&amp;""</f>
        <v/>
      </c>
    </row>
    <row r="378" spans="1:5">
      <c r="A378" s="2" t="str">
        <f>_xlfn.TEXTJOIN("",TRUE,Input!$B$2,ROW(My_Audit!A377))</f>
        <v>X377</v>
      </c>
      <c r="E378" s="2" t="str">
        <f>_xlfn.XLOOKUP(A378,My_Audit!A:A,My_Audit!D:D,"")&amp;""</f>
        <v/>
      </c>
    </row>
    <row r="379" spans="1:5">
      <c r="A379" s="2" t="str">
        <f>_xlfn.TEXTJOIN("",TRUE,Input!$B$2,ROW(My_Audit!A378))</f>
        <v>X378</v>
      </c>
      <c r="E379" s="2" t="str">
        <f>_xlfn.XLOOKUP(A379,My_Audit!A:A,My_Audit!D:D,"")&amp;""</f>
        <v/>
      </c>
    </row>
    <row r="380" spans="1:5">
      <c r="A380" s="2" t="str">
        <f>_xlfn.TEXTJOIN("",TRUE,Input!$B$2,ROW(My_Audit!A379))</f>
        <v>X379</v>
      </c>
      <c r="E380" s="2" t="str">
        <f>_xlfn.XLOOKUP(A380,My_Audit!A:A,My_Audit!D:D,"")&amp;""</f>
        <v/>
      </c>
    </row>
    <row r="381" spans="1:5">
      <c r="A381" s="2" t="str">
        <f>_xlfn.TEXTJOIN("",TRUE,Input!$B$2,ROW(My_Audit!A380))</f>
        <v>X380</v>
      </c>
      <c r="E381" s="2" t="str">
        <f>_xlfn.XLOOKUP(A381,My_Audit!A:A,My_Audit!D:D,"")&amp;""</f>
        <v/>
      </c>
    </row>
    <row r="382" spans="1:5">
      <c r="A382" s="2" t="str">
        <f>_xlfn.TEXTJOIN("",TRUE,Input!$B$2,ROW(My_Audit!A381))</f>
        <v>X381</v>
      </c>
      <c r="E382" s="2" t="str">
        <f>_xlfn.XLOOKUP(A382,My_Audit!A:A,My_Audit!D:D,"")&amp;""</f>
        <v/>
      </c>
    </row>
    <row r="383" spans="1:5">
      <c r="A383" s="2" t="str">
        <f>_xlfn.TEXTJOIN("",TRUE,Input!$B$2,ROW(My_Audit!A382))</f>
        <v>X382</v>
      </c>
      <c r="E383" s="2" t="str">
        <f>_xlfn.XLOOKUP(A383,My_Audit!A:A,My_Audit!D:D,"")&amp;""</f>
        <v/>
      </c>
    </row>
    <row r="384" spans="1:5">
      <c r="A384" s="2" t="str">
        <f>_xlfn.TEXTJOIN("",TRUE,Input!$B$2,ROW(My_Audit!A383))</f>
        <v>X383</v>
      </c>
      <c r="E384" s="2" t="str">
        <f>_xlfn.XLOOKUP(A384,My_Audit!A:A,My_Audit!D:D,"")&amp;""</f>
        <v/>
      </c>
    </row>
    <row r="385" spans="1:5">
      <c r="A385" s="2" t="str">
        <f>_xlfn.TEXTJOIN("",TRUE,Input!$B$2,ROW(My_Audit!A384))</f>
        <v>X384</v>
      </c>
      <c r="E385" s="2" t="str">
        <f>_xlfn.XLOOKUP(A385,My_Audit!A:A,My_Audit!D:D,"")&amp;""</f>
        <v/>
      </c>
    </row>
    <row r="386" spans="1:5">
      <c r="A386" s="2" t="str">
        <f>_xlfn.TEXTJOIN("",TRUE,Input!$B$2,ROW(My_Audit!A385))</f>
        <v>X385</v>
      </c>
      <c r="E386" s="2" t="str">
        <f>_xlfn.XLOOKUP(A386,My_Audit!A:A,My_Audit!D:D,"")&amp;""</f>
        <v/>
      </c>
    </row>
    <row r="387" spans="1:5">
      <c r="A387" s="2" t="str">
        <f>_xlfn.TEXTJOIN("",TRUE,Input!$B$2,ROW(My_Audit!A386))</f>
        <v>X386</v>
      </c>
      <c r="E387" s="2" t="str">
        <f>_xlfn.XLOOKUP(A387,My_Audit!A:A,My_Audit!D:D,"")&amp;""</f>
        <v/>
      </c>
    </row>
    <row r="388" spans="1:5">
      <c r="A388" s="2" t="str">
        <f>_xlfn.TEXTJOIN("",TRUE,Input!$B$2,ROW(My_Audit!A387))</f>
        <v>X387</v>
      </c>
      <c r="E388" s="2" t="str">
        <f>_xlfn.XLOOKUP(A388,My_Audit!A:A,My_Audit!D:D,"")&amp;""</f>
        <v/>
      </c>
    </row>
    <row r="389" spans="1:5">
      <c r="A389" s="2" t="str">
        <f>_xlfn.TEXTJOIN("",TRUE,Input!$B$2,ROW(My_Audit!A388))</f>
        <v>X388</v>
      </c>
      <c r="E389" s="2" t="str">
        <f>_xlfn.XLOOKUP(A389,My_Audit!A:A,My_Audit!D:D,"")&amp;""</f>
        <v/>
      </c>
    </row>
    <row r="390" spans="1:5">
      <c r="A390" s="2" t="str">
        <f>_xlfn.TEXTJOIN("",TRUE,Input!$B$2,ROW(My_Audit!A389))</f>
        <v>X389</v>
      </c>
      <c r="E390" s="2" t="str">
        <f>_xlfn.XLOOKUP(A390,My_Audit!A:A,My_Audit!D:D,"")&amp;""</f>
        <v/>
      </c>
    </row>
    <row r="391" spans="1:5">
      <c r="A391" s="2" t="str">
        <f>_xlfn.TEXTJOIN("",TRUE,Input!$B$2,ROW(My_Audit!A390))</f>
        <v>X390</v>
      </c>
      <c r="E391" s="2" t="str">
        <f>_xlfn.XLOOKUP(A391,My_Audit!A:A,My_Audit!D:D,"")&amp;""</f>
        <v/>
      </c>
    </row>
    <row r="392" spans="1:5">
      <c r="A392" s="2" t="str">
        <f>_xlfn.TEXTJOIN("",TRUE,Input!$B$2,ROW(My_Audit!A391))</f>
        <v>X391</v>
      </c>
      <c r="E392" s="2" t="str">
        <f>_xlfn.XLOOKUP(A392,My_Audit!A:A,My_Audit!D:D,"")&amp;""</f>
        <v/>
      </c>
    </row>
    <row r="393" spans="1:5">
      <c r="A393" s="2" t="str">
        <f>_xlfn.TEXTJOIN("",TRUE,Input!$B$2,ROW(My_Audit!A392))</f>
        <v>X392</v>
      </c>
      <c r="E393" s="2" t="str">
        <f>_xlfn.XLOOKUP(A393,My_Audit!A:A,My_Audit!D:D,"")&amp;""</f>
        <v/>
      </c>
    </row>
    <row r="394" spans="1:5">
      <c r="A394" s="2" t="str">
        <f>_xlfn.TEXTJOIN("",TRUE,Input!$B$2,ROW(My_Audit!A393))</f>
        <v>X393</v>
      </c>
      <c r="E394" s="2" t="str">
        <f>_xlfn.XLOOKUP(A394,My_Audit!A:A,My_Audit!D:D,"")&amp;""</f>
        <v/>
      </c>
    </row>
    <row r="395" spans="1:5">
      <c r="A395" s="2" t="str">
        <f>_xlfn.TEXTJOIN("",TRUE,Input!$B$2,ROW(My_Audit!A394))</f>
        <v>X394</v>
      </c>
      <c r="E395" s="2" t="str">
        <f>_xlfn.XLOOKUP(A395,My_Audit!A:A,My_Audit!D:D,"")&amp;""</f>
        <v/>
      </c>
    </row>
    <row r="396" spans="1:5">
      <c r="A396" s="2" t="str">
        <f>_xlfn.TEXTJOIN("",TRUE,Input!$B$2,ROW(My_Audit!A395))</f>
        <v>X395</v>
      </c>
      <c r="E396" s="2" t="str">
        <f>_xlfn.XLOOKUP(A396,My_Audit!A:A,My_Audit!D:D,"")&amp;""</f>
        <v/>
      </c>
    </row>
    <row r="397" spans="1:5">
      <c r="A397" s="2" t="str">
        <f>_xlfn.TEXTJOIN("",TRUE,Input!$B$2,ROW(My_Audit!A396))</f>
        <v>X396</v>
      </c>
      <c r="E397" s="2" t="str">
        <f>_xlfn.XLOOKUP(A397,My_Audit!A:A,My_Audit!D:D,"")&amp;""</f>
        <v/>
      </c>
    </row>
    <row r="398" spans="1:5">
      <c r="A398" s="2" t="str">
        <f>_xlfn.TEXTJOIN("",TRUE,Input!$B$2,ROW(My_Audit!A397))</f>
        <v>X397</v>
      </c>
      <c r="E398" s="2" t="str">
        <f>_xlfn.XLOOKUP(A398,My_Audit!A:A,My_Audit!D:D,"")&amp;""</f>
        <v/>
      </c>
    </row>
    <row r="399" spans="1:5">
      <c r="A399" s="2" t="str">
        <f>_xlfn.TEXTJOIN("",TRUE,Input!$B$2,ROW(My_Audit!A398))</f>
        <v>X398</v>
      </c>
      <c r="E399" s="2" t="str">
        <f>_xlfn.XLOOKUP(A399,My_Audit!A:A,My_Audit!D:D,"")&amp;""</f>
        <v/>
      </c>
    </row>
    <row r="400" spans="1:5">
      <c r="A400" s="2" t="str">
        <f>_xlfn.TEXTJOIN("",TRUE,Input!$B$2,ROW(My_Audit!A399))</f>
        <v>X399</v>
      </c>
      <c r="E400" s="2" t="str">
        <f>_xlfn.XLOOKUP(A400,My_Audit!A:A,My_Audit!D:D,"")&amp;""</f>
        <v/>
      </c>
    </row>
    <row r="401" spans="1:5">
      <c r="A401" s="2" t="str">
        <f>_xlfn.TEXTJOIN("",TRUE,Input!$B$2,ROW(My_Audit!A400))</f>
        <v>X400</v>
      </c>
      <c r="E401" s="2" t="str">
        <f>_xlfn.XLOOKUP(A401,My_Audit!A:A,My_Audit!D:D,"")&amp;""</f>
        <v/>
      </c>
    </row>
    <row r="402" spans="1:5">
      <c r="A402" s="2" t="str">
        <f>_xlfn.TEXTJOIN("",TRUE,Input!$B$2,ROW(My_Audit!A401))</f>
        <v>X401</v>
      </c>
      <c r="E402" s="2" t="str">
        <f>_xlfn.XLOOKUP(A402,My_Audit!A:A,My_Audit!D:D,"")&amp;""</f>
        <v/>
      </c>
    </row>
    <row r="403" spans="1:5">
      <c r="A403" s="2" t="str">
        <f>_xlfn.TEXTJOIN("",TRUE,Input!$B$2,ROW(My_Audit!A402))</f>
        <v>X402</v>
      </c>
      <c r="E403" s="2" t="str">
        <f>_xlfn.XLOOKUP(A403,My_Audit!A:A,My_Audit!D:D,"")&amp;""</f>
        <v/>
      </c>
    </row>
    <row r="404" spans="1:5">
      <c r="A404" s="2" t="str">
        <f>_xlfn.TEXTJOIN("",TRUE,Input!$B$2,ROW(My_Audit!A403))</f>
        <v>X403</v>
      </c>
      <c r="E404" s="2" t="str">
        <f>_xlfn.XLOOKUP(A404,My_Audit!A:A,My_Audit!D:D,"")&amp;""</f>
        <v/>
      </c>
    </row>
    <row r="405" spans="1:5">
      <c r="A405" s="2" t="str">
        <f>_xlfn.TEXTJOIN("",TRUE,Input!$B$2,ROW(My_Audit!A404))</f>
        <v>X404</v>
      </c>
      <c r="E405" s="2" t="str">
        <f>_xlfn.XLOOKUP(A405,My_Audit!A:A,My_Audit!D:D,"")&amp;""</f>
        <v/>
      </c>
    </row>
    <row r="406" spans="1:5">
      <c r="A406" s="2" t="str">
        <f>_xlfn.TEXTJOIN("",TRUE,Input!$B$2,ROW(My_Audit!A405))</f>
        <v>X405</v>
      </c>
      <c r="E406" s="2" t="str">
        <f>_xlfn.XLOOKUP(A406,My_Audit!A:A,My_Audit!D:D,"")&amp;""</f>
        <v/>
      </c>
    </row>
    <row r="407" spans="1:5">
      <c r="A407" s="2" t="str">
        <f>_xlfn.TEXTJOIN("",TRUE,Input!$B$2,ROW(My_Audit!A406))</f>
        <v>X406</v>
      </c>
      <c r="E407" s="2" t="str">
        <f>_xlfn.XLOOKUP(A407,My_Audit!A:A,My_Audit!D:D,"")&amp;""</f>
        <v/>
      </c>
    </row>
    <row r="408" spans="1:5">
      <c r="A408" s="2" t="str">
        <f>_xlfn.TEXTJOIN("",TRUE,Input!$B$2,ROW(My_Audit!A407))</f>
        <v>X407</v>
      </c>
      <c r="E408" s="2" t="str">
        <f>_xlfn.XLOOKUP(A408,My_Audit!A:A,My_Audit!D:D,"")&amp;""</f>
        <v/>
      </c>
    </row>
    <row r="409" spans="1:5">
      <c r="A409" s="2" t="str">
        <f>_xlfn.TEXTJOIN("",TRUE,Input!$B$2,ROW(My_Audit!A408))</f>
        <v>X408</v>
      </c>
      <c r="E409" s="2" t="str">
        <f>_xlfn.XLOOKUP(A409,My_Audit!A:A,My_Audit!D:D,"")&amp;""</f>
        <v/>
      </c>
    </row>
    <row r="410" spans="1:5">
      <c r="A410" s="2" t="str">
        <f>_xlfn.TEXTJOIN("",TRUE,Input!$B$2,ROW(My_Audit!A409))</f>
        <v>X409</v>
      </c>
      <c r="E410" s="2" t="str">
        <f>_xlfn.XLOOKUP(A410,My_Audit!A:A,My_Audit!D:D,"")&amp;""</f>
        <v/>
      </c>
    </row>
    <row r="411" spans="1:5">
      <c r="A411" s="2" t="str">
        <f>_xlfn.TEXTJOIN("",TRUE,Input!$B$2,ROW(My_Audit!A410))</f>
        <v>X410</v>
      </c>
      <c r="E411" s="2" t="str">
        <f>_xlfn.XLOOKUP(A411,My_Audit!A:A,My_Audit!D:D,"")&amp;""</f>
        <v/>
      </c>
    </row>
    <row r="412" spans="1:5">
      <c r="A412" s="2" t="str">
        <f>_xlfn.TEXTJOIN("",TRUE,Input!$B$2,ROW(My_Audit!A411))</f>
        <v>X411</v>
      </c>
      <c r="E412" s="2" t="str">
        <f>_xlfn.XLOOKUP(A412,My_Audit!A:A,My_Audit!D:D,"")&amp;""</f>
        <v/>
      </c>
    </row>
    <row r="413" spans="1:5">
      <c r="A413" s="2" t="str">
        <f>_xlfn.TEXTJOIN("",TRUE,Input!$B$2,ROW(My_Audit!A412))</f>
        <v>X412</v>
      </c>
      <c r="E413" s="2" t="str">
        <f>_xlfn.XLOOKUP(A413,My_Audit!A:A,My_Audit!D:D,"")&amp;""</f>
        <v/>
      </c>
    </row>
    <row r="414" spans="1:5">
      <c r="A414" s="2" t="str">
        <f>_xlfn.TEXTJOIN("",TRUE,Input!$B$2,ROW(My_Audit!A413))</f>
        <v>X413</v>
      </c>
      <c r="E414" s="2" t="str">
        <f>_xlfn.XLOOKUP(A414,My_Audit!A:A,My_Audit!D:D,"")&amp;""</f>
        <v/>
      </c>
    </row>
    <row r="415" spans="1:5">
      <c r="A415" s="2" t="str">
        <f>_xlfn.TEXTJOIN("",TRUE,Input!$B$2,ROW(My_Audit!A414))</f>
        <v>X414</v>
      </c>
      <c r="E415" s="2" t="str">
        <f>_xlfn.XLOOKUP(A415,My_Audit!A:A,My_Audit!D:D,"")&amp;""</f>
        <v/>
      </c>
    </row>
    <row r="416" spans="1:5">
      <c r="A416" s="2" t="str">
        <f>_xlfn.TEXTJOIN("",TRUE,Input!$B$2,ROW(My_Audit!A415))</f>
        <v>X415</v>
      </c>
      <c r="E416" s="2" t="str">
        <f>_xlfn.XLOOKUP(A416,My_Audit!A:A,My_Audit!D:D,"")&amp;""</f>
        <v/>
      </c>
    </row>
    <row r="417" spans="1:5">
      <c r="A417" s="2" t="str">
        <f>_xlfn.TEXTJOIN("",TRUE,Input!$B$2,ROW(My_Audit!A416))</f>
        <v>X416</v>
      </c>
      <c r="E417" s="2" t="str">
        <f>_xlfn.XLOOKUP(A417,My_Audit!A:A,My_Audit!D:D,"")&amp;""</f>
        <v/>
      </c>
    </row>
    <row r="418" spans="1:5">
      <c r="A418" s="2" t="str">
        <f>_xlfn.TEXTJOIN("",TRUE,Input!$B$2,ROW(My_Audit!A417))</f>
        <v>X417</v>
      </c>
      <c r="E418" s="2" t="str">
        <f>_xlfn.XLOOKUP(A418,My_Audit!A:A,My_Audit!D:D,"")&amp;""</f>
        <v/>
      </c>
    </row>
    <row r="419" spans="1:5">
      <c r="A419" s="2" t="str">
        <f>_xlfn.TEXTJOIN("",TRUE,Input!$B$2,ROW(My_Audit!A418))</f>
        <v>X418</v>
      </c>
      <c r="E419" s="2" t="str">
        <f>_xlfn.XLOOKUP(A419,My_Audit!A:A,My_Audit!D:D,"")&amp;""</f>
        <v/>
      </c>
    </row>
    <row r="420" spans="1:5">
      <c r="A420" s="2" t="str">
        <f>_xlfn.TEXTJOIN("",TRUE,Input!$B$2,ROW(My_Audit!A419))</f>
        <v>X419</v>
      </c>
      <c r="E420" s="2" t="str">
        <f>_xlfn.XLOOKUP(A420,My_Audit!A:A,My_Audit!D:D,"")&amp;""</f>
        <v/>
      </c>
    </row>
    <row r="421" spans="1:5">
      <c r="A421" s="2" t="str">
        <f>_xlfn.TEXTJOIN("",TRUE,Input!$B$2,ROW(My_Audit!A420))</f>
        <v>X420</v>
      </c>
      <c r="E421" s="2" t="str">
        <f>_xlfn.XLOOKUP(A421,My_Audit!A:A,My_Audit!D:D,"")&amp;""</f>
        <v/>
      </c>
    </row>
    <row r="422" spans="1:5">
      <c r="A422" s="2" t="str">
        <f>_xlfn.TEXTJOIN("",TRUE,Input!$B$2,ROW(My_Audit!A421))</f>
        <v>X421</v>
      </c>
      <c r="E422" s="2" t="str">
        <f>_xlfn.XLOOKUP(A422,My_Audit!A:A,My_Audit!D:D,"")&amp;""</f>
        <v/>
      </c>
    </row>
    <row r="423" spans="1:5">
      <c r="A423" s="2" t="str">
        <f>_xlfn.TEXTJOIN("",TRUE,Input!$B$2,ROW(My_Audit!A422))</f>
        <v>X422</v>
      </c>
      <c r="E423" s="2" t="str">
        <f>_xlfn.XLOOKUP(A423,My_Audit!A:A,My_Audit!D:D,"")&amp;""</f>
        <v/>
      </c>
    </row>
    <row r="424" spans="1:5">
      <c r="A424" s="2" t="str">
        <f>_xlfn.TEXTJOIN("",TRUE,Input!$B$2,ROW(My_Audit!A423))</f>
        <v>X423</v>
      </c>
      <c r="E424" s="2" t="str">
        <f>_xlfn.XLOOKUP(A424,My_Audit!A:A,My_Audit!D:D,"")&amp;""</f>
        <v/>
      </c>
    </row>
    <row r="425" spans="1:5">
      <c r="A425" s="2" t="str">
        <f>_xlfn.TEXTJOIN("",TRUE,Input!$B$2,ROW(My_Audit!A424))</f>
        <v>X424</v>
      </c>
      <c r="E425" s="2" t="str">
        <f>_xlfn.XLOOKUP(A425,My_Audit!A:A,My_Audit!D:D,"")&amp;""</f>
        <v/>
      </c>
    </row>
    <row r="426" spans="1:5">
      <c r="A426" s="2" t="str">
        <f>_xlfn.TEXTJOIN("",TRUE,Input!$B$2,ROW(My_Audit!A425))</f>
        <v>X425</v>
      </c>
      <c r="E426" s="2" t="str">
        <f>_xlfn.XLOOKUP(A426,My_Audit!A:A,My_Audit!D:D,"")&amp;""</f>
        <v/>
      </c>
    </row>
    <row r="427" spans="1:5">
      <c r="A427" s="2" t="str">
        <f>_xlfn.TEXTJOIN("",TRUE,Input!$B$2,ROW(My_Audit!A426))</f>
        <v>X426</v>
      </c>
      <c r="E427" s="2" t="str">
        <f>_xlfn.XLOOKUP(A427,My_Audit!A:A,My_Audit!D:D,"")&amp;""</f>
        <v/>
      </c>
    </row>
    <row r="428" spans="1:5">
      <c r="A428" s="2" t="str">
        <f>_xlfn.TEXTJOIN("",TRUE,Input!$B$2,ROW(My_Audit!A427))</f>
        <v>X427</v>
      </c>
      <c r="E428" s="2" t="str">
        <f>_xlfn.XLOOKUP(A428,My_Audit!A:A,My_Audit!D:D,"")&amp;""</f>
        <v/>
      </c>
    </row>
    <row r="429" spans="1:5">
      <c r="A429" s="2" t="str">
        <f>_xlfn.TEXTJOIN("",TRUE,Input!$B$2,ROW(My_Audit!A428))</f>
        <v>X428</v>
      </c>
      <c r="E429" s="2" t="str">
        <f>_xlfn.XLOOKUP(A429,My_Audit!A:A,My_Audit!D:D,"")&amp;""</f>
        <v/>
      </c>
    </row>
    <row r="430" spans="1:5">
      <c r="A430" s="2" t="str">
        <f>_xlfn.TEXTJOIN("",TRUE,Input!$B$2,ROW(My_Audit!A429))</f>
        <v>X429</v>
      </c>
      <c r="E430" s="2" t="str">
        <f>_xlfn.XLOOKUP(A430,My_Audit!A:A,My_Audit!D:D,"")&amp;""</f>
        <v/>
      </c>
    </row>
    <row r="431" spans="1:5">
      <c r="A431" s="2" t="str">
        <f>_xlfn.TEXTJOIN("",TRUE,Input!$B$2,ROW(My_Audit!A430))</f>
        <v>X430</v>
      </c>
      <c r="E431" s="2" t="str">
        <f>_xlfn.XLOOKUP(A431,My_Audit!A:A,My_Audit!D:D,"")&amp;""</f>
        <v/>
      </c>
    </row>
    <row r="432" spans="1:5">
      <c r="A432" s="2" t="str">
        <f>_xlfn.TEXTJOIN("",TRUE,Input!$B$2,ROW(My_Audit!A431))</f>
        <v>X431</v>
      </c>
      <c r="E432" s="2" t="str">
        <f>_xlfn.XLOOKUP(A432,My_Audit!A:A,My_Audit!D:D,"")&amp;""</f>
        <v/>
      </c>
    </row>
    <row r="433" spans="1:5">
      <c r="A433" s="2" t="str">
        <f>_xlfn.TEXTJOIN("",TRUE,Input!$B$2,ROW(My_Audit!A432))</f>
        <v>X432</v>
      </c>
      <c r="E433" s="2" t="str">
        <f>_xlfn.XLOOKUP(A433,My_Audit!A:A,My_Audit!D:D,"")&amp;""</f>
        <v/>
      </c>
    </row>
    <row r="434" spans="1:5">
      <c r="A434" s="2" t="str">
        <f>_xlfn.TEXTJOIN("",TRUE,Input!$B$2,ROW(My_Audit!A433))</f>
        <v>X433</v>
      </c>
      <c r="E434" s="2" t="str">
        <f>_xlfn.XLOOKUP(A434,My_Audit!A:A,My_Audit!D:D,"")&amp;""</f>
        <v/>
      </c>
    </row>
    <row r="435" spans="1:5">
      <c r="A435" s="2" t="str">
        <f>_xlfn.TEXTJOIN("",TRUE,Input!$B$2,ROW(My_Audit!A434))</f>
        <v>X434</v>
      </c>
      <c r="E435" s="2" t="str">
        <f>_xlfn.XLOOKUP(A435,My_Audit!A:A,My_Audit!D:D,"")&amp;""</f>
        <v/>
      </c>
    </row>
    <row r="436" spans="1:5">
      <c r="A436" s="2" t="str">
        <f>_xlfn.TEXTJOIN("",TRUE,Input!$B$2,ROW(My_Audit!A435))</f>
        <v>X435</v>
      </c>
      <c r="E436" s="2" t="str">
        <f>_xlfn.XLOOKUP(A436,My_Audit!A:A,My_Audit!D:D,"")&amp;""</f>
        <v/>
      </c>
    </row>
    <row r="437" spans="1:5">
      <c r="A437" s="2" t="str">
        <f>_xlfn.TEXTJOIN("",TRUE,Input!$B$2,ROW(My_Audit!A436))</f>
        <v>X436</v>
      </c>
      <c r="E437" s="2" t="str">
        <f>_xlfn.XLOOKUP(A437,My_Audit!A:A,My_Audit!D:D,"")&amp;""</f>
        <v/>
      </c>
    </row>
    <row r="438" spans="1:5">
      <c r="A438" s="2" t="str">
        <f>_xlfn.TEXTJOIN("",TRUE,Input!$B$2,ROW(My_Audit!A437))</f>
        <v>X437</v>
      </c>
      <c r="E438" s="2" t="str">
        <f>_xlfn.XLOOKUP(A438,My_Audit!A:A,My_Audit!D:D,"")&amp;""</f>
        <v/>
      </c>
    </row>
    <row r="439" spans="1:5">
      <c r="A439" s="2" t="str">
        <f>_xlfn.TEXTJOIN("",TRUE,Input!$B$2,ROW(My_Audit!A438))</f>
        <v>X438</v>
      </c>
      <c r="E439" s="2" t="str">
        <f>_xlfn.XLOOKUP(A439,My_Audit!A:A,My_Audit!D:D,"")&amp;""</f>
        <v/>
      </c>
    </row>
    <row r="440" spans="1:5">
      <c r="A440" s="2" t="str">
        <f>_xlfn.TEXTJOIN("",TRUE,Input!$B$2,ROW(My_Audit!A439))</f>
        <v>X439</v>
      </c>
      <c r="E440" s="2" t="str">
        <f>_xlfn.XLOOKUP(A440,My_Audit!A:A,My_Audit!D:D,"")&amp;""</f>
        <v/>
      </c>
    </row>
    <row r="441" spans="1:5">
      <c r="A441" s="2" t="str">
        <f>_xlfn.TEXTJOIN("",TRUE,Input!$B$2,ROW(My_Audit!A440))</f>
        <v>X440</v>
      </c>
      <c r="E441" s="2" t="str">
        <f>_xlfn.XLOOKUP(A441,My_Audit!A:A,My_Audit!D:D,"")&amp;""</f>
        <v/>
      </c>
    </row>
    <row r="442" spans="1:5">
      <c r="A442" s="2" t="str">
        <f>_xlfn.TEXTJOIN("",TRUE,Input!$B$2,ROW(My_Audit!A441))</f>
        <v>X441</v>
      </c>
      <c r="E442" s="2" t="str">
        <f>_xlfn.XLOOKUP(A442,My_Audit!A:A,My_Audit!D:D,"")&amp;""</f>
        <v/>
      </c>
    </row>
    <row r="443" spans="1:5">
      <c r="A443" s="2" t="str">
        <f>_xlfn.TEXTJOIN("",TRUE,Input!$B$2,ROW(My_Audit!A442))</f>
        <v>X442</v>
      </c>
      <c r="E443" s="2" t="str">
        <f>_xlfn.XLOOKUP(A443,My_Audit!A:A,My_Audit!D:D,"")&amp;""</f>
        <v/>
      </c>
    </row>
    <row r="444" spans="1:5">
      <c r="A444" s="2" t="str">
        <f>_xlfn.TEXTJOIN("",TRUE,Input!$B$2,ROW(My_Audit!A443))</f>
        <v>X443</v>
      </c>
      <c r="E444" s="2" t="str">
        <f>_xlfn.XLOOKUP(A444,My_Audit!A:A,My_Audit!D:D,"")&amp;""</f>
        <v/>
      </c>
    </row>
    <row r="445" spans="1:5">
      <c r="A445" s="2" t="str">
        <f>_xlfn.TEXTJOIN("",TRUE,Input!$B$2,ROW(My_Audit!A444))</f>
        <v>X444</v>
      </c>
      <c r="E445" s="2" t="str">
        <f>_xlfn.XLOOKUP(A445,My_Audit!A:A,My_Audit!D:D,"")&amp;""</f>
        <v/>
      </c>
    </row>
    <row r="446" spans="1:5">
      <c r="A446" s="2" t="str">
        <f>_xlfn.TEXTJOIN("",TRUE,Input!$B$2,ROW(My_Audit!A445))</f>
        <v>X445</v>
      </c>
      <c r="E446" s="2" t="str">
        <f>_xlfn.XLOOKUP(A446,My_Audit!A:A,My_Audit!D:D,"")&amp;""</f>
        <v/>
      </c>
    </row>
    <row r="447" spans="1:5">
      <c r="A447" s="2" t="str">
        <f>_xlfn.TEXTJOIN("",TRUE,Input!$B$2,ROW(My_Audit!A446))</f>
        <v>X446</v>
      </c>
      <c r="E447" s="2" t="str">
        <f>_xlfn.XLOOKUP(A447,My_Audit!A:A,My_Audit!D:D,"")&amp;""</f>
        <v/>
      </c>
    </row>
    <row r="448" spans="1:5">
      <c r="A448" s="2" t="str">
        <f>_xlfn.TEXTJOIN("",TRUE,Input!$B$2,ROW(My_Audit!A447))</f>
        <v>X447</v>
      </c>
      <c r="E448" s="2" t="str">
        <f>_xlfn.XLOOKUP(A448,My_Audit!A:A,My_Audit!D:D,"")&amp;""</f>
        <v/>
      </c>
    </row>
    <row r="449" spans="1:5">
      <c r="A449" s="2" t="str">
        <f>_xlfn.TEXTJOIN("",TRUE,Input!$B$2,ROW(My_Audit!A448))</f>
        <v>X448</v>
      </c>
      <c r="E449" s="2" t="str">
        <f>_xlfn.XLOOKUP(A449,My_Audit!A:A,My_Audit!D:D,"")&amp;""</f>
        <v/>
      </c>
    </row>
    <row r="450" spans="1:5">
      <c r="A450" s="2" t="str">
        <f>_xlfn.TEXTJOIN("",TRUE,Input!$B$2,ROW(My_Audit!A449))</f>
        <v>X449</v>
      </c>
      <c r="E450" s="2" t="str">
        <f>_xlfn.XLOOKUP(A450,My_Audit!A:A,My_Audit!D:D,"")&amp;""</f>
        <v/>
      </c>
    </row>
    <row r="451" spans="1:5">
      <c r="A451" s="2" t="str">
        <f>_xlfn.TEXTJOIN("",TRUE,Input!$B$2,ROW(My_Audit!A450))</f>
        <v>X450</v>
      </c>
      <c r="E451" s="2" t="str">
        <f>_xlfn.XLOOKUP(A451,My_Audit!A:A,My_Audit!D:D,"")&amp;""</f>
        <v/>
      </c>
    </row>
    <row r="452" spans="1:5">
      <c r="A452" s="2" t="str">
        <f>_xlfn.TEXTJOIN("",TRUE,Input!$B$2,ROW(My_Audit!A451))</f>
        <v>X451</v>
      </c>
      <c r="E452" s="2" t="str">
        <f>_xlfn.XLOOKUP(A452,My_Audit!A:A,My_Audit!D:D,"")&amp;""</f>
        <v/>
      </c>
    </row>
    <row r="453" spans="1:5">
      <c r="A453" s="2" t="str">
        <f>_xlfn.TEXTJOIN("",TRUE,Input!$B$2,ROW(My_Audit!A452))</f>
        <v>X452</v>
      </c>
      <c r="E453" s="2" t="str">
        <f>_xlfn.XLOOKUP(A453,My_Audit!A:A,My_Audit!D:D,"")&amp;""</f>
        <v/>
      </c>
    </row>
    <row r="454" spans="1:5">
      <c r="A454" s="2" t="str">
        <f>_xlfn.TEXTJOIN("",TRUE,Input!$B$2,ROW(My_Audit!A453))</f>
        <v>X453</v>
      </c>
      <c r="E454" s="2" t="str">
        <f>_xlfn.XLOOKUP(A454,My_Audit!A:A,My_Audit!D:D,"")&amp;""</f>
        <v/>
      </c>
    </row>
    <row r="455" spans="1:5">
      <c r="A455" s="2" t="str">
        <f>_xlfn.TEXTJOIN("",TRUE,Input!$B$2,ROW(My_Audit!A454))</f>
        <v>X454</v>
      </c>
      <c r="E455" s="2" t="str">
        <f>_xlfn.XLOOKUP(A455,My_Audit!A:A,My_Audit!D:D,"")&amp;""</f>
        <v/>
      </c>
    </row>
    <row r="456" spans="1:5">
      <c r="A456" s="2" t="str">
        <f>_xlfn.TEXTJOIN("",TRUE,Input!$B$2,ROW(My_Audit!A455))</f>
        <v>X455</v>
      </c>
      <c r="E456" s="2" t="str">
        <f>_xlfn.XLOOKUP(A456,My_Audit!A:A,My_Audit!D:D,"")&amp;""</f>
        <v/>
      </c>
    </row>
    <row r="457" spans="1:5">
      <c r="A457" s="2" t="str">
        <f>_xlfn.TEXTJOIN("",TRUE,Input!$B$2,ROW(My_Audit!A456))</f>
        <v>X456</v>
      </c>
      <c r="E457" s="2" t="str">
        <f>_xlfn.XLOOKUP(A457,My_Audit!A:A,My_Audit!D:D,"")&amp;""</f>
        <v/>
      </c>
    </row>
    <row r="458" spans="1:5">
      <c r="A458" s="2" t="str">
        <f>_xlfn.TEXTJOIN("",TRUE,Input!$B$2,ROW(My_Audit!A457))</f>
        <v>X457</v>
      </c>
      <c r="E458" s="2" t="str">
        <f>_xlfn.XLOOKUP(A458,My_Audit!A:A,My_Audit!D:D,"")&amp;""</f>
        <v/>
      </c>
    </row>
    <row r="459" spans="1:5">
      <c r="A459" s="2" t="str">
        <f>_xlfn.TEXTJOIN("",TRUE,Input!$B$2,ROW(My_Audit!A458))</f>
        <v>X458</v>
      </c>
      <c r="E459" s="2" t="str">
        <f>_xlfn.XLOOKUP(A459,My_Audit!A:A,My_Audit!D:D,"")&amp;""</f>
        <v/>
      </c>
    </row>
    <row r="460" spans="1:5">
      <c r="A460" s="2" t="str">
        <f>_xlfn.TEXTJOIN("",TRUE,Input!$B$2,ROW(My_Audit!A459))</f>
        <v>X459</v>
      </c>
      <c r="E460" s="2" t="str">
        <f>_xlfn.XLOOKUP(A460,My_Audit!A:A,My_Audit!D:D,"")&amp;""</f>
        <v/>
      </c>
    </row>
    <row r="461" spans="1:5">
      <c r="A461" s="2" t="str">
        <f>_xlfn.TEXTJOIN("",TRUE,Input!$B$2,ROW(My_Audit!A460))</f>
        <v>X460</v>
      </c>
      <c r="E461" s="2" t="str">
        <f>_xlfn.XLOOKUP(A461,My_Audit!A:A,My_Audit!D:D,"")&amp;""</f>
        <v/>
      </c>
    </row>
    <row r="462" spans="1:5">
      <c r="A462" s="2" t="str">
        <f>_xlfn.TEXTJOIN("",TRUE,Input!$B$2,ROW(My_Audit!A461))</f>
        <v>X461</v>
      </c>
      <c r="E462" s="2" t="str">
        <f>_xlfn.XLOOKUP(A462,My_Audit!A:A,My_Audit!D:D,"")&amp;""</f>
        <v/>
      </c>
    </row>
    <row r="463" spans="1:5">
      <c r="A463" s="2" t="str">
        <f>_xlfn.TEXTJOIN("",TRUE,Input!$B$2,ROW(My_Audit!A462))</f>
        <v>X462</v>
      </c>
      <c r="E463" s="2" t="str">
        <f>_xlfn.XLOOKUP(A463,My_Audit!A:A,My_Audit!D:D,"")&amp;""</f>
        <v/>
      </c>
    </row>
    <row r="464" spans="1:5">
      <c r="A464" s="2" t="str">
        <f>_xlfn.TEXTJOIN("",TRUE,Input!$B$2,ROW(My_Audit!A463))</f>
        <v>X463</v>
      </c>
      <c r="E464" s="2" t="str">
        <f>_xlfn.XLOOKUP(A464,My_Audit!A:A,My_Audit!D:D,"")&amp;""</f>
        <v/>
      </c>
    </row>
    <row r="465" spans="1:5">
      <c r="A465" s="2" t="str">
        <f>_xlfn.TEXTJOIN("",TRUE,Input!$B$2,ROW(My_Audit!A464))</f>
        <v>X464</v>
      </c>
      <c r="E465" s="2" t="str">
        <f>_xlfn.XLOOKUP(A465,My_Audit!A:A,My_Audit!D:D,"")&amp;""</f>
        <v/>
      </c>
    </row>
    <row r="466" spans="1:5">
      <c r="A466" s="2" t="str">
        <f>_xlfn.TEXTJOIN("",TRUE,Input!$B$2,ROW(My_Audit!A465))</f>
        <v>X465</v>
      </c>
      <c r="E466" s="2" t="str">
        <f>_xlfn.XLOOKUP(A466,My_Audit!A:A,My_Audit!D:D,"")&amp;""</f>
        <v/>
      </c>
    </row>
    <row r="467" spans="1:5">
      <c r="A467" s="2" t="str">
        <f>_xlfn.TEXTJOIN("",TRUE,Input!$B$2,ROW(My_Audit!A466))</f>
        <v>X466</v>
      </c>
      <c r="E467" s="2" t="str">
        <f>_xlfn.XLOOKUP(A467,My_Audit!A:A,My_Audit!D:D,"")&amp;""</f>
        <v/>
      </c>
    </row>
    <row r="468" spans="1:5">
      <c r="A468" s="2" t="str">
        <f>_xlfn.TEXTJOIN("",TRUE,Input!$B$2,ROW(My_Audit!A467))</f>
        <v>X467</v>
      </c>
      <c r="E468" s="2" t="str">
        <f>_xlfn.XLOOKUP(A468,My_Audit!A:A,My_Audit!D:D,"")&amp;""</f>
        <v/>
      </c>
    </row>
    <row r="469" spans="1:5">
      <c r="A469" s="2" t="str">
        <f>_xlfn.TEXTJOIN("",TRUE,Input!$B$2,ROW(My_Audit!A468))</f>
        <v>X468</v>
      </c>
      <c r="E469" s="2" t="str">
        <f>_xlfn.XLOOKUP(A469,My_Audit!A:A,My_Audit!D:D,"")&amp;""</f>
        <v/>
      </c>
    </row>
    <row r="470" spans="1:5">
      <c r="A470" s="2" t="str">
        <f>_xlfn.TEXTJOIN("",TRUE,Input!$B$2,ROW(My_Audit!A469))</f>
        <v>X469</v>
      </c>
      <c r="E470" s="2" t="str">
        <f>_xlfn.XLOOKUP(A470,My_Audit!A:A,My_Audit!D:D,"")&amp;""</f>
        <v/>
      </c>
    </row>
    <row r="471" spans="1:5">
      <c r="A471" s="2" t="str">
        <f>_xlfn.TEXTJOIN("",TRUE,Input!$B$2,ROW(My_Audit!A470))</f>
        <v>X470</v>
      </c>
      <c r="E471" s="2" t="str">
        <f>_xlfn.XLOOKUP(A471,My_Audit!A:A,My_Audit!D:D,"")&amp;""</f>
        <v/>
      </c>
    </row>
    <row r="472" spans="1:5">
      <c r="A472" s="2" t="str">
        <f>_xlfn.TEXTJOIN("",TRUE,Input!$B$2,ROW(My_Audit!A471))</f>
        <v>X471</v>
      </c>
      <c r="E472" s="2" t="str">
        <f>_xlfn.XLOOKUP(A472,My_Audit!A:A,My_Audit!D:D,"")&amp;""</f>
        <v/>
      </c>
    </row>
    <row r="473" spans="1:5">
      <c r="A473" s="2" t="str">
        <f>_xlfn.TEXTJOIN("",TRUE,Input!$B$2,ROW(My_Audit!A472))</f>
        <v>X472</v>
      </c>
      <c r="E473" s="2" t="str">
        <f>_xlfn.XLOOKUP(A473,My_Audit!A:A,My_Audit!D:D,"")&amp;""</f>
        <v/>
      </c>
    </row>
    <row r="474" spans="1:5">
      <c r="A474" s="2" t="str">
        <f>_xlfn.TEXTJOIN("",TRUE,Input!$B$2,ROW(My_Audit!A473))</f>
        <v>X473</v>
      </c>
      <c r="E474" s="2" t="str">
        <f>_xlfn.XLOOKUP(A474,My_Audit!A:A,My_Audit!D:D,"")&amp;""</f>
        <v/>
      </c>
    </row>
    <row r="475" spans="1:5">
      <c r="A475" s="2" t="str">
        <f>_xlfn.TEXTJOIN("",TRUE,Input!$B$2,ROW(My_Audit!A474))</f>
        <v>X474</v>
      </c>
      <c r="E475" s="2" t="str">
        <f>_xlfn.XLOOKUP(A475,My_Audit!A:A,My_Audit!D:D,"")&amp;""</f>
        <v/>
      </c>
    </row>
    <row r="476" spans="1:5">
      <c r="A476" s="2" t="str">
        <f>_xlfn.TEXTJOIN("",TRUE,Input!$B$2,ROW(My_Audit!A475))</f>
        <v>X475</v>
      </c>
      <c r="E476" s="2" t="str">
        <f>_xlfn.XLOOKUP(A476,My_Audit!A:A,My_Audit!D:D,"")&amp;""</f>
        <v/>
      </c>
    </row>
    <row r="477" spans="1:5">
      <c r="A477" s="2" t="str">
        <f>_xlfn.TEXTJOIN("",TRUE,Input!$B$2,ROW(My_Audit!A476))</f>
        <v>X476</v>
      </c>
      <c r="E477" s="2" t="str">
        <f>_xlfn.XLOOKUP(A477,My_Audit!A:A,My_Audit!D:D,"")&amp;""</f>
        <v/>
      </c>
    </row>
    <row r="478" spans="1:5">
      <c r="A478" s="2" t="str">
        <f>_xlfn.TEXTJOIN("",TRUE,Input!$B$2,ROW(My_Audit!A477))</f>
        <v>X477</v>
      </c>
      <c r="E478" s="2" t="str">
        <f>_xlfn.XLOOKUP(A478,My_Audit!A:A,My_Audit!D:D,"")&amp;""</f>
        <v/>
      </c>
    </row>
    <row r="479" spans="1:5">
      <c r="A479" s="2" t="str">
        <f>_xlfn.TEXTJOIN("",TRUE,Input!$B$2,ROW(My_Audit!A478))</f>
        <v>X478</v>
      </c>
      <c r="E479" s="2" t="str">
        <f>_xlfn.XLOOKUP(A479,My_Audit!A:A,My_Audit!D:D,"")&amp;""</f>
        <v/>
      </c>
    </row>
    <row r="480" spans="1:5">
      <c r="A480" s="2" t="str">
        <f>_xlfn.TEXTJOIN("",TRUE,Input!$B$2,ROW(My_Audit!A479))</f>
        <v>X479</v>
      </c>
      <c r="E480" s="2" t="str">
        <f>_xlfn.XLOOKUP(A480,My_Audit!A:A,My_Audit!D:D,"")&amp;""</f>
        <v/>
      </c>
    </row>
    <row r="481" spans="1:5">
      <c r="A481" s="2" t="str">
        <f>_xlfn.TEXTJOIN("",TRUE,Input!$B$2,ROW(My_Audit!A480))</f>
        <v>X480</v>
      </c>
      <c r="E481" s="2" t="str">
        <f>_xlfn.XLOOKUP(A481,My_Audit!A:A,My_Audit!D:D,"")&amp;""</f>
        <v/>
      </c>
    </row>
    <row r="482" spans="1:5">
      <c r="A482" s="2" t="str">
        <f>_xlfn.TEXTJOIN("",TRUE,Input!$B$2,ROW(My_Audit!A481))</f>
        <v>X481</v>
      </c>
      <c r="E482" s="2" t="str">
        <f>_xlfn.XLOOKUP(A482,My_Audit!A:A,My_Audit!D:D,"")&amp;""</f>
        <v/>
      </c>
    </row>
    <row r="483" spans="1:5">
      <c r="A483" s="2" t="str">
        <f>_xlfn.TEXTJOIN("",TRUE,Input!$B$2,ROW(My_Audit!A482))</f>
        <v>X482</v>
      </c>
      <c r="E483" s="2" t="str">
        <f>_xlfn.XLOOKUP(A483,My_Audit!A:A,My_Audit!D:D,"")&amp;""</f>
        <v/>
      </c>
    </row>
    <row r="484" spans="1:5">
      <c r="A484" s="2" t="str">
        <f>_xlfn.TEXTJOIN("",TRUE,Input!$B$2,ROW(My_Audit!A483))</f>
        <v>X483</v>
      </c>
      <c r="E484" s="2" t="str">
        <f>_xlfn.XLOOKUP(A484,My_Audit!A:A,My_Audit!D:D,"")&amp;""</f>
        <v/>
      </c>
    </row>
    <row r="485" spans="1:5">
      <c r="A485" s="2" t="str">
        <f>_xlfn.TEXTJOIN("",TRUE,Input!$B$2,ROW(My_Audit!A484))</f>
        <v>X484</v>
      </c>
      <c r="E485" s="2" t="str">
        <f>_xlfn.XLOOKUP(A485,My_Audit!A:A,My_Audit!D:D,"")&amp;""</f>
        <v/>
      </c>
    </row>
    <row r="486" spans="1:5">
      <c r="A486" s="2" t="str">
        <f>_xlfn.TEXTJOIN("",TRUE,Input!$B$2,ROW(My_Audit!A485))</f>
        <v>X485</v>
      </c>
      <c r="E486" s="2" t="str">
        <f>_xlfn.XLOOKUP(A486,My_Audit!A:A,My_Audit!D:D,"")&amp;""</f>
        <v/>
      </c>
    </row>
    <row r="487" spans="1:5">
      <c r="A487" s="2" t="str">
        <f>_xlfn.TEXTJOIN("",TRUE,Input!$B$2,ROW(My_Audit!A486))</f>
        <v>X486</v>
      </c>
      <c r="E487" s="2" t="str">
        <f>_xlfn.XLOOKUP(A487,My_Audit!A:A,My_Audit!D:D,"")&amp;""</f>
        <v/>
      </c>
    </row>
    <row r="488" spans="1:5">
      <c r="A488" s="2" t="str">
        <f>_xlfn.TEXTJOIN("",TRUE,Input!$B$2,ROW(My_Audit!A487))</f>
        <v>X487</v>
      </c>
      <c r="E488" s="2" t="str">
        <f>_xlfn.XLOOKUP(A488,My_Audit!A:A,My_Audit!D:D,"")&amp;""</f>
        <v/>
      </c>
    </row>
    <row r="489" spans="1:5">
      <c r="A489" s="2" t="str">
        <f>_xlfn.TEXTJOIN("",TRUE,Input!$B$2,ROW(My_Audit!A488))</f>
        <v>X488</v>
      </c>
      <c r="E489" s="2" t="str">
        <f>_xlfn.XLOOKUP(A489,My_Audit!A:A,My_Audit!D:D,"")&amp;""</f>
        <v/>
      </c>
    </row>
    <row r="490" spans="1:5">
      <c r="A490" s="2" t="str">
        <f>_xlfn.TEXTJOIN("",TRUE,Input!$B$2,ROW(My_Audit!A489))</f>
        <v>X489</v>
      </c>
      <c r="E490" s="2" t="str">
        <f>_xlfn.XLOOKUP(A490,My_Audit!A:A,My_Audit!D:D,"")&amp;""</f>
        <v/>
      </c>
    </row>
    <row r="491" spans="1:5">
      <c r="A491" s="2" t="str">
        <f>_xlfn.TEXTJOIN("",TRUE,Input!$B$2,ROW(My_Audit!A490))</f>
        <v>X490</v>
      </c>
      <c r="E491" s="2" t="str">
        <f>_xlfn.XLOOKUP(A491,My_Audit!A:A,My_Audit!D:D,"")&amp;""</f>
        <v/>
      </c>
    </row>
    <row r="492" spans="1:5">
      <c r="A492" s="2" t="str">
        <f>_xlfn.TEXTJOIN("",TRUE,Input!$B$2,ROW(My_Audit!A491))</f>
        <v>X491</v>
      </c>
      <c r="E492" s="2" t="str">
        <f>_xlfn.XLOOKUP(A492,My_Audit!A:A,My_Audit!D:D,"")&amp;""</f>
        <v/>
      </c>
    </row>
    <row r="493" spans="1:5">
      <c r="A493" s="2" t="str">
        <f>_xlfn.TEXTJOIN("",TRUE,Input!$B$2,ROW(My_Audit!A492))</f>
        <v>X492</v>
      </c>
      <c r="E493" s="2" t="str">
        <f>_xlfn.XLOOKUP(A493,My_Audit!A:A,My_Audit!D:D,"")&amp;""</f>
        <v/>
      </c>
    </row>
    <row r="494" spans="1:5">
      <c r="A494" s="2" t="str">
        <f>_xlfn.TEXTJOIN("",TRUE,Input!$B$2,ROW(My_Audit!A493))</f>
        <v>X493</v>
      </c>
      <c r="E494" s="2" t="str">
        <f>_xlfn.XLOOKUP(A494,My_Audit!A:A,My_Audit!D:D,"")&amp;""</f>
        <v/>
      </c>
    </row>
    <row r="495" spans="1:5">
      <c r="A495" s="2" t="str">
        <f>_xlfn.TEXTJOIN("",TRUE,Input!$B$2,ROW(My_Audit!A494))</f>
        <v>X494</v>
      </c>
      <c r="E495" s="2" t="str">
        <f>_xlfn.XLOOKUP(A495,My_Audit!A:A,My_Audit!D:D,"")&amp;""</f>
        <v/>
      </c>
    </row>
    <row r="496" spans="1:5">
      <c r="A496" s="2" t="str">
        <f>_xlfn.TEXTJOIN("",TRUE,Input!$B$2,ROW(My_Audit!A495))</f>
        <v>X495</v>
      </c>
      <c r="E496" s="2" t="str">
        <f>_xlfn.XLOOKUP(A496,My_Audit!A:A,My_Audit!D:D,"")&amp;""</f>
        <v/>
      </c>
    </row>
    <row r="497" spans="1:5">
      <c r="A497" s="2" t="str">
        <f>_xlfn.TEXTJOIN("",TRUE,Input!$B$2,ROW(My_Audit!A496))</f>
        <v>X496</v>
      </c>
      <c r="E497" s="2" t="str">
        <f>_xlfn.XLOOKUP(A497,My_Audit!A:A,My_Audit!D:D,"")&amp;""</f>
        <v/>
      </c>
    </row>
    <row r="498" spans="1:5">
      <c r="A498" s="2" t="str">
        <f>_xlfn.TEXTJOIN("",TRUE,Input!$B$2,ROW(My_Audit!A497))</f>
        <v>X497</v>
      </c>
      <c r="E498" s="2" t="str">
        <f>_xlfn.XLOOKUP(A498,My_Audit!A:A,My_Audit!D:D,"")&amp;""</f>
        <v/>
      </c>
    </row>
    <row r="499" spans="1:5">
      <c r="A499" s="2" t="str">
        <f>_xlfn.TEXTJOIN("",TRUE,Input!$B$2,ROW(My_Audit!A498))</f>
        <v>X498</v>
      </c>
      <c r="E499" s="2" t="str">
        <f>_xlfn.XLOOKUP(A499,My_Audit!A:A,My_Audit!D:D,"")&amp;""</f>
        <v/>
      </c>
    </row>
    <row r="500" spans="1:5">
      <c r="A500" s="2" t="str">
        <f>_xlfn.TEXTJOIN("",TRUE,Input!$B$2,ROW(My_Audit!A499))</f>
        <v>X499</v>
      </c>
      <c r="E500" s="2" t="str">
        <f>_xlfn.XLOOKUP(A500,My_Audit!A:A,My_Audit!D:D,"")&amp;""</f>
        <v/>
      </c>
    </row>
    <row r="501" spans="1:5">
      <c r="A501" s="2" t="str">
        <f>_xlfn.TEXTJOIN("",TRUE,Input!$B$2,ROW(My_Audit!A500))</f>
        <v>X500</v>
      </c>
      <c r="E501" s="2" t="str">
        <f>_xlfn.XLOOKUP(A501,My_Audit!A:A,My_Audit!D:D,"")&amp;""</f>
        <v/>
      </c>
    </row>
    <row r="502" spans="1:5">
      <c r="A502" s="2" t="str">
        <f>_xlfn.TEXTJOIN("",TRUE,Input!$B$2,ROW(My_Audit!A501))</f>
        <v>X501</v>
      </c>
      <c r="E502" s="2" t="str">
        <f>_xlfn.XLOOKUP(A502,My_Audit!A:A,My_Audit!D:D,"")&amp;""</f>
        <v/>
      </c>
    </row>
    <row r="503" spans="1:5">
      <c r="A503" s="2" t="str">
        <f>_xlfn.TEXTJOIN("",TRUE,Input!$B$2,ROW(My_Audit!A502))</f>
        <v>X502</v>
      </c>
      <c r="E503" s="2" t="str">
        <f>_xlfn.XLOOKUP(A503,My_Audit!A:A,My_Audit!D:D,"")&amp;""</f>
        <v/>
      </c>
    </row>
    <row r="504" spans="1:5">
      <c r="A504" s="2" t="str">
        <f>_xlfn.TEXTJOIN("",TRUE,Input!$B$2,ROW(My_Audit!A503))</f>
        <v>X503</v>
      </c>
      <c r="E504" s="2" t="str">
        <f>_xlfn.XLOOKUP(A504,My_Audit!A:A,My_Audit!D:D,"")&amp;""</f>
        <v/>
      </c>
    </row>
    <row r="505" spans="1:5">
      <c r="A505" s="2" t="str">
        <f>_xlfn.TEXTJOIN("",TRUE,Input!$B$2,ROW(My_Audit!A504))</f>
        <v>X504</v>
      </c>
      <c r="E505" s="2" t="str">
        <f>_xlfn.XLOOKUP(A505,My_Audit!A:A,My_Audit!D:D,"")&amp;""</f>
        <v/>
      </c>
    </row>
    <row r="506" spans="1:5">
      <c r="A506" s="2" t="str">
        <f>_xlfn.TEXTJOIN("",TRUE,Input!$B$2,ROW(My_Audit!A505))</f>
        <v>X505</v>
      </c>
      <c r="E506" s="2" t="str">
        <f>_xlfn.XLOOKUP(A506,My_Audit!A:A,My_Audit!D:D,"")&amp;""</f>
        <v/>
      </c>
    </row>
    <row r="507" spans="1:5">
      <c r="A507" s="2" t="str">
        <f>_xlfn.TEXTJOIN("",TRUE,Input!$B$2,ROW(My_Audit!A506))</f>
        <v>X506</v>
      </c>
      <c r="E507" s="2" t="str">
        <f>_xlfn.XLOOKUP(A507,My_Audit!A:A,My_Audit!D:D,"")&amp;""</f>
        <v/>
      </c>
    </row>
    <row r="508" spans="1:5">
      <c r="A508" s="2" t="str">
        <f>_xlfn.TEXTJOIN("",TRUE,Input!$B$2,ROW(My_Audit!A507))</f>
        <v>X507</v>
      </c>
      <c r="E508" s="2" t="str">
        <f>_xlfn.XLOOKUP(A508,My_Audit!A:A,My_Audit!D:D,"")&amp;""</f>
        <v/>
      </c>
    </row>
    <row r="509" spans="1:5">
      <c r="A509" s="2" t="str">
        <f>_xlfn.TEXTJOIN("",TRUE,Input!$B$2,ROW(My_Audit!A508))</f>
        <v>X508</v>
      </c>
      <c r="E509" s="2" t="str">
        <f>_xlfn.XLOOKUP(A509,My_Audit!A:A,My_Audit!D:D,"")&amp;""</f>
        <v/>
      </c>
    </row>
    <row r="510" spans="1:5">
      <c r="A510" s="2" t="str">
        <f>_xlfn.TEXTJOIN("",TRUE,Input!$B$2,ROW(My_Audit!A509))</f>
        <v>X509</v>
      </c>
      <c r="E510" s="2" t="str">
        <f>_xlfn.XLOOKUP(A510,My_Audit!A:A,My_Audit!D:D,"")&amp;""</f>
        <v/>
      </c>
    </row>
    <row r="511" spans="1:5">
      <c r="A511" s="2" t="str">
        <f>_xlfn.TEXTJOIN("",TRUE,Input!$B$2,ROW(My_Audit!A510))</f>
        <v>X510</v>
      </c>
      <c r="E511" s="2" t="str">
        <f>_xlfn.XLOOKUP(A511,My_Audit!A:A,My_Audit!D:D,"")&amp;""</f>
        <v/>
      </c>
    </row>
    <row r="512" spans="1:5">
      <c r="A512" s="2" t="str">
        <f>_xlfn.TEXTJOIN("",TRUE,Input!$B$2,ROW(My_Audit!A511))</f>
        <v>X511</v>
      </c>
      <c r="E512" s="2" t="str">
        <f>_xlfn.XLOOKUP(A512,My_Audit!A:A,My_Audit!D:D,"")&amp;""</f>
        <v/>
      </c>
    </row>
    <row r="513" spans="1:5">
      <c r="A513" s="2" t="str">
        <f>_xlfn.TEXTJOIN("",TRUE,Input!$B$2,ROW(My_Audit!A512))</f>
        <v>X512</v>
      </c>
      <c r="E513" s="2" t="str">
        <f>_xlfn.XLOOKUP(A513,My_Audit!A:A,My_Audit!D:D,"")&amp;""</f>
        <v/>
      </c>
    </row>
    <row r="514" spans="1:5">
      <c r="A514" s="2" t="str">
        <f>_xlfn.TEXTJOIN("",TRUE,Input!$B$2,ROW(My_Audit!A513))</f>
        <v>X513</v>
      </c>
    </row>
    <row r="515" spans="1:5">
      <c r="A515" s="2" t="str">
        <f>_xlfn.TEXTJOIN("",TRUE,Input!$B$2,ROW(My_Audit!A514))</f>
        <v>X514</v>
      </c>
    </row>
    <row r="516" spans="1:5">
      <c r="A516" s="2" t="str">
        <f>_xlfn.TEXTJOIN("",TRUE,Input!$B$2,ROW(My_Audit!A515))</f>
        <v>X515</v>
      </c>
    </row>
    <row r="517" spans="1:5">
      <c r="A517" s="2" t="str">
        <f>_xlfn.TEXTJOIN("",TRUE,Input!$B$2,ROW(My_Audit!A516))</f>
        <v>X516</v>
      </c>
    </row>
    <row r="518" spans="1:5">
      <c r="A518" s="2" t="str">
        <f>_xlfn.TEXTJOIN("",TRUE,Input!$B$2,ROW(My_Audit!A517))</f>
        <v>X517</v>
      </c>
    </row>
    <row r="519" spans="1:5">
      <c r="A519" s="2" t="str">
        <f>_xlfn.TEXTJOIN("",TRUE,Input!$B$2,ROW(My_Audit!A518))</f>
        <v>X518</v>
      </c>
    </row>
    <row r="520" spans="1:5">
      <c r="A520" s="2" t="str">
        <f>_xlfn.TEXTJOIN("",TRUE,Input!$B$2,ROW(My_Audit!A519))</f>
        <v>X519</v>
      </c>
    </row>
    <row r="521" spans="1:5">
      <c r="A521" s="2" t="str">
        <f>_xlfn.TEXTJOIN("",TRUE,Input!$B$2,ROW(My_Audit!A520))</f>
        <v>X520</v>
      </c>
    </row>
    <row r="522" spans="1:5">
      <c r="A522" s="2" t="str">
        <f>_xlfn.TEXTJOIN("",TRUE,Input!$B$2,ROW(My_Audit!A521))</f>
        <v>X521</v>
      </c>
    </row>
    <row r="523" spans="1:5">
      <c r="A523" s="2" t="str">
        <f>_xlfn.TEXTJOIN("",TRUE,Input!$B$2,ROW(My_Audit!A522))</f>
        <v>X522</v>
      </c>
    </row>
    <row r="524" spans="1:5">
      <c r="A524" s="2" t="str">
        <f>_xlfn.TEXTJOIN("",TRUE,Input!$B$2,ROW(My_Audit!A523))</f>
        <v>X523</v>
      </c>
    </row>
    <row r="525" spans="1:5">
      <c r="A525" s="2" t="str">
        <f>_xlfn.TEXTJOIN("",TRUE,Input!$B$2,ROW(My_Audit!A524))</f>
        <v>X524</v>
      </c>
    </row>
    <row r="526" spans="1:5">
      <c r="A526" s="2" t="str">
        <f>_xlfn.TEXTJOIN("",TRUE,Input!$B$2,ROW(My_Audit!A525))</f>
        <v>X525</v>
      </c>
    </row>
    <row r="527" spans="1:5">
      <c r="A527" s="2" t="str">
        <f>_xlfn.TEXTJOIN("",TRUE,Input!$B$2,ROW(My_Audit!A526))</f>
        <v>X526</v>
      </c>
    </row>
    <row r="528" spans="1:5">
      <c r="A528" s="2" t="str">
        <f>_xlfn.TEXTJOIN("",TRUE,Input!$B$2,ROW(My_Audit!A527))</f>
        <v>X527</v>
      </c>
    </row>
    <row r="529" spans="1:1">
      <c r="A529" s="2" t="str">
        <f>_xlfn.TEXTJOIN("",TRUE,Input!$B$2,ROW(My_Audit!A528))</f>
        <v>X528</v>
      </c>
    </row>
    <row r="530" spans="1:1">
      <c r="A530" s="2" t="str">
        <f>_xlfn.TEXTJOIN("",TRUE,Input!$B$2,ROW(My_Audit!A529))</f>
        <v>X529</v>
      </c>
    </row>
    <row r="531" spans="1:1">
      <c r="A531" s="2" t="str">
        <f>_xlfn.TEXTJOIN("",TRUE,Input!$B$2,ROW(My_Audit!A530))</f>
        <v>X530</v>
      </c>
    </row>
    <row r="532" spans="1:1">
      <c r="A532" s="2" t="str">
        <f>_xlfn.TEXTJOIN("",TRUE,Input!$B$2,ROW(My_Audit!A531))</f>
        <v>X531</v>
      </c>
    </row>
    <row r="533" spans="1:1">
      <c r="A533" s="2" t="str">
        <f>_xlfn.TEXTJOIN("",TRUE,Input!$B$2,ROW(My_Audit!A532))</f>
        <v>X532</v>
      </c>
    </row>
    <row r="534" spans="1:1">
      <c r="A534" s="2" t="str">
        <f>_xlfn.TEXTJOIN("",TRUE,Input!$B$2,ROW(My_Audit!A533))</f>
        <v>X533</v>
      </c>
    </row>
    <row r="535" spans="1:1">
      <c r="A535" s="2" t="str">
        <f>_xlfn.TEXTJOIN("",TRUE,Input!$B$2,ROW(My_Audit!A534))</f>
        <v>X534</v>
      </c>
    </row>
    <row r="536" spans="1:1">
      <c r="A536" s="2" t="str">
        <f>_xlfn.TEXTJOIN("",TRUE,Input!$B$2,ROW(My_Audit!A535))</f>
        <v>X535</v>
      </c>
    </row>
    <row r="537" spans="1:1">
      <c r="A537" s="2" t="str">
        <f>_xlfn.TEXTJOIN("",TRUE,Input!$B$2,ROW(My_Audit!A536))</f>
        <v>X536</v>
      </c>
    </row>
    <row r="538" spans="1:1">
      <c r="A538" s="2" t="str">
        <f>_xlfn.TEXTJOIN("",TRUE,Input!$B$2,ROW(My_Audit!A537))</f>
        <v>X537</v>
      </c>
    </row>
    <row r="539" spans="1:1">
      <c r="A539" s="2" t="str">
        <f>_xlfn.TEXTJOIN("",TRUE,Input!$B$2,ROW(My_Audit!A538))</f>
        <v>X538</v>
      </c>
    </row>
    <row r="540" spans="1:1">
      <c r="A540" s="2" t="str">
        <f>_xlfn.TEXTJOIN("",TRUE,Input!$B$2,ROW(My_Audit!A539))</f>
        <v>X539</v>
      </c>
    </row>
    <row r="541" spans="1:1">
      <c r="A541" s="2" t="str">
        <f>_xlfn.TEXTJOIN("",TRUE,Input!$B$2,ROW(My_Audit!A540))</f>
        <v>X540</v>
      </c>
    </row>
    <row r="542" spans="1:1">
      <c r="A542" s="2" t="str">
        <f>_xlfn.TEXTJOIN("",TRUE,Input!$B$2,ROW(My_Audit!A541))</f>
        <v>X541</v>
      </c>
    </row>
    <row r="543" spans="1:1">
      <c r="A543" s="2" t="str">
        <f>_xlfn.TEXTJOIN("",TRUE,Input!$B$2,ROW(My_Audit!A542))</f>
        <v>X542</v>
      </c>
    </row>
    <row r="544" spans="1:1">
      <c r="A544" s="2" t="str">
        <f>_xlfn.TEXTJOIN("",TRUE,Input!$B$2,ROW(My_Audit!A543))</f>
        <v>X543</v>
      </c>
    </row>
    <row r="545" spans="1:1">
      <c r="A545" s="2" t="str">
        <f>_xlfn.TEXTJOIN("",TRUE,Input!$B$2,ROW(My_Audit!A544))</f>
        <v>X544</v>
      </c>
    </row>
    <row r="546" spans="1:1">
      <c r="A546" s="2" t="str">
        <f>_xlfn.TEXTJOIN("",TRUE,Input!$B$2,ROW(My_Audit!A545))</f>
        <v>X545</v>
      </c>
    </row>
    <row r="547" spans="1:1">
      <c r="A547" s="2" t="str">
        <f>_xlfn.TEXTJOIN("",TRUE,Input!$B$2,ROW(My_Audit!A546))</f>
        <v>X546</v>
      </c>
    </row>
    <row r="548" spans="1:1">
      <c r="A548" s="2" t="str">
        <f>_xlfn.TEXTJOIN("",TRUE,Input!$B$2,ROW(My_Audit!A547))</f>
        <v>X547</v>
      </c>
    </row>
    <row r="549" spans="1:1">
      <c r="A549" s="2" t="str">
        <f>_xlfn.TEXTJOIN("",TRUE,Input!$B$2,ROW(My_Audit!A548))</f>
        <v>X548</v>
      </c>
    </row>
    <row r="550" spans="1:1">
      <c r="A550" s="2" t="str">
        <f>_xlfn.TEXTJOIN("",TRUE,Input!$B$2,ROW(My_Audit!A549))</f>
        <v>X549</v>
      </c>
    </row>
    <row r="551" spans="1:1">
      <c r="A551" s="2" t="str">
        <f>_xlfn.TEXTJOIN("",TRUE,Input!$B$2,ROW(My_Audit!A550))</f>
        <v>X550</v>
      </c>
    </row>
    <row r="552" spans="1:1">
      <c r="A552" s="2" t="str">
        <f>_xlfn.TEXTJOIN("",TRUE,Input!$B$2,ROW(My_Audit!A551))</f>
        <v>X551</v>
      </c>
    </row>
    <row r="553" spans="1:1">
      <c r="A553" s="2" t="str">
        <f>_xlfn.TEXTJOIN("",TRUE,Input!$B$2,ROW(My_Audit!A552))</f>
        <v>X552</v>
      </c>
    </row>
    <row r="554" spans="1:1">
      <c r="A554" s="2" t="str">
        <f>_xlfn.TEXTJOIN("",TRUE,Input!$B$2,ROW(My_Audit!A553))</f>
        <v>X553</v>
      </c>
    </row>
    <row r="555" spans="1:1">
      <c r="A555" s="2" t="str">
        <f>_xlfn.TEXTJOIN("",TRUE,Input!$B$2,ROW(My_Audit!A554))</f>
        <v>X554</v>
      </c>
    </row>
    <row r="556" spans="1:1">
      <c r="A556" s="2" t="str">
        <f>_xlfn.TEXTJOIN("",TRUE,Input!$B$2,ROW(My_Audit!A555))</f>
        <v>X555</v>
      </c>
    </row>
    <row r="557" spans="1:1">
      <c r="A557" s="2" t="str">
        <f>_xlfn.TEXTJOIN("",TRUE,Input!$B$2,ROW(My_Audit!A556))</f>
        <v>X556</v>
      </c>
    </row>
    <row r="558" spans="1:1">
      <c r="A558" s="2" t="str">
        <f>_xlfn.TEXTJOIN("",TRUE,Input!$B$2,ROW(My_Audit!A557))</f>
        <v>X557</v>
      </c>
    </row>
    <row r="559" spans="1:1">
      <c r="A559" s="2" t="str">
        <f>_xlfn.TEXTJOIN("",TRUE,Input!$B$2,ROW(My_Audit!A558))</f>
        <v>X558</v>
      </c>
    </row>
    <row r="560" spans="1:1">
      <c r="A560" s="2" t="str">
        <f>_xlfn.TEXTJOIN("",TRUE,Input!$B$2,ROW(My_Audit!A559))</f>
        <v>X559</v>
      </c>
    </row>
    <row r="561" spans="1:1">
      <c r="A561" s="2" t="str">
        <f>_xlfn.TEXTJOIN("",TRUE,Input!$B$2,ROW(My_Audit!A560))</f>
        <v>X560</v>
      </c>
    </row>
    <row r="562" spans="1:1">
      <c r="A562" s="2" t="str">
        <f>_xlfn.TEXTJOIN("",TRUE,Input!$B$2,ROW(My_Audit!A561))</f>
        <v>X561</v>
      </c>
    </row>
    <row r="563" spans="1:1">
      <c r="A563" s="2" t="str">
        <f>_xlfn.TEXTJOIN("",TRUE,Input!$B$2,ROW(My_Audit!A562))</f>
        <v>X562</v>
      </c>
    </row>
    <row r="564" spans="1:1">
      <c r="A564" s="2" t="str">
        <f>_xlfn.TEXTJOIN("",TRUE,Input!$B$2,ROW(My_Audit!A563))</f>
        <v>X563</v>
      </c>
    </row>
    <row r="565" spans="1:1">
      <c r="A565" s="2" t="str">
        <f>_xlfn.TEXTJOIN("",TRUE,Input!$B$2,ROW(My_Audit!A564))</f>
        <v>X564</v>
      </c>
    </row>
    <row r="566" spans="1:1">
      <c r="A566" s="2" t="str">
        <f>_xlfn.TEXTJOIN("",TRUE,Input!$B$2,ROW(My_Audit!A565))</f>
        <v>X565</v>
      </c>
    </row>
    <row r="567" spans="1:1">
      <c r="A567" s="2" t="str">
        <f>_xlfn.TEXTJOIN("",TRUE,Input!$B$2,ROW(My_Audit!A566))</f>
        <v>X566</v>
      </c>
    </row>
    <row r="568" spans="1:1">
      <c r="A568" s="2" t="str">
        <f>_xlfn.TEXTJOIN("",TRUE,Input!$B$2,ROW(My_Audit!A567))</f>
        <v>X567</v>
      </c>
    </row>
    <row r="569" spans="1:1">
      <c r="A569" s="2" t="str">
        <f>_xlfn.TEXTJOIN("",TRUE,Input!$B$2,ROW(My_Audit!A568))</f>
        <v>X568</v>
      </c>
    </row>
    <row r="570" spans="1:1">
      <c r="A570" s="2" t="str">
        <f>_xlfn.TEXTJOIN("",TRUE,Input!$B$2,ROW(My_Audit!A569))</f>
        <v>X569</v>
      </c>
    </row>
    <row r="571" spans="1:1">
      <c r="A571" s="2" t="str">
        <f>_xlfn.TEXTJOIN("",TRUE,Input!$B$2,ROW(My_Audit!A570))</f>
        <v>X570</v>
      </c>
    </row>
    <row r="572" spans="1:1">
      <c r="A572" s="2" t="str">
        <f>_xlfn.TEXTJOIN("",TRUE,Input!$B$2,ROW(My_Audit!A571))</f>
        <v>X571</v>
      </c>
    </row>
    <row r="573" spans="1:1">
      <c r="A573" s="2" t="str">
        <f>_xlfn.TEXTJOIN("",TRUE,Input!$B$2,ROW(My_Audit!A572))</f>
        <v>X572</v>
      </c>
    </row>
    <row r="574" spans="1:1">
      <c r="A574" s="2" t="str">
        <f>_xlfn.TEXTJOIN("",TRUE,Input!$B$2,ROW(My_Audit!A573))</f>
        <v>X573</v>
      </c>
    </row>
    <row r="575" spans="1:1">
      <c r="A575" s="2" t="str">
        <f>_xlfn.TEXTJOIN("",TRUE,Input!$B$2,ROW(My_Audit!A574))</f>
        <v>X574</v>
      </c>
    </row>
    <row r="576" spans="1:1">
      <c r="A576" s="2" t="str">
        <f>_xlfn.TEXTJOIN("",TRUE,Input!$B$2,ROW(My_Audit!A575))</f>
        <v>X575</v>
      </c>
    </row>
    <row r="577" spans="1:1">
      <c r="A577" s="2" t="str">
        <f>_xlfn.TEXTJOIN("",TRUE,Input!$B$2,ROW(My_Audit!A576))</f>
        <v>X576</v>
      </c>
    </row>
    <row r="578" spans="1:1">
      <c r="A578" s="2" t="str">
        <f>_xlfn.TEXTJOIN("",TRUE,Input!$B$2,ROW(My_Audit!A577))</f>
        <v>X577</v>
      </c>
    </row>
    <row r="579" spans="1:1">
      <c r="A579" s="2" t="str">
        <f>_xlfn.TEXTJOIN("",TRUE,Input!$B$2,ROW(My_Audit!A578))</f>
        <v>X578</v>
      </c>
    </row>
    <row r="580" spans="1:1">
      <c r="A580" s="2" t="str">
        <f>_xlfn.TEXTJOIN("",TRUE,Input!$B$2,ROW(My_Audit!A579))</f>
        <v>X579</v>
      </c>
    </row>
    <row r="581" spans="1:1">
      <c r="A581" s="2" t="str">
        <f>_xlfn.TEXTJOIN("",TRUE,Input!$B$2,ROW(My_Audit!A580))</f>
        <v>X580</v>
      </c>
    </row>
    <row r="582" spans="1:1">
      <c r="A582" s="2" t="str">
        <f>_xlfn.TEXTJOIN("",TRUE,Input!$B$2,ROW(My_Audit!A581))</f>
        <v>X581</v>
      </c>
    </row>
    <row r="583" spans="1:1">
      <c r="A583" s="2" t="str">
        <f>_xlfn.TEXTJOIN("",TRUE,Input!$B$2,ROW(My_Audit!A582))</f>
        <v>X582</v>
      </c>
    </row>
    <row r="584" spans="1:1">
      <c r="A584" s="2" t="str">
        <f>_xlfn.TEXTJOIN("",TRUE,Input!$B$2,ROW(My_Audit!A583))</f>
        <v>X583</v>
      </c>
    </row>
    <row r="585" spans="1:1">
      <c r="A585" s="2" t="str">
        <f>_xlfn.TEXTJOIN("",TRUE,Input!$B$2,ROW(My_Audit!A584))</f>
        <v>X584</v>
      </c>
    </row>
    <row r="586" spans="1:1">
      <c r="A586" s="2" t="str">
        <f>_xlfn.TEXTJOIN("",TRUE,Input!$B$2,ROW(My_Audit!A585))</f>
        <v>X585</v>
      </c>
    </row>
    <row r="587" spans="1:1">
      <c r="A587" s="2" t="str">
        <f>_xlfn.TEXTJOIN("",TRUE,Input!$B$2,ROW(My_Audit!A586))</f>
        <v>X586</v>
      </c>
    </row>
    <row r="588" spans="1:1">
      <c r="A588" s="2" t="str">
        <f>_xlfn.TEXTJOIN("",TRUE,Input!$B$2,ROW(My_Audit!A587))</f>
        <v>X587</v>
      </c>
    </row>
    <row r="589" spans="1:1">
      <c r="A589" s="2" t="str">
        <f>_xlfn.TEXTJOIN("",TRUE,Input!$B$2,ROW(My_Audit!A588))</f>
        <v>X588</v>
      </c>
    </row>
    <row r="590" spans="1:1">
      <c r="A590" s="2" t="str">
        <f>_xlfn.TEXTJOIN("",TRUE,Input!$B$2,ROW(My_Audit!A589))</f>
        <v>X589</v>
      </c>
    </row>
    <row r="591" spans="1:1">
      <c r="A591" s="2" t="str">
        <f>_xlfn.TEXTJOIN("",TRUE,Input!$B$2,ROW(My_Audit!A590))</f>
        <v>X590</v>
      </c>
    </row>
    <row r="592" spans="1:1">
      <c r="A592" s="2" t="str">
        <f>_xlfn.TEXTJOIN("",TRUE,Input!$B$2,ROW(My_Audit!A591))</f>
        <v>X591</v>
      </c>
    </row>
    <row r="593" spans="1:1">
      <c r="A593" s="2" t="str">
        <f>_xlfn.TEXTJOIN("",TRUE,Input!$B$2,ROW(My_Audit!A592))</f>
        <v>X592</v>
      </c>
    </row>
    <row r="594" spans="1:1">
      <c r="A594" s="2" t="str">
        <f>_xlfn.TEXTJOIN("",TRUE,Input!$B$2,ROW(My_Audit!A593))</f>
        <v>X593</v>
      </c>
    </row>
    <row r="595" spans="1:1">
      <c r="A595" s="2" t="str">
        <f>_xlfn.TEXTJOIN("",TRUE,Input!$B$2,ROW(My_Audit!A594))</f>
        <v>X594</v>
      </c>
    </row>
    <row r="596" spans="1:1">
      <c r="A596" s="2" t="str">
        <f>_xlfn.TEXTJOIN("",TRUE,Input!$B$2,ROW(My_Audit!A595))</f>
        <v>X595</v>
      </c>
    </row>
    <row r="597" spans="1:1">
      <c r="A597" s="2" t="str">
        <f>_xlfn.TEXTJOIN("",TRUE,Input!$B$2,ROW(My_Audit!A596))</f>
        <v>X596</v>
      </c>
    </row>
    <row r="598" spans="1:1">
      <c r="A598" s="2" t="str">
        <f>_xlfn.TEXTJOIN("",TRUE,Input!$B$2,ROW(My_Audit!A597))</f>
        <v>X597</v>
      </c>
    </row>
    <row r="599" spans="1:1">
      <c r="A599" s="2" t="str">
        <f>_xlfn.TEXTJOIN("",TRUE,Input!$B$2,ROW(My_Audit!A598))</f>
        <v>X598</v>
      </c>
    </row>
    <row r="600" spans="1:1">
      <c r="A600" s="2" t="str">
        <f>_xlfn.TEXTJOIN("",TRUE,Input!$B$2,ROW(My_Audit!A599))</f>
        <v>X599</v>
      </c>
    </row>
    <row r="601" spans="1:1">
      <c r="A601" s="2" t="str">
        <f>_xlfn.TEXTJOIN("",TRUE,Input!$B$2,ROW(My_Audit!A600))</f>
        <v>X600</v>
      </c>
    </row>
    <row r="602" spans="1:1">
      <c r="A602" s="2" t="str">
        <f>_xlfn.TEXTJOIN("",TRUE,Input!$B$2,ROW(My_Audit!A601))</f>
        <v>X601</v>
      </c>
    </row>
    <row r="603" spans="1:1">
      <c r="A603" s="2" t="str">
        <f>_xlfn.TEXTJOIN("",TRUE,Input!$B$2,ROW(My_Audit!A602))</f>
        <v>X602</v>
      </c>
    </row>
    <row r="604" spans="1:1">
      <c r="A604" s="2" t="str">
        <f>_xlfn.TEXTJOIN("",TRUE,Input!$B$2,ROW(My_Audit!A603))</f>
        <v>X603</v>
      </c>
    </row>
    <row r="605" spans="1:1">
      <c r="A605" s="2" t="str">
        <f>_xlfn.TEXTJOIN("",TRUE,Input!$B$2,ROW(My_Audit!A604))</f>
        <v>X604</v>
      </c>
    </row>
    <row r="606" spans="1:1">
      <c r="A606" s="2" t="str">
        <f>_xlfn.TEXTJOIN("",TRUE,Input!$B$2,ROW(My_Audit!A605))</f>
        <v>X605</v>
      </c>
    </row>
    <row r="607" spans="1:1">
      <c r="A607" s="2" t="str">
        <f>_xlfn.TEXTJOIN("",TRUE,Input!$B$2,ROW(My_Audit!A606))</f>
        <v>X606</v>
      </c>
    </row>
    <row r="608" spans="1:1">
      <c r="A608" s="2" t="str">
        <f>_xlfn.TEXTJOIN("",TRUE,Input!$B$2,ROW(My_Audit!A607))</f>
        <v>X607</v>
      </c>
    </row>
    <row r="609" spans="1:1">
      <c r="A609" s="2" t="str">
        <f>_xlfn.TEXTJOIN("",TRUE,Input!$B$2,ROW(My_Audit!A608))</f>
        <v>X608</v>
      </c>
    </row>
    <row r="610" spans="1:1">
      <c r="A610" s="2" t="str">
        <f>_xlfn.TEXTJOIN("",TRUE,Input!$B$2,ROW(My_Audit!A609))</f>
        <v>X609</v>
      </c>
    </row>
    <row r="611" spans="1:1">
      <c r="A611" s="2" t="str">
        <f>_xlfn.TEXTJOIN("",TRUE,Input!$B$2,ROW(My_Audit!A610))</f>
        <v>X610</v>
      </c>
    </row>
    <row r="612" spans="1:1">
      <c r="A612" s="2" t="str">
        <f>_xlfn.TEXTJOIN("",TRUE,Input!$B$2,ROW(My_Audit!A611))</f>
        <v>X611</v>
      </c>
    </row>
    <row r="613" spans="1:1">
      <c r="A613" s="2" t="str">
        <f>_xlfn.TEXTJOIN("",TRUE,Input!$B$2,ROW(My_Audit!A612))</f>
        <v>X612</v>
      </c>
    </row>
    <row r="614" spans="1:1">
      <c r="A614" s="2" t="str">
        <f>_xlfn.TEXTJOIN("",TRUE,Input!$B$2,ROW(My_Audit!A613))</f>
        <v>X613</v>
      </c>
    </row>
    <row r="615" spans="1:1">
      <c r="A615" s="2" t="str">
        <f>_xlfn.TEXTJOIN("",TRUE,Input!$B$2,ROW(My_Audit!A614))</f>
        <v>X614</v>
      </c>
    </row>
    <row r="616" spans="1:1">
      <c r="A616" s="2" t="str">
        <f>_xlfn.TEXTJOIN("",TRUE,Input!$B$2,ROW(My_Audit!A615))</f>
        <v>X615</v>
      </c>
    </row>
    <row r="617" spans="1:1">
      <c r="A617" s="2" t="str">
        <f>_xlfn.TEXTJOIN("",TRUE,Input!$B$2,ROW(My_Audit!A616))</f>
        <v>X616</v>
      </c>
    </row>
    <row r="618" spans="1:1">
      <c r="A618" s="2" t="str">
        <f>_xlfn.TEXTJOIN("",TRUE,Input!$B$2,ROW(My_Audit!A617))</f>
        <v>X617</v>
      </c>
    </row>
    <row r="619" spans="1:1">
      <c r="A619" s="2" t="str">
        <f>_xlfn.TEXTJOIN("",TRUE,Input!$B$2,ROW(My_Audit!A618))</f>
        <v>X618</v>
      </c>
    </row>
    <row r="620" spans="1:1">
      <c r="A620" s="2" t="str">
        <f>_xlfn.TEXTJOIN("",TRUE,Input!$B$2,ROW(My_Audit!A619))</f>
        <v>X619</v>
      </c>
    </row>
    <row r="621" spans="1:1">
      <c r="A621" s="2" t="str">
        <f>_xlfn.TEXTJOIN("",TRUE,Input!$B$2,ROW(My_Audit!A620))</f>
        <v>X620</v>
      </c>
    </row>
    <row r="622" spans="1:1">
      <c r="A622" s="2" t="str">
        <f>_xlfn.TEXTJOIN("",TRUE,Input!$B$2,ROW(My_Audit!A621))</f>
        <v>X621</v>
      </c>
    </row>
    <row r="623" spans="1:1">
      <c r="A623" s="2" t="str">
        <f>_xlfn.TEXTJOIN("",TRUE,Input!$B$2,ROW(My_Audit!A622))</f>
        <v>X622</v>
      </c>
    </row>
    <row r="624" spans="1:1">
      <c r="A624" s="2" t="str">
        <f>_xlfn.TEXTJOIN("",TRUE,Input!$B$2,ROW(My_Audit!A623))</f>
        <v>X623</v>
      </c>
    </row>
    <row r="625" spans="1:1">
      <c r="A625" s="2" t="str">
        <f>_xlfn.TEXTJOIN("",TRUE,Input!$B$2,ROW(My_Audit!A624))</f>
        <v>X624</v>
      </c>
    </row>
    <row r="626" spans="1:1">
      <c r="A626" s="2" t="str">
        <f>_xlfn.TEXTJOIN("",TRUE,Input!$B$2,ROW(My_Audit!A625))</f>
        <v>X625</v>
      </c>
    </row>
    <row r="627" spans="1:1">
      <c r="A627" s="2" t="str">
        <f>_xlfn.TEXTJOIN("",TRUE,Input!$B$2,ROW(My_Audit!A626))</f>
        <v>X626</v>
      </c>
    </row>
    <row r="628" spans="1:1">
      <c r="A628" s="2" t="str">
        <f>_xlfn.TEXTJOIN("",TRUE,Input!$B$2,ROW(My_Audit!A627))</f>
        <v>X627</v>
      </c>
    </row>
    <row r="629" spans="1:1">
      <c r="A629" s="2" t="str">
        <f>_xlfn.TEXTJOIN("",TRUE,Input!$B$2,ROW(My_Audit!A628))</f>
        <v>X628</v>
      </c>
    </row>
    <row r="630" spans="1:1">
      <c r="A630" s="2" t="str">
        <f>_xlfn.TEXTJOIN("",TRUE,Input!$B$2,ROW(My_Audit!A629))</f>
        <v>X629</v>
      </c>
    </row>
    <row r="631" spans="1:1">
      <c r="A631" s="2" t="str">
        <f>_xlfn.TEXTJOIN("",TRUE,Input!$B$2,ROW(My_Audit!A630))</f>
        <v>X630</v>
      </c>
    </row>
    <row r="632" spans="1:1">
      <c r="A632" s="2" t="str">
        <f>_xlfn.TEXTJOIN("",TRUE,Input!$B$2,ROW(My_Audit!A631))</f>
        <v>X631</v>
      </c>
    </row>
    <row r="633" spans="1:1">
      <c r="A633" s="2" t="str">
        <f>_xlfn.TEXTJOIN("",TRUE,Input!$B$2,ROW(My_Audit!A632))</f>
        <v>X632</v>
      </c>
    </row>
    <row r="634" spans="1:1">
      <c r="A634" s="2" t="str">
        <f>_xlfn.TEXTJOIN("",TRUE,Input!$B$2,ROW(My_Audit!A633))</f>
        <v>X633</v>
      </c>
    </row>
    <row r="635" spans="1:1">
      <c r="A635" s="2" t="str">
        <f>_xlfn.TEXTJOIN("",TRUE,Input!$B$2,ROW(My_Audit!A634))</f>
        <v>X634</v>
      </c>
    </row>
    <row r="636" spans="1:1">
      <c r="A636" s="2" t="str">
        <f>_xlfn.TEXTJOIN("",TRUE,Input!$B$2,ROW(My_Audit!A635))</f>
        <v>X635</v>
      </c>
    </row>
    <row r="637" spans="1:1">
      <c r="A637" s="2" t="str">
        <f>_xlfn.TEXTJOIN("",TRUE,Input!$B$2,ROW(My_Audit!A636))</f>
        <v>X636</v>
      </c>
    </row>
    <row r="638" spans="1:1">
      <c r="A638" s="2" t="str">
        <f>_xlfn.TEXTJOIN("",TRUE,Input!$B$2,ROW(My_Audit!A637))</f>
        <v>X637</v>
      </c>
    </row>
    <row r="639" spans="1:1">
      <c r="A639" s="2" t="str">
        <f>_xlfn.TEXTJOIN("",TRUE,Input!$B$2,ROW(My_Audit!A638))</f>
        <v>X638</v>
      </c>
    </row>
    <row r="640" spans="1:1">
      <c r="A640" s="2" t="str">
        <f>_xlfn.TEXTJOIN("",TRUE,Input!$B$2,ROW(My_Audit!A639))</f>
        <v>X639</v>
      </c>
    </row>
    <row r="641" spans="1:1">
      <c r="A641" s="2" t="str">
        <f>_xlfn.TEXTJOIN("",TRUE,Input!$B$2,ROW(My_Audit!A640))</f>
        <v>X640</v>
      </c>
    </row>
    <row r="642" spans="1:1">
      <c r="A642" s="2" t="str">
        <f>_xlfn.TEXTJOIN("",TRUE,Input!$B$2,ROW(My_Audit!A641))</f>
        <v>X641</v>
      </c>
    </row>
    <row r="643" spans="1:1">
      <c r="A643" s="2" t="str">
        <f>_xlfn.TEXTJOIN("",TRUE,Input!$B$2,ROW(My_Audit!A642))</f>
        <v>X642</v>
      </c>
    </row>
    <row r="644" spans="1:1">
      <c r="A644" s="2" t="str">
        <f>_xlfn.TEXTJOIN("",TRUE,Input!$B$2,ROW(My_Audit!A643))</f>
        <v>X643</v>
      </c>
    </row>
    <row r="645" spans="1:1">
      <c r="A645" s="2" t="str">
        <f>_xlfn.TEXTJOIN("",TRUE,Input!$B$2,ROW(My_Audit!A644))</f>
        <v>X644</v>
      </c>
    </row>
    <row r="646" spans="1:1">
      <c r="A646" s="2" t="str">
        <f>_xlfn.TEXTJOIN("",TRUE,Input!$B$2,ROW(My_Audit!A645))</f>
        <v>X645</v>
      </c>
    </row>
    <row r="647" spans="1:1">
      <c r="A647" s="2" t="str">
        <f>_xlfn.TEXTJOIN("",TRUE,Input!$B$2,ROW(My_Audit!A646))</f>
        <v>X646</v>
      </c>
    </row>
    <row r="648" spans="1:1">
      <c r="A648" s="2" t="str">
        <f>_xlfn.TEXTJOIN("",TRUE,Input!$B$2,ROW(My_Audit!A647))</f>
        <v>X647</v>
      </c>
    </row>
    <row r="649" spans="1:1">
      <c r="A649" s="2" t="str">
        <f>_xlfn.TEXTJOIN("",TRUE,Input!$B$2,ROW(My_Audit!A648))</f>
        <v>X648</v>
      </c>
    </row>
    <row r="650" spans="1:1">
      <c r="A650" s="2" t="str">
        <f>_xlfn.TEXTJOIN("",TRUE,Input!$B$2,ROW(My_Audit!A649))</f>
        <v>X649</v>
      </c>
    </row>
    <row r="651" spans="1:1">
      <c r="A651" s="2" t="str">
        <f>_xlfn.TEXTJOIN("",TRUE,Input!$B$2,ROW(My_Audit!A650))</f>
        <v>X650</v>
      </c>
    </row>
    <row r="652" spans="1:1">
      <c r="A652" s="2" t="str">
        <f>_xlfn.TEXTJOIN("",TRUE,Input!$B$2,ROW(My_Audit!A651))</f>
        <v>X651</v>
      </c>
    </row>
    <row r="653" spans="1:1">
      <c r="A653" s="2" t="str">
        <f>_xlfn.TEXTJOIN("",TRUE,Input!$B$2,ROW(My_Audit!A652))</f>
        <v>X652</v>
      </c>
    </row>
    <row r="654" spans="1:1">
      <c r="A654" s="2" t="str">
        <f>_xlfn.TEXTJOIN("",TRUE,Input!$B$2,ROW(My_Audit!A653))</f>
        <v>X653</v>
      </c>
    </row>
    <row r="655" spans="1:1">
      <c r="A655" s="2" t="str">
        <f>_xlfn.TEXTJOIN("",TRUE,Input!$B$2,ROW(My_Audit!A654))</f>
        <v>X654</v>
      </c>
    </row>
    <row r="656" spans="1:1">
      <c r="A656" s="2" t="str">
        <f>_xlfn.TEXTJOIN("",TRUE,Input!$B$2,ROW(My_Audit!A655))</f>
        <v>X655</v>
      </c>
    </row>
    <row r="657" spans="1:1">
      <c r="A657" s="2" t="str">
        <f>_xlfn.TEXTJOIN("",TRUE,Input!$B$2,ROW(My_Audit!A656))</f>
        <v>X656</v>
      </c>
    </row>
    <row r="658" spans="1:1">
      <c r="A658" s="2" t="str">
        <f>_xlfn.TEXTJOIN("",TRUE,Input!$B$2,ROW(My_Audit!A657))</f>
        <v>X657</v>
      </c>
    </row>
    <row r="659" spans="1:1">
      <c r="A659" s="2" t="str">
        <f>_xlfn.TEXTJOIN("",TRUE,Input!$B$2,ROW(My_Audit!A658))</f>
        <v>X658</v>
      </c>
    </row>
    <row r="660" spans="1:1">
      <c r="A660" s="2" t="str">
        <f>_xlfn.TEXTJOIN("",TRUE,Input!$B$2,ROW(My_Audit!A659))</f>
        <v>X659</v>
      </c>
    </row>
    <row r="661" spans="1:1">
      <c r="A661" s="2" t="str">
        <f>_xlfn.TEXTJOIN("",TRUE,Input!$B$2,ROW(My_Audit!A660))</f>
        <v>X660</v>
      </c>
    </row>
    <row r="662" spans="1:1">
      <c r="A662" s="2" t="str">
        <f>_xlfn.TEXTJOIN("",TRUE,Input!$B$2,ROW(My_Audit!A661))</f>
        <v>X661</v>
      </c>
    </row>
    <row r="663" spans="1:1">
      <c r="A663" s="2" t="str">
        <f>_xlfn.TEXTJOIN("",TRUE,Input!$B$2,ROW(My_Audit!A662))</f>
        <v>X662</v>
      </c>
    </row>
    <row r="664" spans="1:1">
      <c r="A664" s="2" t="str">
        <f>_xlfn.TEXTJOIN("",TRUE,Input!$B$2,ROW(My_Audit!A663))</f>
        <v>X663</v>
      </c>
    </row>
    <row r="665" spans="1:1">
      <c r="A665" s="2" t="str">
        <f>_xlfn.TEXTJOIN("",TRUE,Input!$B$2,ROW(My_Audit!A664))</f>
        <v>X664</v>
      </c>
    </row>
    <row r="666" spans="1:1">
      <c r="A666" s="2" t="str">
        <f>_xlfn.TEXTJOIN("",TRUE,Input!$B$2,ROW(My_Audit!A665))</f>
        <v>X665</v>
      </c>
    </row>
    <row r="667" spans="1:1">
      <c r="A667" s="2" t="str">
        <f>_xlfn.TEXTJOIN("",TRUE,Input!$B$2,ROW(My_Audit!A666))</f>
        <v>X666</v>
      </c>
    </row>
    <row r="668" spans="1:1">
      <c r="A668" s="2" t="str">
        <f>_xlfn.TEXTJOIN("",TRUE,Input!$B$2,ROW(My_Audit!A667))</f>
        <v>X667</v>
      </c>
    </row>
    <row r="669" spans="1:1">
      <c r="A669" s="2" t="str">
        <f>_xlfn.TEXTJOIN("",TRUE,Input!$B$2,ROW(My_Audit!A668))</f>
        <v>X668</v>
      </c>
    </row>
    <row r="670" spans="1:1">
      <c r="A670" s="2" t="str">
        <f>_xlfn.TEXTJOIN("",TRUE,Input!$B$2,ROW(My_Audit!A669))</f>
        <v>X669</v>
      </c>
    </row>
    <row r="671" spans="1:1">
      <c r="A671" s="2" t="str">
        <f>_xlfn.TEXTJOIN("",TRUE,Input!$B$2,ROW(My_Audit!A670))</f>
        <v>X670</v>
      </c>
    </row>
    <row r="672" spans="1:1">
      <c r="A672" s="2" t="str">
        <f>_xlfn.TEXTJOIN("",TRUE,Input!$B$2,ROW(My_Audit!A671))</f>
        <v>X671</v>
      </c>
    </row>
    <row r="673" spans="1:1">
      <c r="A673" s="2" t="str">
        <f>_xlfn.TEXTJOIN("",TRUE,Input!$B$2,ROW(My_Audit!A672))</f>
        <v>X672</v>
      </c>
    </row>
    <row r="674" spans="1:1">
      <c r="A674" s="2" t="str">
        <f>_xlfn.TEXTJOIN("",TRUE,Input!$B$2,ROW(My_Audit!A673))</f>
        <v>X673</v>
      </c>
    </row>
    <row r="675" spans="1:1">
      <c r="A675" s="2" t="str">
        <f>_xlfn.TEXTJOIN("",TRUE,Input!$B$2,ROW(My_Audit!A674))</f>
        <v>X674</v>
      </c>
    </row>
    <row r="676" spans="1:1">
      <c r="A676" s="2" t="str">
        <f>_xlfn.TEXTJOIN("",TRUE,Input!$B$2,ROW(My_Audit!A675))</f>
        <v>X675</v>
      </c>
    </row>
    <row r="677" spans="1:1">
      <c r="A677" s="2" t="str">
        <f>_xlfn.TEXTJOIN("",TRUE,Input!$B$2,ROW(My_Audit!A676))</f>
        <v>X676</v>
      </c>
    </row>
    <row r="678" spans="1:1">
      <c r="A678" s="2" t="str">
        <f>_xlfn.TEXTJOIN("",TRUE,Input!$B$2,ROW(My_Audit!A677))</f>
        <v>X677</v>
      </c>
    </row>
    <row r="679" spans="1:1">
      <c r="A679" s="2" t="str">
        <f>_xlfn.TEXTJOIN("",TRUE,Input!$B$2,ROW(My_Audit!A678))</f>
        <v>X678</v>
      </c>
    </row>
    <row r="680" spans="1:1">
      <c r="A680" s="2" t="str">
        <f>_xlfn.TEXTJOIN("",TRUE,Input!$B$2,ROW(My_Audit!A679))</f>
        <v>X679</v>
      </c>
    </row>
    <row r="681" spans="1:1">
      <c r="A681" s="2" t="str">
        <f>_xlfn.TEXTJOIN("",TRUE,Input!$B$2,ROW(My_Audit!A680))</f>
        <v>X680</v>
      </c>
    </row>
    <row r="682" spans="1:1">
      <c r="A682" s="2" t="str">
        <f>_xlfn.TEXTJOIN("",TRUE,Input!$B$2,ROW(My_Audit!A681))</f>
        <v>X681</v>
      </c>
    </row>
    <row r="683" spans="1:1">
      <c r="A683" s="2" t="str">
        <f>_xlfn.TEXTJOIN("",TRUE,Input!$B$2,ROW(My_Audit!A682))</f>
        <v>X682</v>
      </c>
    </row>
    <row r="684" spans="1:1">
      <c r="A684" s="2" t="str">
        <f>_xlfn.TEXTJOIN("",TRUE,Input!$B$2,ROW(My_Audit!A683))</f>
        <v>X683</v>
      </c>
    </row>
    <row r="685" spans="1:1">
      <c r="A685" s="2" t="str">
        <f>_xlfn.TEXTJOIN("",TRUE,Input!$B$2,ROW(My_Audit!A684))</f>
        <v>X684</v>
      </c>
    </row>
    <row r="686" spans="1:1">
      <c r="A686" s="2" t="str">
        <f>_xlfn.TEXTJOIN("",TRUE,Input!$B$2,ROW(My_Audit!A685))</f>
        <v>X685</v>
      </c>
    </row>
    <row r="687" spans="1:1">
      <c r="A687" s="2" t="str">
        <f>_xlfn.TEXTJOIN("",TRUE,Input!$B$2,ROW(My_Audit!A686))</f>
        <v>X686</v>
      </c>
    </row>
    <row r="688" spans="1:1">
      <c r="A688" s="2" t="str">
        <f>_xlfn.TEXTJOIN("",TRUE,Input!$B$2,ROW(My_Audit!A687))</f>
        <v>X687</v>
      </c>
    </row>
    <row r="689" spans="1:1">
      <c r="A689" s="2" t="str">
        <f>_xlfn.TEXTJOIN("",TRUE,Input!$B$2,ROW(My_Audit!A688))</f>
        <v>X688</v>
      </c>
    </row>
    <row r="690" spans="1:1">
      <c r="A690" s="2" t="str">
        <f>_xlfn.TEXTJOIN("",TRUE,Input!$B$2,ROW(My_Audit!A689))</f>
        <v>X689</v>
      </c>
    </row>
    <row r="691" spans="1:1">
      <c r="A691" s="2" t="str">
        <f>_xlfn.TEXTJOIN("",TRUE,Input!$B$2,ROW(My_Audit!A690))</f>
        <v>X690</v>
      </c>
    </row>
    <row r="692" spans="1:1">
      <c r="A692" s="2" t="str">
        <f>_xlfn.TEXTJOIN("",TRUE,Input!$B$2,ROW(My_Audit!A691))</f>
        <v>X691</v>
      </c>
    </row>
    <row r="693" spans="1:1">
      <c r="A693" s="2" t="str">
        <f>_xlfn.TEXTJOIN("",TRUE,Input!$B$2,ROW(My_Audit!A692))</f>
        <v>X692</v>
      </c>
    </row>
    <row r="694" spans="1:1">
      <c r="A694" s="2" t="str">
        <f>_xlfn.TEXTJOIN("",TRUE,Input!$B$2,ROW(My_Audit!A693))</f>
        <v>X693</v>
      </c>
    </row>
    <row r="695" spans="1:1">
      <c r="A695" s="2" t="str">
        <f>_xlfn.TEXTJOIN("",TRUE,Input!$B$2,ROW(My_Audit!A694))</f>
        <v>X694</v>
      </c>
    </row>
    <row r="696" spans="1:1">
      <c r="A696" s="2" t="str">
        <f>_xlfn.TEXTJOIN("",TRUE,Input!$B$2,ROW(My_Audit!A695))</f>
        <v>X695</v>
      </c>
    </row>
    <row r="697" spans="1:1">
      <c r="A697" s="2" t="str">
        <f>_xlfn.TEXTJOIN("",TRUE,Input!$B$2,ROW(My_Audit!A696))</f>
        <v>X696</v>
      </c>
    </row>
    <row r="698" spans="1:1">
      <c r="A698" s="2" t="str">
        <f>_xlfn.TEXTJOIN("",TRUE,Input!$B$2,ROW(My_Audit!A697))</f>
        <v>X697</v>
      </c>
    </row>
    <row r="699" spans="1:1">
      <c r="A699" s="2" t="str">
        <f>_xlfn.TEXTJOIN("",TRUE,Input!$B$2,ROW(My_Audit!A698))</f>
        <v>X698</v>
      </c>
    </row>
    <row r="700" spans="1:1">
      <c r="A700" s="2" t="str">
        <f>_xlfn.TEXTJOIN("",TRUE,Input!$B$2,ROW(My_Audit!A699))</f>
        <v>X699</v>
      </c>
    </row>
    <row r="701" spans="1:1">
      <c r="A701" s="2" t="str">
        <f>_xlfn.TEXTJOIN("",TRUE,Input!$B$2,ROW(My_Audit!A700))</f>
        <v>X700</v>
      </c>
    </row>
    <row r="702" spans="1:1">
      <c r="A702" s="2" t="str">
        <f>_xlfn.TEXTJOIN("",TRUE,Input!$B$2,ROW(My_Audit!A701))</f>
        <v>X701</v>
      </c>
    </row>
    <row r="703" spans="1:1">
      <c r="A703" s="2" t="str">
        <f>_xlfn.TEXTJOIN("",TRUE,Input!$B$2,ROW(My_Audit!A702))</f>
        <v>X702</v>
      </c>
    </row>
    <row r="704" spans="1:1">
      <c r="A704" s="2" t="str">
        <f>_xlfn.TEXTJOIN("",TRUE,Input!$B$2,ROW(My_Audit!A703))</f>
        <v>X703</v>
      </c>
    </row>
    <row r="705" spans="1:1">
      <c r="A705" s="2" t="str">
        <f>_xlfn.TEXTJOIN("",TRUE,Input!$B$2,ROW(My_Audit!A704))</f>
        <v>X704</v>
      </c>
    </row>
    <row r="706" spans="1:1">
      <c r="A706" s="2" t="str">
        <f>_xlfn.TEXTJOIN("",TRUE,Input!$B$2,ROW(My_Audit!A705))</f>
        <v>X705</v>
      </c>
    </row>
    <row r="707" spans="1:1">
      <c r="A707" s="2" t="str">
        <f>_xlfn.TEXTJOIN("",TRUE,Input!$B$2,ROW(My_Audit!A706))</f>
        <v>X706</v>
      </c>
    </row>
    <row r="708" spans="1:1">
      <c r="A708" s="2" t="str">
        <f>_xlfn.TEXTJOIN("",TRUE,Input!$B$2,ROW(My_Audit!A707))</f>
        <v>X707</v>
      </c>
    </row>
    <row r="709" spans="1:1">
      <c r="A709" s="2" t="str">
        <f>_xlfn.TEXTJOIN("",TRUE,Input!$B$2,ROW(My_Audit!A708))</f>
        <v>X708</v>
      </c>
    </row>
    <row r="710" spans="1:1">
      <c r="A710" s="2" t="str">
        <f>_xlfn.TEXTJOIN("",TRUE,Input!$B$2,ROW(My_Audit!A709))</f>
        <v>X709</v>
      </c>
    </row>
    <row r="711" spans="1:1">
      <c r="A711" s="2" t="str">
        <f>_xlfn.TEXTJOIN("",TRUE,Input!$B$2,ROW(My_Audit!A710))</f>
        <v>X710</v>
      </c>
    </row>
    <row r="712" spans="1:1">
      <c r="A712" s="2" t="str">
        <f>_xlfn.TEXTJOIN("",TRUE,Input!$B$2,ROW(My_Audit!A711))</f>
        <v>X711</v>
      </c>
    </row>
    <row r="713" spans="1:1">
      <c r="A713" s="2" t="str">
        <f>_xlfn.TEXTJOIN("",TRUE,Input!$B$2,ROW(My_Audit!A712))</f>
        <v>X712</v>
      </c>
    </row>
    <row r="714" spans="1:1">
      <c r="A714" s="2" t="str">
        <f>_xlfn.TEXTJOIN("",TRUE,Input!$B$2,ROW(My_Audit!A713))</f>
        <v>X713</v>
      </c>
    </row>
    <row r="715" spans="1:1">
      <c r="A715" s="2" t="str">
        <f>_xlfn.TEXTJOIN("",TRUE,Input!$B$2,ROW(My_Audit!A714))</f>
        <v>X714</v>
      </c>
    </row>
    <row r="716" spans="1:1">
      <c r="A716" s="2" t="str">
        <f>_xlfn.TEXTJOIN("",TRUE,Input!$B$2,ROW(My_Audit!A715))</f>
        <v>X715</v>
      </c>
    </row>
    <row r="717" spans="1:1">
      <c r="A717" s="2" t="str">
        <f>_xlfn.TEXTJOIN("",TRUE,Input!$B$2,ROW(My_Audit!A716))</f>
        <v>X716</v>
      </c>
    </row>
    <row r="718" spans="1:1">
      <c r="A718" s="2" t="str">
        <f>_xlfn.TEXTJOIN("",TRUE,Input!$B$2,ROW(My_Audit!A717))</f>
        <v>X717</v>
      </c>
    </row>
    <row r="719" spans="1:1">
      <c r="A719" s="2" t="str">
        <f>_xlfn.TEXTJOIN("",TRUE,Input!$B$2,ROW(My_Audit!A718))</f>
        <v>X718</v>
      </c>
    </row>
    <row r="720" spans="1:1">
      <c r="A720" s="2" t="str">
        <f>_xlfn.TEXTJOIN("",TRUE,Input!$B$2,ROW(My_Audit!A719))</f>
        <v>X719</v>
      </c>
    </row>
    <row r="721" spans="1:1">
      <c r="A721" s="2" t="str">
        <f>_xlfn.TEXTJOIN("",TRUE,Input!$B$2,ROW(My_Audit!A720))</f>
        <v>X720</v>
      </c>
    </row>
    <row r="722" spans="1:1">
      <c r="A722" s="2" t="str">
        <f>_xlfn.TEXTJOIN("",TRUE,Input!$B$2,ROW(My_Audit!A721))</f>
        <v>X721</v>
      </c>
    </row>
    <row r="723" spans="1:1">
      <c r="A723" s="2" t="str">
        <f>_xlfn.TEXTJOIN("",TRUE,Input!$B$2,ROW(My_Audit!A722))</f>
        <v>X722</v>
      </c>
    </row>
    <row r="724" spans="1:1">
      <c r="A724" s="2" t="str">
        <f>_xlfn.TEXTJOIN("",TRUE,Input!$B$2,ROW(My_Audit!A723))</f>
        <v>X723</v>
      </c>
    </row>
    <row r="725" spans="1:1">
      <c r="A725" s="2" t="str">
        <f>_xlfn.TEXTJOIN("",TRUE,Input!$B$2,ROW(My_Audit!A724))</f>
        <v>X724</v>
      </c>
    </row>
    <row r="726" spans="1:1">
      <c r="A726" s="2" t="str">
        <f>_xlfn.TEXTJOIN("",TRUE,Input!$B$2,ROW(My_Audit!A725))</f>
        <v>X725</v>
      </c>
    </row>
    <row r="727" spans="1:1">
      <c r="A727" s="2" t="str">
        <f>_xlfn.TEXTJOIN("",TRUE,Input!$B$2,ROW(My_Audit!A726))</f>
        <v>X726</v>
      </c>
    </row>
    <row r="728" spans="1:1">
      <c r="A728" s="2" t="str">
        <f>_xlfn.TEXTJOIN("",TRUE,Input!$B$2,ROW(My_Audit!A727))</f>
        <v>X727</v>
      </c>
    </row>
    <row r="729" spans="1:1">
      <c r="A729" s="2" t="str">
        <f>_xlfn.TEXTJOIN("",TRUE,Input!$B$2,ROW(My_Audit!A728))</f>
        <v>X728</v>
      </c>
    </row>
    <row r="730" spans="1:1">
      <c r="A730" s="2" t="str">
        <f>_xlfn.TEXTJOIN("",TRUE,Input!$B$2,ROW(My_Audit!A729))</f>
        <v>X729</v>
      </c>
    </row>
    <row r="731" spans="1:1">
      <c r="A731" s="2" t="str">
        <f>_xlfn.TEXTJOIN("",TRUE,Input!$B$2,ROW(My_Audit!A730))</f>
        <v>X730</v>
      </c>
    </row>
    <row r="732" spans="1:1">
      <c r="A732" s="2" t="str">
        <f>_xlfn.TEXTJOIN("",TRUE,Input!$B$2,ROW(My_Audit!A731))</f>
        <v>X731</v>
      </c>
    </row>
    <row r="733" spans="1:1">
      <c r="A733" s="2" t="str">
        <f>_xlfn.TEXTJOIN("",TRUE,Input!$B$2,ROW(My_Audit!A732))</f>
        <v>X732</v>
      </c>
    </row>
    <row r="734" spans="1:1">
      <c r="A734" s="2" t="str">
        <f>_xlfn.TEXTJOIN("",TRUE,Input!$B$2,ROW(My_Audit!A733))</f>
        <v>X733</v>
      </c>
    </row>
    <row r="735" spans="1:1">
      <c r="A735" s="2" t="str">
        <f>_xlfn.TEXTJOIN("",TRUE,Input!$B$2,ROW(My_Audit!A734))</f>
        <v>X734</v>
      </c>
    </row>
    <row r="736" spans="1:1">
      <c r="A736" s="2" t="str">
        <f>_xlfn.TEXTJOIN("",TRUE,Input!$B$2,ROW(My_Audit!A735))</f>
        <v>X735</v>
      </c>
    </row>
    <row r="737" spans="1:1">
      <c r="A737" s="2" t="str">
        <f>_xlfn.TEXTJOIN("",TRUE,Input!$B$2,ROW(My_Audit!A736))</f>
        <v>X736</v>
      </c>
    </row>
    <row r="738" spans="1:1">
      <c r="A738" s="2" t="str">
        <f>_xlfn.TEXTJOIN("",TRUE,Input!$B$2,ROW(My_Audit!A737))</f>
        <v>X737</v>
      </c>
    </row>
    <row r="739" spans="1:1">
      <c r="A739" s="2" t="str">
        <f>_xlfn.TEXTJOIN("",TRUE,Input!$B$2,ROW(My_Audit!A738))</f>
        <v>X738</v>
      </c>
    </row>
    <row r="740" spans="1:1">
      <c r="A740" s="2" t="str">
        <f>_xlfn.TEXTJOIN("",TRUE,Input!$B$2,ROW(My_Audit!A739))</f>
        <v>X739</v>
      </c>
    </row>
    <row r="741" spans="1:1">
      <c r="A741" s="2" t="str">
        <f>_xlfn.TEXTJOIN("",TRUE,Input!$B$2,ROW(My_Audit!A740))</f>
        <v>X740</v>
      </c>
    </row>
    <row r="742" spans="1:1">
      <c r="A742" s="2" t="str">
        <f>_xlfn.TEXTJOIN("",TRUE,Input!$B$2,ROW(My_Audit!A741))</f>
        <v>X741</v>
      </c>
    </row>
    <row r="743" spans="1:1">
      <c r="A743" s="2" t="str">
        <f>_xlfn.TEXTJOIN("",TRUE,Input!$B$2,ROW(My_Audit!A742))</f>
        <v>X742</v>
      </c>
    </row>
    <row r="744" spans="1:1">
      <c r="A744" s="2" t="str">
        <f>_xlfn.TEXTJOIN("",TRUE,Input!$B$2,ROW(My_Audit!A743))</f>
        <v>X743</v>
      </c>
    </row>
    <row r="745" spans="1:1">
      <c r="A745" s="2" t="str">
        <f>_xlfn.TEXTJOIN("",TRUE,Input!$B$2,ROW(My_Audit!A744))</f>
        <v>X744</v>
      </c>
    </row>
    <row r="746" spans="1:1">
      <c r="A746" s="2" t="str">
        <f>_xlfn.TEXTJOIN("",TRUE,Input!$B$2,ROW(My_Audit!A745))</f>
        <v>X745</v>
      </c>
    </row>
    <row r="747" spans="1:1">
      <c r="A747" s="2" t="str">
        <f>_xlfn.TEXTJOIN("",TRUE,Input!$B$2,ROW(My_Audit!A746))</f>
        <v>X746</v>
      </c>
    </row>
    <row r="748" spans="1:1">
      <c r="A748" s="2" t="str">
        <f>_xlfn.TEXTJOIN("",TRUE,Input!$B$2,ROW(My_Audit!A747))</f>
        <v>X747</v>
      </c>
    </row>
    <row r="749" spans="1:1">
      <c r="A749" s="2" t="str">
        <f>_xlfn.TEXTJOIN("",TRUE,Input!$B$2,ROW(My_Audit!A748))</f>
        <v>X748</v>
      </c>
    </row>
    <row r="750" spans="1:1">
      <c r="A750" s="2" t="str">
        <f>_xlfn.TEXTJOIN("",TRUE,Input!$B$2,ROW(My_Audit!A749))</f>
        <v>X749</v>
      </c>
    </row>
    <row r="751" spans="1:1">
      <c r="A751" s="2" t="str">
        <f>_xlfn.TEXTJOIN("",TRUE,Input!$B$2,ROW(My_Audit!A750))</f>
        <v>X750</v>
      </c>
    </row>
    <row r="752" spans="1:1">
      <c r="A752" s="2" t="str">
        <f>_xlfn.TEXTJOIN("",TRUE,Input!$B$2,ROW(My_Audit!A751))</f>
        <v>X751</v>
      </c>
    </row>
    <row r="753" spans="1:1">
      <c r="A753" s="2" t="str">
        <f>_xlfn.TEXTJOIN("",TRUE,Input!$B$2,ROW(My_Audit!A752))</f>
        <v>X752</v>
      </c>
    </row>
    <row r="754" spans="1:1">
      <c r="A754" s="2" t="str">
        <f>_xlfn.TEXTJOIN("",TRUE,Input!$B$2,ROW(My_Audit!A753))</f>
        <v>X753</v>
      </c>
    </row>
    <row r="755" spans="1:1">
      <c r="A755" s="2" t="str">
        <f>_xlfn.TEXTJOIN("",TRUE,Input!$B$2,ROW(My_Audit!A754))</f>
        <v>X754</v>
      </c>
    </row>
    <row r="756" spans="1:1">
      <c r="A756" s="2" t="str">
        <f>_xlfn.TEXTJOIN("",TRUE,Input!$B$2,ROW(My_Audit!A755))</f>
        <v>X755</v>
      </c>
    </row>
    <row r="757" spans="1:1">
      <c r="A757" s="2" t="str">
        <f>_xlfn.TEXTJOIN("",TRUE,Input!$B$2,ROW(My_Audit!A756))</f>
        <v>X756</v>
      </c>
    </row>
    <row r="758" spans="1:1">
      <c r="A758" s="2" t="str">
        <f>_xlfn.TEXTJOIN("",TRUE,Input!$B$2,ROW(My_Audit!A757))</f>
        <v>X757</v>
      </c>
    </row>
    <row r="759" spans="1:1">
      <c r="A759" s="2" t="str">
        <f>_xlfn.TEXTJOIN("",TRUE,Input!$B$2,ROW(My_Audit!A758))</f>
        <v>X758</v>
      </c>
    </row>
    <row r="760" spans="1:1">
      <c r="A760" s="2" t="str">
        <f>_xlfn.TEXTJOIN("",TRUE,Input!$B$2,ROW(My_Audit!A759))</f>
        <v>X759</v>
      </c>
    </row>
    <row r="761" spans="1:1">
      <c r="A761" s="2" t="str">
        <f>_xlfn.TEXTJOIN("",TRUE,Input!$B$2,ROW(My_Audit!A760))</f>
        <v>X760</v>
      </c>
    </row>
    <row r="762" spans="1:1">
      <c r="A762" s="2" t="str">
        <f>_xlfn.TEXTJOIN("",TRUE,Input!$B$2,ROW(My_Audit!A761))</f>
        <v>X761</v>
      </c>
    </row>
    <row r="763" spans="1:1">
      <c r="A763" s="2" t="str">
        <f>_xlfn.TEXTJOIN("",TRUE,Input!$B$2,ROW(My_Audit!A762))</f>
        <v>X762</v>
      </c>
    </row>
    <row r="764" spans="1:1">
      <c r="A764" s="2" t="str">
        <f>_xlfn.TEXTJOIN("",TRUE,Input!$B$2,ROW(My_Audit!A763))</f>
        <v>X763</v>
      </c>
    </row>
    <row r="765" spans="1:1">
      <c r="A765" s="2" t="str">
        <f>_xlfn.TEXTJOIN("",TRUE,Input!$B$2,ROW(My_Audit!A764))</f>
        <v>X764</v>
      </c>
    </row>
    <row r="766" spans="1:1">
      <c r="A766" s="2" t="str">
        <f>_xlfn.TEXTJOIN("",TRUE,Input!$B$2,ROW(My_Audit!A765))</f>
        <v>X765</v>
      </c>
    </row>
    <row r="767" spans="1:1">
      <c r="A767" s="2" t="str">
        <f>_xlfn.TEXTJOIN("",TRUE,Input!$B$2,ROW(My_Audit!A766))</f>
        <v>X766</v>
      </c>
    </row>
    <row r="768" spans="1:1">
      <c r="A768" s="2" t="str">
        <f>_xlfn.TEXTJOIN("",TRUE,Input!$B$2,ROW(My_Audit!A767))</f>
        <v>X767</v>
      </c>
    </row>
    <row r="769" spans="1:1">
      <c r="A769" s="2" t="str">
        <f>_xlfn.TEXTJOIN("",TRUE,Input!$B$2,ROW(My_Audit!A768))</f>
        <v>X768</v>
      </c>
    </row>
    <row r="770" spans="1:1">
      <c r="A770" s="2" t="str">
        <f>_xlfn.TEXTJOIN("",TRUE,Input!$B$2,ROW(My_Audit!A769))</f>
        <v>X769</v>
      </c>
    </row>
    <row r="771" spans="1:1">
      <c r="A771" s="2" t="str">
        <f>_xlfn.TEXTJOIN("",TRUE,Input!$B$2,ROW(My_Audit!A770))</f>
        <v>X770</v>
      </c>
    </row>
    <row r="772" spans="1:1">
      <c r="A772" s="2" t="str">
        <f>_xlfn.TEXTJOIN("",TRUE,Input!$B$2,ROW(My_Audit!A771))</f>
        <v>X771</v>
      </c>
    </row>
    <row r="773" spans="1:1">
      <c r="A773" s="2" t="str">
        <f>_xlfn.TEXTJOIN("",TRUE,Input!$B$2,ROW(My_Audit!A772))</f>
        <v>X772</v>
      </c>
    </row>
    <row r="774" spans="1:1">
      <c r="A774" s="2" t="str">
        <f>_xlfn.TEXTJOIN("",TRUE,Input!$B$2,ROW(My_Audit!A773))</f>
        <v>X773</v>
      </c>
    </row>
    <row r="775" spans="1:1">
      <c r="A775" s="2" t="str">
        <f>_xlfn.TEXTJOIN("",TRUE,Input!$B$2,ROW(My_Audit!A774))</f>
        <v>X774</v>
      </c>
    </row>
    <row r="776" spans="1:1">
      <c r="A776" s="2" t="str">
        <f>_xlfn.TEXTJOIN("",TRUE,Input!$B$2,ROW(My_Audit!A775))</f>
        <v>X775</v>
      </c>
    </row>
    <row r="777" spans="1:1">
      <c r="A777" s="2" t="str">
        <f>_xlfn.TEXTJOIN("",TRUE,Input!$B$2,ROW(My_Audit!A776))</f>
        <v>X776</v>
      </c>
    </row>
    <row r="778" spans="1:1">
      <c r="A778" s="2" t="str">
        <f>_xlfn.TEXTJOIN("",TRUE,Input!$B$2,ROW(My_Audit!A777))</f>
        <v>X777</v>
      </c>
    </row>
    <row r="779" spans="1:1">
      <c r="A779" s="2" t="str">
        <f>_xlfn.TEXTJOIN("",TRUE,Input!$B$2,ROW(My_Audit!A778))</f>
        <v>X778</v>
      </c>
    </row>
    <row r="780" spans="1:1">
      <c r="A780" s="2" t="str">
        <f>_xlfn.TEXTJOIN("",TRUE,Input!$B$2,ROW(My_Audit!A779))</f>
        <v>X779</v>
      </c>
    </row>
    <row r="781" spans="1:1">
      <c r="A781" s="2" t="str">
        <f>_xlfn.TEXTJOIN("",TRUE,Input!$B$2,ROW(My_Audit!A780))</f>
        <v>X780</v>
      </c>
    </row>
    <row r="782" spans="1:1">
      <c r="A782" s="2" t="str">
        <f>_xlfn.TEXTJOIN("",TRUE,Input!$B$2,ROW(My_Audit!A781))</f>
        <v>X781</v>
      </c>
    </row>
    <row r="783" spans="1:1">
      <c r="A783" s="2" t="str">
        <f>_xlfn.TEXTJOIN("",TRUE,Input!$B$2,ROW(My_Audit!A782))</f>
        <v>X782</v>
      </c>
    </row>
    <row r="784" spans="1:1">
      <c r="A784" s="2" t="str">
        <f>_xlfn.TEXTJOIN("",TRUE,Input!$B$2,ROW(My_Audit!A783))</f>
        <v>X783</v>
      </c>
    </row>
    <row r="785" spans="1:1">
      <c r="A785" s="2" t="str">
        <f>_xlfn.TEXTJOIN("",TRUE,Input!$B$2,ROW(My_Audit!A784))</f>
        <v>X784</v>
      </c>
    </row>
    <row r="786" spans="1:1">
      <c r="A786" s="2" t="str">
        <f>_xlfn.TEXTJOIN("",TRUE,Input!$B$2,ROW(My_Audit!A785))</f>
        <v>X785</v>
      </c>
    </row>
    <row r="787" spans="1:1">
      <c r="A787" s="2" t="str">
        <f>_xlfn.TEXTJOIN("",TRUE,Input!$B$2,ROW(My_Audit!A786))</f>
        <v>X786</v>
      </c>
    </row>
    <row r="788" spans="1:1">
      <c r="A788" s="2" t="str">
        <f>_xlfn.TEXTJOIN("",TRUE,Input!$B$2,ROW(My_Audit!A787))</f>
        <v>X787</v>
      </c>
    </row>
    <row r="789" spans="1:1">
      <c r="A789" s="2" t="str">
        <f>_xlfn.TEXTJOIN("",TRUE,Input!$B$2,ROW(My_Audit!A788))</f>
        <v>X788</v>
      </c>
    </row>
    <row r="790" spans="1:1">
      <c r="A790" s="2" t="str">
        <f>_xlfn.TEXTJOIN("",TRUE,Input!$B$2,ROW(My_Audit!A789))</f>
        <v>X789</v>
      </c>
    </row>
    <row r="791" spans="1:1">
      <c r="A791" s="2" t="str">
        <f>_xlfn.TEXTJOIN("",TRUE,Input!$B$2,ROW(My_Audit!A790))</f>
        <v>X790</v>
      </c>
    </row>
    <row r="792" spans="1:1">
      <c r="A792" s="2" t="str">
        <f>_xlfn.TEXTJOIN("",TRUE,Input!$B$2,ROW(My_Audit!A791))</f>
        <v>X791</v>
      </c>
    </row>
    <row r="793" spans="1:1">
      <c r="A793" s="2" t="str">
        <f>_xlfn.TEXTJOIN("",TRUE,Input!$B$2,ROW(My_Audit!A792))</f>
        <v>X792</v>
      </c>
    </row>
    <row r="794" spans="1:1">
      <c r="A794" s="2" t="str">
        <f>_xlfn.TEXTJOIN("",TRUE,Input!$B$2,ROW(My_Audit!A793))</f>
        <v>X793</v>
      </c>
    </row>
    <row r="795" spans="1:1">
      <c r="A795" s="2" t="str">
        <f>_xlfn.TEXTJOIN("",TRUE,Input!$B$2,ROW(My_Audit!A794))</f>
        <v>X794</v>
      </c>
    </row>
    <row r="796" spans="1:1">
      <c r="A796" s="2" t="str">
        <f>_xlfn.TEXTJOIN("",TRUE,Input!$B$2,ROW(My_Audit!A795))</f>
        <v>X795</v>
      </c>
    </row>
    <row r="797" spans="1:1">
      <c r="A797" s="2" t="str">
        <f>_xlfn.TEXTJOIN("",TRUE,Input!$B$2,ROW(My_Audit!A796))</f>
        <v>X796</v>
      </c>
    </row>
    <row r="798" spans="1:1">
      <c r="A798" s="2" t="str">
        <f>_xlfn.TEXTJOIN("",TRUE,Input!$B$2,ROW(My_Audit!A797))</f>
        <v>X797</v>
      </c>
    </row>
    <row r="799" spans="1:1">
      <c r="A799" s="2" t="str">
        <f>_xlfn.TEXTJOIN("",TRUE,Input!$B$2,ROW(My_Audit!A798))</f>
        <v>X798</v>
      </c>
    </row>
    <row r="800" spans="1:1">
      <c r="A800" s="2" t="str">
        <f>_xlfn.TEXTJOIN("",TRUE,Input!$B$2,ROW(My_Audit!A799))</f>
        <v>X799</v>
      </c>
    </row>
    <row r="801" spans="1:1">
      <c r="A801" s="2" t="str">
        <f>_xlfn.TEXTJOIN("",TRUE,Input!$B$2,ROW(My_Audit!A800))</f>
        <v>X800</v>
      </c>
    </row>
    <row r="802" spans="1:1">
      <c r="A802" s="2" t="str">
        <f>_xlfn.TEXTJOIN("",TRUE,Input!$B$2,ROW(My_Audit!A801))</f>
        <v>X801</v>
      </c>
    </row>
    <row r="803" spans="1:1">
      <c r="A803" s="2" t="str">
        <f>_xlfn.TEXTJOIN("",TRUE,Input!$B$2,ROW(My_Audit!A802))</f>
        <v>X802</v>
      </c>
    </row>
    <row r="804" spans="1:1">
      <c r="A804" s="2" t="str">
        <f>_xlfn.TEXTJOIN("",TRUE,Input!$B$2,ROW(My_Audit!A803))</f>
        <v>X803</v>
      </c>
    </row>
    <row r="805" spans="1:1">
      <c r="A805" s="2" t="str">
        <f>_xlfn.TEXTJOIN("",TRUE,Input!$B$2,ROW(My_Audit!A804))</f>
        <v>X804</v>
      </c>
    </row>
    <row r="806" spans="1:1">
      <c r="A806" s="2" t="str">
        <f>_xlfn.TEXTJOIN("",TRUE,Input!$B$2,ROW(My_Audit!A805))</f>
        <v>X805</v>
      </c>
    </row>
    <row r="807" spans="1:1">
      <c r="A807" s="2" t="str">
        <f>_xlfn.TEXTJOIN("",TRUE,Input!$B$2,ROW(My_Audit!A806))</f>
        <v>X806</v>
      </c>
    </row>
    <row r="808" spans="1:1">
      <c r="A808" s="2" t="str">
        <f>_xlfn.TEXTJOIN("",TRUE,Input!$B$2,ROW(My_Audit!A807))</f>
        <v>X807</v>
      </c>
    </row>
    <row r="809" spans="1:1">
      <c r="A809" s="2" t="str">
        <f>_xlfn.TEXTJOIN("",TRUE,Input!$B$2,ROW(My_Audit!A808))</f>
        <v>X808</v>
      </c>
    </row>
    <row r="810" spans="1:1">
      <c r="A810" s="2" t="str">
        <f>_xlfn.TEXTJOIN("",TRUE,Input!$B$2,ROW(My_Audit!A809))</f>
        <v>X809</v>
      </c>
    </row>
    <row r="811" spans="1:1">
      <c r="A811" s="2" t="str">
        <f>_xlfn.TEXTJOIN("",TRUE,Input!$B$2,ROW(My_Audit!A810))</f>
        <v>X810</v>
      </c>
    </row>
    <row r="812" spans="1:1">
      <c r="A812" s="2" t="str">
        <f>_xlfn.TEXTJOIN("",TRUE,Input!$B$2,ROW(My_Audit!A811))</f>
        <v>X811</v>
      </c>
    </row>
    <row r="813" spans="1:1">
      <c r="A813" s="2" t="str">
        <f>_xlfn.TEXTJOIN("",TRUE,Input!$B$2,ROW(My_Audit!A812))</f>
        <v>X812</v>
      </c>
    </row>
    <row r="814" spans="1:1">
      <c r="A814" s="2" t="str">
        <f>_xlfn.TEXTJOIN("",TRUE,Input!$B$2,ROW(My_Audit!A813))</f>
        <v>X813</v>
      </c>
    </row>
    <row r="815" spans="1:1">
      <c r="A815" s="2" t="str">
        <f>_xlfn.TEXTJOIN("",TRUE,Input!$B$2,ROW(My_Audit!A814))</f>
        <v>X814</v>
      </c>
    </row>
    <row r="816" spans="1:1">
      <c r="A816" s="2" t="str">
        <f>_xlfn.TEXTJOIN("",TRUE,Input!$B$2,ROW(My_Audit!A815))</f>
        <v>X815</v>
      </c>
    </row>
    <row r="817" spans="1:1">
      <c r="A817" s="2" t="str">
        <f>_xlfn.TEXTJOIN("",TRUE,Input!$B$2,ROW(My_Audit!A816))</f>
        <v>X816</v>
      </c>
    </row>
    <row r="818" spans="1:1">
      <c r="A818" s="2" t="str">
        <f>_xlfn.TEXTJOIN("",TRUE,Input!$B$2,ROW(My_Audit!A817))</f>
        <v>X817</v>
      </c>
    </row>
    <row r="819" spans="1:1">
      <c r="A819" s="2" t="str">
        <f>_xlfn.TEXTJOIN("",TRUE,Input!$B$2,ROW(My_Audit!A818))</f>
        <v>X818</v>
      </c>
    </row>
    <row r="820" spans="1:1">
      <c r="A820" s="2" t="str">
        <f>_xlfn.TEXTJOIN("",TRUE,Input!$B$2,ROW(My_Audit!A819))</f>
        <v>X819</v>
      </c>
    </row>
    <row r="821" spans="1:1">
      <c r="A821" s="2" t="str">
        <f>_xlfn.TEXTJOIN("",TRUE,Input!$B$2,ROW(My_Audit!A820))</f>
        <v>X820</v>
      </c>
    </row>
    <row r="822" spans="1:1">
      <c r="A822" s="2" t="str">
        <f>_xlfn.TEXTJOIN("",TRUE,Input!$B$2,ROW(My_Audit!A821))</f>
        <v>X821</v>
      </c>
    </row>
    <row r="823" spans="1:1">
      <c r="A823" s="2" t="str">
        <f>_xlfn.TEXTJOIN("",TRUE,Input!$B$2,ROW(My_Audit!A822))</f>
        <v>X822</v>
      </c>
    </row>
    <row r="824" spans="1:1">
      <c r="A824" s="2" t="str">
        <f>_xlfn.TEXTJOIN("",TRUE,Input!$B$2,ROW(My_Audit!A823))</f>
        <v>X823</v>
      </c>
    </row>
    <row r="825" spans="1:1">
      <c r="A825" s="2" t="str">
        <f>_xlfn.TEXTJOIN("",TRUE,Input!$B$2,ROW(My_Audit!A824))</f>
        <v>X824</v>
      </c>
    </row>
    <row r="826" spans="1:1">
      <c r="A826" s="2" t="str">
        <f>_xlfn.TEXTJOIN("",TRUE,Input!$B$2,ROW(My_Audit!A825))</f>
        <v>X825</v>
      </c>
    </row>
    <row r="827" spans="1:1">
      <c r="A827" s="2" t="str">
        <f>_xlfn.TEXTJOIN("",TRUE,Input!$B$2,ROW(My_Audit!A826))</f>
        <v>X826</v>
      </c>
    </row>
    <row r="828" spans="1:1">
      <c r="A828" s="2" t="str">
        <f>_xlfn.TEXTJOIN("",TRUE,Input!$B$2,ROW(My_Audit!A827))</f>
        <v>X827</v>
      </c>
    </row>
    <row r="829" spans="1:1">
      <c r="A829" s="2" t="str">
        <f>_xlfn.TEXTJOIN("",TRUE,Input!$B$2,ROW(My_Audit!A828))</f>
        <v>X828</v>
      </c>
    </row>
    <row r="830" spans="1:1">
      <c r="A830" s="2" t="str">
        <f>_xlfn.TEXTJOIN("",TRUE,Input!$B$2,ROW(My_Audit!A829))</f>
        <v>X829</v>
      </c>
    </row>
    <row r="831" spans="1:1">
      <c r="A831" s="2" t="str">
        <f>_xlfn.TEXTJOIN("",TRUE,Input!$B$2,ROW(My_Audit!A830))</f>
        <v>X830</v>
      </c>
    </row>
    <row r="832" spans="1:1">
      <c r="A832" s="2" t="str">
        <f>_xlfn.TEXTJOIN("",TRUE,Input!$B$2,ROW(My_Audit!A831))</f>
        <v>X831</v>
      </c>
    </row>
    <row r="833" spans="1:1">
      <c r="A833" s="2" t="str">
        <f>_xlfn.TEXTJOIN("",TRUE,Input!$B$2,ROW(My_Audit!A832))</f>
        <v>X832</v>
      </c>
    </row>
    <row r="834" spans="1:1">
      <c r="A834" s="2" t="str">
        <f>_xlfn.TEXTJOIN("",TRUE,Input!$B$2,ROW(My_Audit!A833))</f>
        <v>X833</v>
      </c>
    </row>
    <row r="835" spans="1:1">
      <c r="A835" s="2" t="str">
        <f>_xlfn.TEXTJOIN("",TRUE,Input!$B$2,ROW(My_Audit!A834))</f>
        <v>X834</v>
      </c>
    </row>
    <row r="836" spans="1:1">
      <c r="A836" s="2" t="str">
        <f>_xlfn.TEXTJOIN("",TRUE,Input!$B$2,ROW(My_Audit!A835))</f>
        <v>X835</v>
      </c>
    </row>
    <row r="837" spans="1:1">
      <c r="A837" s="2" t="str">
        <f>_xlfn.TEXTJOIN("",TRUE,Input!$B$2,ROW(My_Audit!A836))</f>
        <v>X836</v>
      </c>
    </row>
    <row r="838" spans="1:1">
      <c r="A838" s="2" t="str">
        <f>_xlfn.TEXTJOIN("",TRUE,Input!$B$2,ROW(My_Audit!A837))</f>
        <v>X837</v>
      </c>
    </row>
    <row r="839" spans="1:1">
      <c r="A839" s="2" t="str">
        <f>_xlfn.TEXTJOIN("",TRUE,Input!$B$2,ROW(My_Audit!A838))</f>
        <v>X838</v>
      </c>
    </row>
    <row r="840" spans="1:1">
      <c r="A840" s="2" t="str">
        <f>_xlfn.TEXTJOIN("",TRUE,Input!$B$2,ROW(My_Audit!A839))</f>
        <v>X839</v>
      </c>
    </row>
    <row r="841" spans="1:1">
      <c r="A841" s="2" t="str">
        <f>_xlfn.TEXTJOIN("",TRUE,Input!$B$2,ROW(My_Audit!A840))</f>
        <v>X840</v>
      </c>
    </row>
    <row r="842" spans="1:1">
      <c r="A842" s="2" t="str">
        <f>_xlfn.TEXTJOIN("",TRUE,Input!$B$2,ROW(My_Audit!A841))</f>
        <v>X841</v>
      </c>
    </row>
    <row r="843" spans="1:1">
      <c r="A843" s="2" t="str">
        <f>_xlfn.TEXTJOIN("",TRUE,Input!$B$2,ROW(My_Audit!A842))</f>
        <v>X842</v>
      </c>
    </row>
    <row r="844" spans="1:1">
      <c r="A844" s="2" t="str">
        <f>_xlfn.TEXTJOIN("",TRUE,Input!$B$2,ROW(My_Audit!A843))</f>
        <v>X843</v>
      </c>
    </row>
    <row r="845" spans="1:1">
      <c r="A845" s="2" t="str">
        <f>_xlfn.TEXTJOIN("",TRUE,Input!$B$2,ROW(My_Audit!A844))</f>
        <v>X844</v>
      </c>
    </row>
    <row r="846" spans="1:1">
      <c r="A846" s="2" t="str">
        <f>_xlfn.TEXTJOIN("",TRUE,Input!$B$2,ROW(My_Audit!A845))</f>
        <v>X845</v>
      </c>
    </row>
    <row r="847" spans="1:1">
      <c r="A847" s="2" t="str">
        <f>_xlfn.TEXTJOIN("",TRUE,Input!$B$2,ROW(My_Audit!A846))</f>
        <v>X846</v>
      </c>
    </row>
    <row r="848" spans="1:1">
      <c r="A848" s="2" t="str">
        <f>_xlfn.TEXTJOIN("",TRUE,Input!$B$2,ROW(My_Audit!A847))</f>
        <v>X847</v>
      </c>
    </row>
    <row r="849" spans="1:1">
      <c r="A849" s="2" t="str">
        <f>_xlfn.TEXTJOIN("",TRUE,Input!$B$2,ROW(My_Audit!A848))</f>
        <v>X848</v>
      </c>
    </row>
    <row r="850" spans="1:1">
      <c r="A850" s="2" t="str">
        <f>_xlfn.TEXTJOIN("",TRUE,Input!$B$2,ROW(My_Audit!A849))</f>
        <v>X849</v>
      </c>
    </row>
    <row r="851" spans="1:1">
      <c r="A851" s="2" t="str">
        <f>_xlfn.TEXTJOIN("",TRUE,Input!$B$2,ROW(My_Audit!A850))</f>
        <v>X850</v>
      </c>
    </row>
    <row r="852" spans="1:1">
      <c r="A852" s="2" t="str">
        <f>_xlfn.TEXTJOIN("",TRUE,Input!$B$2,ROW(My_Audit!A851))</f>
        <v>X851</v>
      </c>
    </row>
    <row r="853" spans="1:1">
      <c r="A853" s="2" t="str">
        <f>_xlfn.TEXTJOIN("",TRUE,Input!$B$2,ROW(My_Audit!A852))</f>
        <v>X852</v>
      </c>
    </row>
    <row r="854" spans="1:1">
      <c r="A854" s="2" t="str">
        <f>_xlfn.TEXTJOIN("",TRUE,Input!$B$2,ROW(My_Audit!A853))</f>
        <v>X853</v>
      </c>
    </row>
    <row r="855" spans="1:1">
      <c r="A855" s="2" t="str">
        <f>_xlfn.TEXTJOIN("",TRUE,Input!$B$2,ROW(My_Audit!A854))</f>
        <v>X854</v>
      </c>
    </row>
    <row r="856" spans="1:1">
      <c r="A856" s="2" t="str">
        <f>_xlfn.TEXTJOIN("",TRUE,Input!$B$2,ROW(My_Audit!A855))</f>
        <v>X855</v>
      </c>
    </row>
    <row r="857" spans="1:1">
      <c r="A857" s="2" t="str">
        <f>_xlfn.TEXTJOIN("",TRUE,Input!$B$2,ROW(My_Audit!A856))</f>
        <v>X856</v>
      </c>
    </row>
    <row r="858" spans="1:1">
      <c r="A858" s="2" t="str">
        <f>_xlfn.TEXTJOIN("",TRUE,Input!$B$2,ROW(My_Audit!A857))</f>
        <v>X857</v>
      </c>
    </row>
    <row r="859" spans="1:1">
      <c r="A859" s="2" t="str">
        <f>_xlfn.TEXTJOIN("",TRUE,Input!$B$2,ROW(My_Audit!A858))</f>
        <v>X858</v>
      </c>
    </row>
    <row r="860" spans="1:1">
      <c r="A860" s="2" t="str">
        <f>_xlfn.TEXTJOIN("",TRUE,Input!$B$2,ROW(My_Audit!A859))</f>
        <v>X859</v>
      </c>
    </row>
    <row r="861" spans="1:1">
      <c r="A861" s="2" t="str">
        <f>_xlfn.TEXTJOIN("",TRUE,Input!$B$2,ROW(My_Audit!A860))</f>
        <v>X860</v>
      </c>
    </row>
    <row r="862" spans="1:1">
      <c r="A862" s="2" t="str">
        <f>_xlfn.TEXTJOIN("",TRUE,Input!$B$2,ROW(My_Audit!A861))</f>
        <v>X861</v>
      </c>
    </row>
    <row r="863" spans="1:1">
      <c r="A863" s="2" t="str">
        <f>_xlfn.TEXTJOIN("",TRUE,Input!$B$2,ROW(My_Audit!A862))</f>
        <v>X862</v>
      </c>
    </row>
    <row r="864" spans="1:1">
      <c r="A864" s="2" t="str">
        <f>_xlfn.TEXTJOIN("",TRUE,Input!$B$2,ROW(My_Audit!A863))</f>
        <v>X863</v>
      </c>
    </row>
    <row r="865" spans="1:1">
      <c r="A865" s="2" t="str">
        <f>_xlfn.TEXTJOIN("",TRUE,Input!$B$2,ROW(My_Audit!A864))</f>
        <v>X864</v>
      </c>
    </row>
    <row r="866" spans="1:1">
      <c r="A866" s="2" t="str">
        <f>_xlfn.TEXTJOIN("",TRUE,Input!$B$2,ROW(My_Audit!A865))</f>
        <v>X865</v>
      </c>
    </row>
    <row r="867" spans="1:1">
      <c r="A867" s="2" t="str">
        <f>_xlfn.TEXTJOIN("",TRUE,Input!$B$2,ROW(My_Audit!A866))</f>
        <v>X866</v>
      </c>
    </row>
    <row r="868" spans="1:1">
      <c r="A868" s="2" t="str">
        <f>_xlfn.TEXTJOIN("",TRUE,Input!$B$2,ROW(My_Audit!A867))</f>
        <v>X867</v>
      </c>
    </row>
    <row r="869" spans="1:1">
      <c r="A869" s="2" t="str">
        <f>_xlfn.TEXTJOIN("",TRUE,Input!$B$2,ROW(My_Audit!A868))</f>
        <v>X868</v>
      </c>
    </row>
    <row r="870" spans="1:1">
      <c r="A870" s="2" t="str">
        <f>_xlfn.TEXTJOIN("",TRUE,Input!$B$2,ROW(My_Audit!A869))</f>
        <v>X869</v>
      </c>
    </row>
    <row r="871" spans="1:1">
      <c r="A871" s="2" t="str">
        <f>_xlfn.TEXTJOIN("",TRUE,Input!$B$2,ROW(My_Audit!A870))</f>
        <v>X870</v>
      </c>
    </row>
    <row r="872" spans="1:1">
      <c r="A872" s="2" t="str">
        <f>_xlfn.TEXTJOIN("",TRUE,Input!$B$2,ROW(My_Audit!A871))</f>
        <v>X871</v>
      </c>
    </row>
    <row r="873" spans="1:1">
      <c r="A873" s="2" t="str">
        <f>_xlfn.TEXTJOIN("",TRUE,Input!$B$2,ROW(My_Audit!A872))</f>
        <v>X872</v>
      </c>
    </row>
    <row r="874" spans="1:1">
      <c r="A874" s="2" t="str">
        <f>_xlfn.TEXTJOIN("",TRUE,Input!$B$2,ROW(My_Audit!A873))</f>
        <v>X873</v>
      </c>
    </row>
    <row r="875" spans="1:1">
      <c r="A875" s="2" t="str">
        <f>_xlfn.TEXTJOIN("",TRUE,Input!$B$2,ROW(My_Audit!A874))</f>
        <v>X874</v>
      </c>
    </row>
    <row r="876" spans="1:1">
      <c r="A876" s="2" t="str">
        <f>_xlfn.TEXTJOIN("",TRUE,Input!$B$2,ROW(My_Audit!A875))</f>
        <v>X875</v>
      </c>
    </row>
    <row r="877" spans="1:1">
      <c r="A877" s="2" t="str">
        <f>_xlfn.TEXTJOIN("",TRUE,Input!$B$2,ROW(My_Audit!A876))</f>
        <v>X876</v>
      </c>
    </row>
    <row r="878" spans="1:1">
      <c r="A878" s="2" t="str">
        <f>_xlfn.TEXTJOIN("",TRUE,Input!$B$2,ROW(My_Audit!A877))</f>
        <v>X877</v>
      </c>
    </row>
    <row r="879" spans="1:1">
      <c r="A879" s="2" t="str">
        <f>_xlfn.TEXTJOIN("",TRUE,Input!$B$2,ROW(My_Audit!A878))</f>
        <v>X878</v>
      </c>
    </row>
    <row r="880" spans="1:1">
      <c r="A880" s="2" t="str">
        <f>_xlfn.TEXTJOIN("",TRUE,Input!$B$2,ROW(My_Audit!A879))</f>
        <v>X879</v>
      </c>
    </row>
    <row r="881" spans="1:1">
      <c r="A881" s="2" t="str">
        <f>_xlfn.TEXTJOIN("",TRUE,Input!$B$2,ROW(My_Audit!A880))</f>
        <v>X880</v>
      </c>
    </row>
    <row r="882" spans="1:1">
      <c r="A882" s="2" t="str">
        <f>_xlfn.TEXTJOIN("",TRUE,Input!$B$2,ROW(My_Audit!A881))</f>
        <v>X881</v>
      </c>
    </row>
    <row r="883" spans="1:1">
      <c r="A883" s="2" t="str">
        <f>_xlfn.TEXTJOIN("",TRUE,Input!$B$2,ROW(My_Audit!A882))</f>
        <v>X882</v>
      </c>
    </row>
    <row r="884" spans="1:1">
      <c r="A884" s="2" t="str">
        <f>_xlfn.TEXTJOIN("",TRUE,Input!$B$2,ROW(My_Audit!A883))</f>
        <v>X883</v>
      </c>
    </row>
    <row r="885" spans="1:1">
      <c r="A885" s="2" t="str">
        <f>_xlfn.TEXTJOIN("",TRUE,Input!$B$2,ROW(My_Audit!A884))</f>
        <v>X884</v>
      </c>
    </row>
    <row r="886" spans="1:1">
      <c r="A886" s="2" t="str">
        <f>_xlfn.TEXTJOIN("",TRUE,Input!$B$2,ROW(My_Audit!A885))</f>
        <v>X885</v>
      </c>
    </row>
    <row r="887" spans="1:1">
      <c r="A887" s="2" t="str">
        <f>_xlfn.TEXTJOIN("",TRUE,Input!$B$2,ROW(My_Audit!A886))</f>
        <v>X886</v>
      </c>
    </row>
    <row r="888" spans="1:1">
      <c r="A888" s="2" t="str">
        <f>_xlfn.TEXTJOIN("",TRUE,Input!$B$2,ROW(My_Audit!A887))</f>
        <v>X887</v>
      </c>
    </row>
    <row r="889" spans="1:1">
      <c r="A889" s="2" t="str">
        <f>_xlfn.TEXTJOIN("",TRUE,Input!$B$2,ROW(My_Audit!A888))</f>
        <v>X888</v>
      </c>
    </row>
    <row r="890" spans="1:1">
      <c r="A890" s="2" t="str">
        <f>_xlfn.TEXTJOIN("",TRUE,Input!$B$2,ROW(My_Audit!A889))</f>
        <v>X889</v>
      </c>
    </row>
    <row r="891" spans="1:1">
      <c r="A891" s="2" t="str">
        <f>_xlfn.TEXTJOIN("",TRUE,Input!$B$2,ROW(My_Audit!A890))</f>
        <v>X890</v>
      </c>
    </row>
    <row r="892" spans="1:1">
      <c r="A892" s="2" t="str">
        <f>_xlfn.TEXTJOIN("",TRUE,Input!$B$2,ROW(My_Audit!A891))</f>
        <v>X891</v>
      </c>
    </row>
    <row r="893" spans="1:1">
      <c r="A893" s="2" t="str">
        <f>_xlfn.TEXTJOIN("",TRUE,Input!$B$2,ROW(My_Audit!A892))</f>
        <v>X892</v>
      </c>
    </row>
    <row r="894" spans="1:1">
      <c r="A894" s="2" t="str">
        <f>_xlfn.TEXTJOIN("",TRUE,Input!$B$2,ROW(My_Audit!A893))</f>
        <v>X893</v>
      </c>
    </row>
    <row r="895" spans="1:1">
      <c r="A895" s="2" t="str">
        <f>_xlfn.TEXTJOIN("",TRUE,Input!$B$2,ROW(My_Audit!A894))</f>
        <v>X894</v>
      </c>
    </row>
    <row r="896" spans="1:1">
      <c r="A896" s="2" t="str">
        <f>_xlfn.TEXTJOIN("",TRUE,Input!$B$2,ROW(My_Audit!A895))</f>
        <v>X895</v>
      </c>
    </row>
    <row r="897" spans="1:1">
      <c r="A897" s="2" t="str">
        <f>_xlfn.TEXTJOIN("",TRUE,Input!$B$2,ROW(My_Audit!A896))</f>
        <v>X896</v>
      </c>
    </row>
    <row r="898" spans="1:1">
      <c r="A898" s="2" t="str">
        <f>_xlfn.TEXTJOIN("",TRUE,Input!$B$2,ROW(My_Audit!A897))</f>
        <v>X897</v>
      </c>
    </row>
    <row r="899" spans="1:1">
      <c r="A899" s="2" t="str">
        <f>_xlfn.TEXTJOIN("",TRUE,Input!$B$2,ROW(My_Audit!A898))</f>
        <v>X898</v>
      </c>
    </row>
    <row r="900" spans="1:1">
      <c r="A900" s="2" t="str">
        <f>_xlfn.TEXTJOIN("",TRUE,Input!$B$2,ROW(My_Audit!A899))</f>
        <v>X899</v>
      </c>
    </row>
    <row r="901" spans="1:1">
      <c r="A901" s="2" t="str">
        <f>_xlfn.TEXTJOIN("",TRUE,Input!$B$2,ROW(My_Audit!A900))</f>
        <v>X900</v>
      </c>
    </row>
    <row r="902" spans="1:1">
      <c r="A902" s="2" t="str">
        <f>_xlfn.TEXTJOIN("",TRUE,Input!$B$2,ROW(My_Audit!A901))</f>
        <v>X901</v>
      </c>
    </row>
    <row r="903" spans="1:1">
      <c r="A903" s="2" t="str">
        <f>_xlfn.TEXTJOIN("",TRUE,Input!$B$2,ROW(My_Audit!A902))</f>
        <v>X902</v>
      </c>
    </row>
    <row r="904" spans="1:1">
      <c r="A904" s="2" t="str">
        <f>_xlfn.TEXTJOIN("",TRUE,Input!$B$2,ROW(My_Audit!A903))</f>
        <v>X903</v>
      </c>
    </row>
    <row r="905" spans="1:1">
      <c r="A905" s="2" t="str">
        <f>_xlfn.TEXTJOIN("",TRUE,Input!$B$2,ROW(My_Audit!A904))</f>
        <v>X904</v>
      </c>
    </row>
    <row r="906" spans="1:1">
      <c r="A906" s="2" t="str">
        <f>_xlfn.TEXTJOIN("",TRUE,Input!$B$2,ROW(My_Audit!A905))</f>
        <v>X905</v>
      </c>
    </row>
    <row r="907" spans="1:1">
      <c r="A907" s="2" t="str">
        <f>_xlfn.TEXTJOIN("",TRUE,Input!$B$2,ROW(My_Audit!A906))</f>
        <v>X906</v>
      </c>
    </row>
    <row r="908" spans="1:1">
      <c r="A908" s="2" t="str">
        <f>_xlfn.TEXTJOIN("",TRUE,Input!$B$2,ROW(My_Audit!A907))</f>
        <v>X907</v>
      </c>
    </row>
    <row r="909" spans="1:1">
      <c r="A909" s="2" t="str">
        <f>_xlfn.TEXTJOIN("",TRUE,Input!$B$2,ROW(My_Audit!A908))</f>
        <v>X908</v>
      </c>
    </row>
    <row r="910" spans="1:1">
      <c r="A910" s="2" t="str">
        <f>_xlfn.TEXTJOIN("",TRUE,Input!$B$2,ROW(My_Audit!A909))</f>
        <v>X909</v>
      </c>
    </row>
    <row r="911" spans="1:1">
      <c r="A911" s="2" t="str">
        <f>_xlfn.TEXTJOIN("",TRUE,Input!$B$2,ROW(My_Audit!A910))</f>
        <v>X910</v>
      </c>
    </row>
    <row r="912" spans="1:1">
      <c r="A912" s="2" t="str">
        <f>_xlfn.TEXTJOIN("",TRUE,Input!$B$2,ROW(My_Audit!A911))</f>
        <v>X911</v>
      </c>
    </row>
    <row r="913" spans="1:1">
      <c r="A913" s="2" t="str">
        <f>_xlfn.TEXTJOIN("",TRUE,Input!$B$2,ROW(My_Audit!A912))</f>
        <v>X912</v>
      </c>
    </row>
    <row r="914" spans="1:1">
      <c r="A914" s="2" t="str">
        <f>_xlfn.TEXTJOIN("",TRUE,Input!$B$2,ROW(My_Audit!A913))</f>
        <v>X913</v>
      </c>
    </row>
    <row r="915" spans="1:1">
      <c r="A915" s="2" t="str">
        <f>_xlfn.TEXTJOIN("",TRUE,Input!$B$2,ROW(My_Audit!A914))</f>
        <v>X914</v>
      </c>
    </row>
    <row r="916" spans="1:1">
      <c r="A916" s="2" t="str">
        <f>_xlfn.TEXTJOIN("",TRUE,Input!$B$2,ROW(My_Audit!A915))</f>
        <v>X915</v>
      </c>
    </row>
    <row r="917" spans="1:1">
      <c r="A917" s="2" t="str">
        <f>_xlfn.TEXTJOIN("",TRUE,Input!$B$2,ROW(My_Audit!A916))</f>
        <v>X916</v>
      </c>
    </row>
    <row r="918" spans="1:1">
      <c r="A918" s="2" t="str">
        <f>_xlfn.TEXTJOIN("",TRUE,Input!$B$2,ROW(My_Audit!A917))</f>
        <v>X917</v>
      </c>
    </row>
    <row r="919" spans="1:1">
      <c r="A919" s="2" t="str">
        <f>_xlfn.TEXTJOIN("",TRUE,Input!$B$2,ROW(My_Audit!A918))</f>
        <v>X918</v>
      </c>
    </row>
    <row r="920" spans="1:1">
      <c r="A920" s="2" t="str">
        <f>_xlfn.TEXTJOIN("",TRUE,Input!$B$2,ROW(My_Audit!A919))</f>
        <v>X919</v>
      </c>
    </row>
    <row r="921" spans="1:1">
      <c r="A921" s="2" t="str">
        <f>_xlfn.TEXTJOIN("",TRUE,Input!$B$2,ROW(My_Audit!A920))</f>
        <v>X920</v>
      </c>
    </row>
    <row r="922" spans="1:1">
      <c r="A922" s="2" t="str">
        <f>_xlfn.TEXTJOIN("",TRUE,Input!$B$2,ROW(My_Audit!A921))</f>
        <v>X921</v>
      </c>
    </row>
    <row r="923" spans="1:1">
      <c r="A923" s="2" t="str">
        <f>_xlfn.TEXTJOIN("",TRUE,Input!$B$2,ROW(My_Audit!A922))</f>
        <v>X922</v>
      </c>
    </row>
    <row r="924" spans="1:1">
      <c r="A924" s="2" t="str">
        <f>_xlfn.TEXTJOIN("",TRUE,Input!$B$2,ROW(My_Audit!A923))</f>
        <v>X923</v>
      </c>
    </row>
    <row r="925" spans="1:1">
      <c r="A925" s="2" t="str">
        <f>_xlfn.TEXTJOIN("",TRUE,Input!$B$2,ROW(My_Audit!A924))</f>
        <v>X924</v>
      </c>
    </row>
    <row r="926" spans="1:1">
      <c r="A926" s="2" t="str">
        <f>_xlfn.TEXTJOIN("",TRUE,Input!$B$2,ROW(My_Audit!A925))</f>
        <v>X925</v>
      </c>
    </row>
    <row r="927" spans="1:1">
      <c r="A927" s="2" t="str">
        <f>_xlfn.TEXTJOIN("",TRUE,Input!$B$2,ROW(My_Audit!A926))</f>
        <v>X926</v>
      </c>
    </row>
    <row r="928" spans="1:1">
      <c r="A928" s="2" t="str">
        <f>_xlfn.TEXTJOIN("",TRUE,Input!$B$2,ROW(My_Audit!A927))</f>
        <v>X927</v>
      </c>
    </row>
    <row r="929" spans="1:1">
      <c r="A929" s="2" t="str">
        <f>_xlfn.TEXTJOIN("",TRUE,Input!$B$2,ROW(My_Audit!A928))</f>
        <v>X928</v>
      </c>
    </row>
    <row r="930" spans="1:1">
      <c r="A930" s="2" t="str">
        <f>_xlfn.TEXTJOIN("",TRUE,Input!$B$2,ROW(My_Audit!A929))</f>
        <v>X929</v>
      </c>
    </row>
    <row r="931" spans="1:1">
      <c r="A931" s="2" t="str">
        <f>_xlfn.TEXTJOIN("",TRUE,Input!$B$2,ROW(My_Audit!A930))</f>
        <v>X930</v>
      </c>
    </row>
    <row r="932" spans="1:1">
      <c r="A932" s="2" t="str">
        <f>_xlfn.TEXTJOIN("",TRUE,Input!$B$2,ROW(My_Audit!A931))</f>
        <v>X931</v>
      </c>
    </row>
    <row r="933" spans="1:1">
      <c r="A933" s="2" t="str">
        <f>_xlfn.TEXTJOIN("",TRUE,Input!$B$2,ROW(My_Audit!A932))</f>
        <v>X932</v>
      </c>
    </row>
    <row r="934" spans="1:1">
      <c r="A934" s="2" t="str">
        <f>_xlfn.TEXTJOIN("",TRUE,Input!$B$2,ROW(My_Audit!A933))</f>
        <v>X933</v>
      </c>
    </row>
    <row r="935" spans="1:1">
      <c r="A935" s="2" t="str">
        <f>_xlfn.TEXTJOIN("",TRUE,Input!$B$2,ROW(My_Audit!A934))</f>
        <v>X934</v>
      </c>
    </row>
    <row r="936" spans="1:1">
      <c r="A936" s="2" t="str">
        <f>_xlfn.TEXTJOIN("",TRUE,Input!$B$2,ROW(My_Audit!A935))</f>
        <v>X935</v>
      </c>
    </row>
    <row r="937" spans="1:1">
      <c r="A937" s="2" t="str">
        <f>_xlfn.TEXTJOIN("",TRUE,Input!$B$2,ROW(My_Audit!A936))</f>
        <v>X936</v>
      </c>
    </row>
    <row r="938" spans="1:1">
      <c r="A938" s="2" t="str">
        <f>_xlfn.TEXTJOIN("",TRUE,Input!$B$2,ROW(My_Audit!A937))</f>
        <v>X937</v>
      </c>
    </row>
    <row r="939" spans="1:1">
      <c r="A939" s="2" t="str">
        <f>_xlfn.TEXTJOIN("",TRUE,Input!$B$2,ROW(My_Audit!A938))</f>
        <v>X938</v>
      </c>
    </row>
    <row r="940" spans="1:1">
      <c r="A940" s="2" t="str">
        <f>_xlfn.TEXTJOIN("",TRUE,Input!$B$2,ROW(My_Audit!A939))</f>
        <v>X939</v>
      </c>
    </row>
    <row r="941" spans="1:1">
      <c r="A941" s="2" t="str">
        <f>_xlfn.TEXTJOIN("",TRUE,Input!$B$2,ROW(My_Audit!A940))</f>
        <v>X940</v>
      </c>
    </row>
    <row r="942" spans="1:1">
      <c r="A942" s="2" t="str">
        <f>_xlfn.TEXTJOIN("",TRUE,Input!$B$2,ROW(My_Audit!A941))</f>
        <v>X941</v>
      </c>
    </row>
    <row r="943" spans="1:1">
      <c r="A943" s="2" t="str">
        <f>_xlfn.TEXTJOIN("",TRUE,Input!$B$2,ROW(My_Audit!A942))</f>
        <v>X942</v>
      </c>
    </row>
    <row r="944" spans="1:1">
      <c r="A944" s="2" t="str">
        <f>_xlfn.TEXTJOIN("",TRUE,Input!$B$2,ROW(My_Audit!A943))</f>
        <v>X943</v>
      </c>
    </row>
    <row r="945" spans="1:1">
      <c r="A945" s="2" t="str">
        <f>_xlfn.TEXTJOIN("",TRUE,Input!$B$2,ROW(My_Audit!A944))</f>
        <v>X944</v>
      </c>
    </row>
    <row r="946" spans="1:1">
      <c r="A946" s="2" t="str">
        <f>_xlfn.TEXTJOIN("",TRUE,Input!$B$2,ROW(My_Audit!A945))</f>
        <v>X945</v>
      </c>
    </row>
    <row r="947" spans="1:1">
      <c r="A947" s="2" t="str">
        <f>_xlfn.TEXTJOIN("",TRUE,Input!$B$2,ROW(My_Audit!A946))</f>
        <v>X946</v>
      </c>
    </row>
    <row r="948" spans="1:1">
      <c r="A948" s="2" t="str">
        <f>_xlfn.TEXTJOIN("",TRUE,Input!$B$2,ROW(My_Audit!A947))</f>
        <v>X947</v>
      </c>
    </row>
    <row r="949" spans="1:1">
      <c r="A949" s="2" t="str">
        <f>_xlfn.TEXTJOIN("",TRUE,Input!$B$2,ROW(My_Audit!A948))</f>
        <v>X948</v>
      </c>
    </row>
    <row r="950" spans="1:1">
      <c r="A950" s="2" t="str">
        <f>_xlfn.TEXTJOIN("",TRUE,Input!$B$2,ROW(My_Audit!A949))</f>
        <v>X949</v>
      </c>
    </row>
    <row r="951" spans="1:1">
      <c r="A951" s="2" t="str">
        <f>_xlfn.TEXTJOIN("",TRUE,Input!$B$2,ROW(My_Audit!A950))</f>
        <v>X950</v>
      </c>
    </row>
    <row r="952" spans="1:1">
      <c r="A952" s="2" t="str">
        <f>_xlfn.TEXTJOIN("",TRUE,Input!$B$2,ROW(My_Audit!A951))</f>
        <v>X951</v>
      </c>
    </row>
    <row r="953" spans="1:1">
      <c r="A953" s="2" t="str">
        <f>_xlfn.TEXTJOIN("",TRUE,Input!$B$2,ROW(My_Audit!A952))</f>
        <v>X952</v>
      </c>
    </row>
    <row r="954" spans="1:1">
      <c r="A954" s="2" t="str">
        <f>_xlfn.TEXTJOIN("",TRUE,Input!$B$2,ROW(My_Audit!A953))</f>
        <v>X953</v>
      </c>
    </row>
    <row r="955" spans="1:1">
      <c r="A955" s="2" t="str">
        <f>_xlfn.TEXTJOIN("",TRUE,Input!$B$2,ROW(My_Audit!A954))</f>
        <v>X954</v>
      </c>
    </row>
    <row r="956" spans="1:1">
      <c r="A956" s="2" t="str">
        <f>_xlfn.TEXTJOIN("",TRUE,Input!$B$2,ROW(My_Audit!A955))</f>
        <v>X955</v>
      </c>
    </row>
    <row r="957" spans="1:1">
      <c r="A957" s="2" t="str">
        <f>_xlfn.TEXTJOIN("",TRUE,Input!$B$2,ROW(My_Audit!A956))</f>
        <v>X956</v>
      </c>
    </row>
    <row r="958" spans="1:1">
      <c r="A958" s="2" t="str">
        <f>_xlfn.TEXTJOIN("",TRUE,Input!$B$2,ROW(My_Audit!A957))</f>
        <v>X957</v>
      </c>
    </row>
    <row r="959" spans="1:1">
      <c r="A959" s="2" t="str">
        <f>_xlfn.TEXTJOIN("",TRUE,Input!$B$2,ROW(My_Audit!A958))</f>
        <v>X958</v>
      </c>
    </row>
    <row r="960" spans="1:1">
      <c r="A960" s="2" t="str">
        <f>_xlfn.TEXTJOIN("",TRUE,Input!$B$2,ROW(My_Audit!A959))</f>
        <v>X959</v>
      </c>
    </row>
    <row r="961" spans="1:1">
      <c r="A961" s="2" t="str">
        <f>_xlfn.TEXTJOIN("",TRUE,Input!$B$2,ROW(My_Audit!A960))</f>
        <v>X960</v>
      </c>
    </row>
    <row r="962" spans="1:1">
      <c r="A962" s="2" t="str">
        <f>_xlfn.TEXTJOIN("",TRUE,Input!$B$2,ROW(My_Audit!A961))</f>
        <v>X961</v>
      </c>
    </row>
    <row r="963" spans="1:1">
      <c r="A963" s="2" t="str">
        <f>_xlfn.TEXTJOIN("",TRUE,Input!$B$2,ROW(My_Audit!A962))</f>
        <v>X962</v>
      </c>
    </row>
    <row r="964" spans="1:1">
      <c r="A964" s="2" t="str">
        <f>_xlfn.TEXTJOIN("",TRUE,Input!$B$2,ROW(My_Audit!A963))</f>
        <v>X963</v>
      </c>
    </row>
    <row r="965" spans="1:1">
      <c r="A965" s="2" t="str">
        <f>_xlfn.TEXTJOIN("",TRUE,Input!$B$2,ROW(My_Audit!A964))</f>
        <v>X964</v>
      </c>
    </row>
    <row r="966" spans="1:1">
      <c r="A966" s="2" t="str">
        <f>_xlfn.TEXTJOIN("",TRUE,Input!$B$2,ROW(My_Audit!A965))</f>
        <v>X965</v>
      </c>
    </row>
    <row r="967" spans="1:1">
      <c r="A967" s="2" t="str">
        <f>_xlfn.TEXTJOIN("",TRUE,Input!$B$2,ROW(My_Audit!A966))</f>
        <v>X966</v>
      </c>
    </row>
    <row r="968" spans="1:1">
      <c r="A968" s="2" t="str">
        <f>_xlfn.TEXTJOIN("",TRUE,Input!$B$2,ROW(My_Audit!A967))</f>
        <v>X967</v>
      </c>
    </row>
    <row r="969" spans="1:1">
      <c r="A969" s="2" t="str">
        <f>_xlfn.TEXTJOIN("",TRUE,Input!$B$2,ROW(My_Audit!A968))</f>
        <v>X968</v>
      </c>
    </row>
    <row r="970" spans="1:1">
      <c r="A970" s="2" t="str">
        <f>_xlfn.TEXTJOIN("",TRUE,Input!$B$2,ROW(My_Audit!A969))</f>
        <v>X969</v>
      </c>
    </row>
    <row r="971" spans="1:1">
      <c r="A971" s="2" t="str">
        <f>_xlfn.TEXTJOIN("",TRUE,Input!$B$2,ROW(My_Audit!A970))</f>
        <v>X970</v>
      </c>
    </row>
    <row r="972" spans="1:1">
      <c r="A972" s="2" t="str">
        <f>_xlfn.TEXTJOIN("",TRUE,Input!$B$2,ROW(My_Audit!A971))</f>
        <v>X971</v>
      </c>
    </row>
    <row r="973" spans="1:1">
      <c r="A973" s="2" t="str">
        <f>_xlfn.TEXTJOIN("",TRUE,Input!$B$2,ROW(My_Audit!A972))</f>
        <v>X972</v>
      </c>
    </row>
    <row r="974" spans="1:1">
      <c r="A974" s="2" t="str">
        <f>_xlfn.TEXTJOIN("",TRUE,Input!$B$2,ROW(My_Audit!A973))</f>
        <v>X973</v>
      </c>
    </row>
    <row r="975" spans="1:1">
      <c r="A975" s="2" t="str">
        <f>_xlfn.TEXTJOIN("",TRUE,Input!$B$2,ROW(My_Audit!A974))</f>
        <v>X974</v>
      </c>
    </row>
    <row r="976" spans="1:1">
      <c r="A976" s="2" t="str">
        <f>_xlfn.TEXTJOIN("",TRUE,Input!$B$2,ROW(My_Audit!A975))</f>
        <v>X975</v>
      </c>
    </row>
    <row r="977" spans="1:1">
      <c r="A977" s="2" t="str">
        <f>_xlfn.TEXTJOIN("",TRUE,Input!$B$2,ROW(My_Audit!A976))</f>
        <v>X976</v>
      </c>
    </row>
    <row r="978" spans="1:1">
      <c r="A978" s="2" t="str">
        <f>_xlfn.TEXTJOIN("",TRUE,Input!$B$2,ROW(My_Audit!A977))</f>
        <v>X977</v>
      </c>
    </row>
    <row r="979" spans="1:1">
      <c r="A979" s="2" t="str">
        <f>_xlfn.TEXTJOIN("",TRUE,Input!$B$2,ROW(My_Audit!A978))</f>
        <v>X978</v>
      </c>
    </row>
    <row r="980" spans="1:1">
      <c r="A980" s="2" t="str">
        <f>_xlfn.TEXTJOIN("",TRUE,Input!$B$2,ROW(My_Audit!A979))</f>
        <v>X979</v>
      </c>
    </row>
    <row r="981" spans="1:1">
      <c r="A981" s="2" t="str">
        <f>_xlfn.TEXTJOIN("",TRUE,Input!$B$2,ROW(My_Audit!A980))</f>
        <v>X980</v>
      </c>
    </row>
    <row r="982" spans="1:1">
      <c r="A982" s="2" t="str">
        <f>_xlfn.TEXTJOIN("",TRUE,Input!$B$2,ROW(My_Audit!A981))</f>
        <v>X981</v>
      </c>
    </row>
    <row r="983" spans="1:1">
      <c r="A983" s="2" t="str">
        <f>_xlfn.TEXTJOIN("",TRUE,Input!$B$2,ROW(My_Audit!A982))</f>
        <v>X982</v>
      </c>
    </row>
    <row r="984" spans="1:1">
      <c r="A984" s="2" t="str">
        <f>_xlfn.TEXTJOIN("",TRUE,Input!$B$2,ROW(My_Audit!A983))</f>
        <v>X983</v>
      </c>
    </row>
    <row r="985" spans="1:1">
      <c r="A985" s="2" t="str">
        <f>_xlfn.TEXTJOIN("",TRUE,Input!$B$2,ROW(My_Audit!A984))</f>
        <v>X984</v>
      </c>
    </row>
    <row r="986" spans="1:1">
      <c r="A986" s="2" t="str">
        <f>_xlfn.TEXTJOIN("",TRUE,Input!$B$2,ROW(My_Audit!A985))</f>
        <v>X985</v>
      </c>
    </row>
    <row r="987" spans="1:1">
      <c r="A987" s="2" t="str">
        <f>_xlfn.TEXTJOIN("",TRUE,Input!$B$2,ROW(My_Audit!A986))</f>
        <v>X986</v>
      </c>
    </row>
    <row r="988" spans="1:1">
      <c r="A988" s="2" t="str">
        <f>_xlfn.TEXTJOIN("",TRUE,Input!$B$2,ROW(My_Audit!A987))</f>
        <v>X987</v>
      </c>
    </row>
    <row r="989" spans="1:1">
      <c r="A989" s="2" t="str">
        <f>_xlfn.TEXTJOIN("",TRUE,Input!$B$2,ROW(My_Audit!A988))</f>
        <v>X988</v>
      </c>
    </row>
    <row r="990" spans="1:1">
      <c r="A990" s="2" t="str">
        <f>_xlfn.TEXTJOIN("",TRUE,Input!$B$2,ROW(My_Audit!A989))</f>
        <v>X989</v>
      </c>
    </row>
    <row r="991" spans="1:1">
      <c r="A991" s="2" t="str">
        <f>_xlfn.TEXTJOIN("",TRUE,Input!$B$2,ROW(My_Audit!A990))</f>
        <v>X990</v>
      </c>
    </row>
    <row r="992" spans="1:1">
      <c r="A992" s="2" t="str">
        <f>_xlfn.TEXTJOIN("",TRUE,Input!$B$2,ROW(My_Audit!A991))</f>
        <v>X991</v>
      </c>
    </row>
    <row r="993" spans="1:1">
      <c r="A993" s="2" t="str">
        <f>_xlfn.TEXTJOIN("",TRUE,Input!$B$2,ROW(My_Audit!A992))</f>
        <v>X992</v>
      </c>
    </row>
    <row r="994" spans="1:1">
      <c r="A994" s="2" t="str">
        <f>_xlfn.TEXTJOIN("",TRUE,Input!$B$2,ROW(My_Audit!A993))</f>
        <v>X993</v>
      </c>
    </row>
    <row r="995" spans="1:1">
      <c r="A995" s="2" t="str">
        <f>_xlfn.TEXTJOIN("",TRUE,Input!$B$2,ROW(My_Audit!A994))</f>
        <v>X994</v>
      </c>
    </row>
    <row r="996" spans="1:1">
      <c r="A996" s="2" t="str">
        <f>_xlfn.TEXTJOIN("",TRUE,Input!$B$2,ROW(My_Audit!A995))</f>
        <v>X995</v>
      </c>
    </row>
    <row r="997" spans="1:1">
      <c r="A997" s="2" t="str">
        <f>_xlfn.TEXTJOIN("",TRUE,Input!$B$2,ROW(My_Audit!A996))</f>
        <v>X996</v>
      </c>
    </row>
    <row r="998" spans="1:1">
      <c r="A998" s="2" t="str">
        <f>_xlfn.TEXTJOIN("",TRUE,Input!$B$2,ROW(My_Audit!A997))</f>
        <v>X997</v>
      </c>
    </row>
    <row r="999" spans="1:1">
      <c r="A999" s="2" t="str">
        <f>_xlfn.TEXTJOIN("",TRUE,Input!$B$2,ROW(My_Audit!A998))</f>
        <v>X998</v>
      </c>
    </row>
    <row r="1000" spans="1:1">
      <c r="A1000" s="2" t="str">
        <f>_xlfn.TEXTJOIN("",TRUE,Input!$B$2,ROW(My_Audit!A999))</f>
        <v>X999</v>
      </c>
    </row>
    <row r="1001" spans="1:1">
      <c r="A1001" s="2" t="str">
        <f>_xlfn.TEXTJOIN("",TRUE,Input!$B$2,ROW(My_Audit!A1000))</f>
        <v>X1000</v>
      </c>
    </row>
    <row r="1002" spans="1:1">
      <c r="A1002" s="2" t="str">
        <f>_xlfn.TEXTJOIN("",TRUE,Input!$B$2,ROW(My_Audit!A1001))</f>
        <v>X1001</v>
      </c>
    </row>
    <row r="1003" spans="1:1">
      <c r="A1003" s="2" t="str">
        <f>_xlfn.TEXTJOIN("",TRUE,Input!$B$2,ROW(My_Audit!A1002))</f>
        <v>X1002</v>
      </c>
    </row>
    <row r="1004" spans="1:1">
      <c r="A1004" s="2" t="str">
        <f>_xlfn.TEXTJOIN("",TRUE,Input!$B$2,ROW(My_Audit!A1003))</f>
        <v>X1003</v>
      </c>
    </row>
    <row r="1005" spans="1:1">
      <c r="A1005" s="2" t="str">
        <f>_xlfn.TEXTJOIN("",TRUE,Input!$B$2,ROW(My_Audit!A1004))</f>
        <v>X1004</v>
      </c>
    </row>
    <row r="1006" spans="1:1">
      <c r="A1006" s="2" t="str">
        <f>_xlfn.TEXTJOIN("",TRUE,Input!$B$2,ROW(My_Audit!A1005))</f>
        <v>X1005</v>
      </c>
    </row>
    <row r="1007" spans="1:1">
      <c r="A1007" s="2" t="str">
        <f>_xlfn.TEXTJOIN("",TRUE,Input!$B$2,ROW(My_Audit!A1006))</f>
        <v>X1006</v>
      </c>
    </row>
    <row r="1008" spans="1:1">
      <c r="A1008" s="2" t="str">
        <f>_xlfn.TEXTJOIN("",TRUE,Input!$B$2,ROW(My_Audit!A1007))</f>
        <v>X1007</v>
      </c>
    </row>
    <row r="1009" spans="1:1">
      <c r="A1009" s="2" t="str">
        <f>_xlfn.TEXTJOIN("",TRUE,Input!$B$2,ROW(My_Audit!A1008))</f>
        <v>X1008</v>
      </c>
    </row>
    <row r="1010" spans="1:1">
      <c r="A1010" s="2" t="str">
        <f>_xlfn.TEXTJOIN("",TRUE,Input!$B$2,ROW(My_Audit!A1009))</f>
        <v>X1009</v>
      </c>
    </row>
    <row r="1011" spans="1:1">
      <c r="A1011" s="2" t="str">
        <f>_xlfn.TEXTJOIN("",TRUE,Input!$B$2,ROW(My_Audit!A1010))</f>
        <v>X1010</v>
      </c>
    </row>
    <row r="1012" spans="1:1">
      <c r="A1012" s="2" t="str">
        <f>_xlfn.TEXTJOIN("",TRUE,Input!$B$2,ROW(My_Audit!A1011))</f>
        <v>X1011</v>
      </c>
    </row>
    <row r="1013" spans="1:1">
      <c r="A1013" s="2" t="str">
        <f>_xlfn.TEXTJOIN("",TRUE,Input!$B$2,ROW(My_Audit!A1012))</f>
        <v>X1012</v>
      </c>
    </row>
    <row r="1014" spans="1:1">
      <c r="A1014" s="2" t="str">
        <f>_xlfn.TEXTJOIN("",TRUE,Input!$B$2,ROW(My_Audit!A1013))</f>
        <v>X1013</v>
      </c>
    </row>
    <row r="1015" spans="1:1">
      <c r="A1015" s="2" t="str">
        <f>_xlfn.TEXTJOIN("",TRUE,Input!$B$2,ROW(My_Audit!A1014))</f>
        <v>X1014</v>
      </c>
    </row>
    <row r="1016" spans="1:1">
      <c r="A1016" s="2" t="str">
        <f>_xlfn.TEXTJOIN("",TRUE,Input!$B$2,ROW(My_Audit!A1015))</f>
        <v>X1015</v>
      </c>
    </row>
    <row r="1017" spans="1:1">
      <c r="A1017" s="2" t="str">
        <f>_xlfn.TEXTJOIN("",TRUE,Input!$B$2,ROW(My_Audit!A1016))</f>
        <v>X1016</v>
      </c>
    </row>
    <row r="1018" spans="1:1">
      <c r="A1018" s="2" t="str">
        <f>_xlfn.TEXTJOIN("",TRUE,Input!$B$2,ROW(My_Audit!A1017))</f>
        <v>X1017</v>
      </c>
    </row>
    <row r="1019" spans="1:1">
      <c r="A1019" s="2" t="str">
        <f>_xlfn.TEXTJOIN("",TRUE,Input!$B$2,ROW(My_Audit!A1018))</f>
        <v>X1018</v>
      </c>
    </row>
    <row r="1020" spans="1:1">
      <c r="A1020" s="2" t="str">
        <f>_xlfn.TEXTJOIN("",TRUE,Input!$B$2,ROW(My_Audit!A1019))</f>
        <v>X1019</v>
      </c>
    </row>
    <row r="1021" spans="1:1">
      <c r="A1021" s="2" t="str">
        <f>_xlfn.TEXTJOIN("",TRUE,Input!$B$2,ROW(My_Audit!A1020))</f>
        <v>X1020</v>
      </c>
    </row>
    <row r="1022" spans="1:1">
      <c r="A1022" s="2" t="str">
        <f>_xlfn.TEXTJOIN("",TRUE,Input!$B$2,ROW(My_Audit!A1021))</f>
        <v>X1021</v>
      </c>
    </row>
    <row r="1023" spans="1:1">
      <c r="A1023" s="2" t="str">
        <f>_xlfn.TEXTJOIN("",TRUE,Input!$B$2,ROW(My_Audit!A1022))</f>
        <v>X1022</v>
      </c>
    </row>
    <row r="1024" spans="1:1">
      <c r="A1024" s="2" t="str">
        <f>_xlfn.TEXTJOIN("",TRUE,Input!$B$2,ROW(My_Audit!A1023))</f>
        <v>X1023</v>
      </c>
    </row>
    <row r="1025" spans="1:1">
      <c r="A1025" s="2" t="str">
        <f>_xlfn.TEXTJOIN("",TRUE,Input!$B$2,ROW(My_Audit!A1024))</f>
        <v>X1024</v>
      </c>
    </row>
    <row r="1026" spans="1:1">
      <c r="A1026" s="2" t="str">
        <f>_xlfn.TEXTJOIN("",TRUE,Input!$B$2,ROW(My_Audit!A1025))</f>
        <v>X1025</v>
      </c>
    </row>
    <row r="1027" spans="1:1">
      <c r="A1027" s="2" t="str">
        <f>_xlfn.TEXTJOIN("",TRUE,Input!$B$2,ROW(My_Audit!A1026))</f>
        <v>X1026</v>
      </c>
    </row>
    <row r="1028" spans="1:1">
      <c r="A1028" s="2" t="str">
        <f>_xlfn.TEXTJOIN("",TRUE,Input!$B$2,ROW(My_Audit!A1027))</f>
        <v>X1027</v>
      </c>
    </row>
    <row r="1029" spans="1:1">
      <c r="A1029" s="2" t="str">
        <f>_xlfn.TEXTJOIN("",TRUE,Input!$B$2,ROW(My_Audit!A1028))</f>
        <v>X1028</v>
      </c>
    </row>
    <row r="1030" spans="1:1">
      <c r="A1030" s="2" t="str">
        <f>_xlfn.TEXTJOIN("",TRUE,Input!$B$2,ROW(My_Audit!A1029))</f>
        <v>X1029</v>
      </c>
    </row>
    <row r="1031" spans="1:1">
      <c r="A1031" s="2" t="str">
        <f>_xlfn.TEXTJOIN("",TRUE,Input!$B$2,ROW(My_Audit!A1030))</f>
        <v>X1030</v>
      </c>
    </row>
    <row r="1032" spans="1:1">
      <c r="A1032" s="2" t="str">
        <f>_xlfn.TEXTJOIN("",TRUE,Input!$B$2,ROW(My_Audit!A1031))</f>
        <v>X1031</v>
      </c>
    </row>
    <row r="1033" spans="1:1">
      <c r="A1033" s="2" t="str">
        <f>_xlfn.TEXTJOIN("",TRUE,Input!$B$2,ROW(My_Audit!A1032))</f>
        <v>X1032</v>
      </c>
    </row>
    <row r="1034" spans="1:1">
      <c r="A1034" s="2" t="str">
        <f>_xlfn.TEXTJOIN("",TRUE,Input!$B$2,ROW(My_Audit!A1033))</f>
        <v>X1033</v>
      </c>
    </row>
    <row r="1035" spans="1:1">
      <c r="A1035" s="2" t="str">
        <f>_xlfn.TEXTJOIN("",TRUE,Input!$B$2,ROW(My_Audit!A1034))</f>
        <v>X1034</v>
      </c>
    </row>
    <row r="1036" spans="1:1">
      <c r="A1036" s="2" t="str">
        <f>_xlfn.TEXTJOIN("",TRUE,Input!$B$2,ROW(My_Audit!A1035))</f>
        <v>X1035</v>
      </c>
    </row>
    <row r="1037" spans="1:1">
      <c r="A1037" s="2" t="str">
        <f>_xlfn.TEXTJOIN("",TRUE,Input!$B$2,ROW(My_Audit!A1036))</f>
        <v>X1036</v>
      </c>
    </row>
    <row r="1038" spans="1:1">
      <c r="A1038" s="2" t="str">
        <f>_xlfn.TEXTJOIN("",TRUE,Input!$B$2,ROW(My_Audit!A1037))</f>
        <v>X1037</v>
      </c>
    </row>
    <row r="1039" spans="1:1">
      <c r="A1039" s="2" t="str">
        <f>_xlfn.TEXTJOIN("",TRUE,Input!$B$2,ROW(My_Audit!A1038))</f>
        <v>X1038</v>
      </c>
    </row>
    <row r="1040" spans="1:1">
      <c r="A1040" s="2" t="str">
        <f>_xlfn.TEXTJOIN("",TRUE,Input!$B$2,ROW(My_Audit!A1039))</f>
        <v>X1039</v>
      </c>
    </row>
    <row r="1041" spans="1:1">
      <c r="A1041" s="2" t="str">
        <f>_xlfn.TEXTJOIN("",TRUE,Input!$B$2,ROW(My_Audit!A1040))</f>
        <v>X1040</v>
      </c>
    </row>
    <row r="1042" spans="1:1">
      <c r="A1042" s="2" t="str">
        <f>_xlfn.TEXTJOIN("",TRUE,Input!$B$2,ROW(My_Audit!A1041))</f>
        <v>X1041</v>
      </c>
    </row>
    <row r="1043" spans="1:1">
      <c r="A1043" s="2" t="str">
        <f>_xlfn.TEXTJOIN("",TRUE,Input!$B$2,ROW(My_Audit!A1042))</f>
        <v>X1042</v>
      </c>
    </row>
    <row r="1044" spans="1:1">
      <c r="A1044" s="2" t="str">
        <f>_xlfn.TEXTJOIN("",TRUE,Input!$B$2,ROW(My_Audit!A1043))</f>
        <v>X1043</v>
      </c>
    </row>
    <row r="1045" spans="1:1">
      <c r="A1045" s="2" t="str">
        <f>_xlfn.TEXTJOIN("",TRUE,Input!$B$2,ROW(My_Audit!A1044))</f>
        <v>X1044</v>
      </c>
    </row>
    <row r="1046" spans="1:1">
      <c r="A1046" s="2" t="str">
        <f>_xlfn.TEXTJOIN("",TRUE,Input!$B$2,ROW(My_Audit!A1045))</f>
        <v>X1045</v>
      </c>
    </row>
    <row r="1047" spans="1:1">
      <c r="A1047" s="2" t="str">
        <f>_xlfn.TEXTJOIN("",TRUE,Input!$B$2,ROW(My_Audit!A1046))</f>
        <v>X1046</v>
      </c>
    </row>
    <row r="1048" spans="1:1">
      <c r="A1048" s="2" t="str">
        <f>_xlfn.TEXTJOIN("",TRUE,Input!$B$2,ROW(My_Audit!A1047))</f>
        <v>X1047</v>
      </c>
    </row>
    <row r="1049" spans="1:1">
      <c r="A1049" s="2" t="str">
        <f>_xlfn.TEXTJOIN("",TRUE,Input!$B$2,ROW(My_Audit!A1048))</f>
        <v>X1048</v>
      </c>
    </row>
    <row r="1050" spans="1:1">
      <c r="A1050" s="2" t="str">
        <f>_xlfn.TEXTJOIN("",TRUE,Input!$B$2,ROW(My_Audit!A1049))</f>
        <v>X1049</v>
      </c>
    </row>
    <row r="1051" spans="1:1">
      <c r="A1051" s="2" t="str">
        <f>_xlfn.TEXTJOIN("",TRUE,Input!$B$2,ROW(My_Audit!A1050))</f>
        <v>X1050</v>
      </c>
    </row>
    <row r="1052" spans="1:1">
      <c r="A1052" s="2" t="str">
        <f>_xlfn.TEXTJOIN("",TRUE,Input!$B$2,ROW(My_Audit!A1051))</f>
        <v>X1051</v>
      </c>
    </row>
    <row r="1053" spans="1:1">
      <c r="A1053" s="2" t="str">
        <f>_xlfn.TEXTJOIN("",TRUE,Input!$B$2,ROW(My_Audit!A1052))</f>
        <v>X1052</v>
      </c>
    </row>
    <row r="1054" spans="1:1">
      <c r="A1054" s="2" t="str">
        <f>_xlfn.TEXTJOIN("",TRUE,Input!$B$2,ROW(My_Audit!A1053))</f>
        <v>X1053</v>
      </c>
    </row>
    <row r="1055" spans="1:1">
      <c r="A1055" s="2" t="str">
        <f>_xlfn.TEXTJOIN("",TRUE,Input!$B$2,ROW(My_Audit!A1054))</f>
        <v>X1054</v>
      </c>
    </row>
    <row r="1056" spans="1:1">
      <c r="A1056" s="2" t="str">
        <f>_xlfn.TEXTJOIN("",TRUE,Input!$B$2,ROW(My_Audit!A1055))</f>
        <v>X1055</v>
      </c>
    </row>
    <row r="1057" spans="1:1">
      <c r="A1057" s="2" t="str">
        <f>_xlfn.TEXTJOIN("",TRUE,Input!$B$2,ROW(My_Audit!A1056))</f>
        <v>X1056</v>
      </c>
    </row>
    <row r="1058" spans="1:1">
      <c r="A1058" s="2" t="str">
        <f>_xlfn.TEXTJOIN("",TRUE,Input!$B$2,ROW(My_Audit!A1057))</f>
        <v>X1057</v>
      </c>
    </row>
    <row r="1059" spans="1:1">
      <c r="A1059" s="2" t="str">
        <f>_xlfn.TEXTJOIN("",TRUE,Input!$B$2,ROW(My_Audit!A1058))</f>
        <v>X1058</v>
      </c>
    </row>
    <row r="1060" spans="1:1">
      <c r="A1060" s="2" t="str">
        <f>_xlfn.TEXTJOIN("",TRUE,Input!$B$2,ROW(My_Audit!A1059))</f>
        <v>X1059</v>
      </c>
    </row>
    <row r="1061" spans="1:1">
      <c r="A1061" s="2" t="str">
        <f>_xlfn.TEXTJOIN("",TRUE,Input!$B$2,ROW(My_Audit!A1060))</f>
        <v>X1060</v>
      </c>
    </row>
    <row r="1062" spans="1:1">
      <c r="A1062" s="2" t="str">
        <f>_xlfn.TEXTJOIN("",TRUE,Input!$B$2,ROW(My_Audit!A1061))</f>
        <v>X1061</v>
      </c>
    </row>
    <row r="1063" spans="1:1">
      <c r="A1063" s="2" t="str">
        <f>_xlfn.TEXTJOIN("",TRUE,Input!$B$2,ROW(My_Audit!A1062))</f>
        <v>X1062</v>
      </c>
    </row>
    <row r="1064" spans="1:1">
      <c r="A1064" s="2" t="str">
        <f>_xlfn.TEXTJOIN("",TRUE,Input!$B$2,ROW(My_Audit!A1063))</f>
        <v>X1063</v>
      </c>
    </row>
    <row r="1065" spans="1:1">
      <c r="A1065" s="2" t="str">
        <f>_xlfn.TEXTJOIN("",TRUE,Input!$B$2,ROW(My_Audit!A1064))</f>
        <v>X1064</v>
      </c>
    </row>
    <row r="1066" spans="1:1">
      <c r="A1066" s="2" t="str">
        <f>_xlfn.TEXTJOIN("",TRUE,Input!$B$2,ROW(My_Audit!A1065))</f>
        <v>X1065</v>
      </c>
    </row>
    <row r="1067" spans="1:1">
      <c r="A1067" s="2" t="str">
        <f>_xlfn.TEXTJOIN("",TRUE,Input!$B$2,ROW(My_Audit!A1066))</f>
        <v>X1066</v>
      </c>
    </row>
    <row r="1068" spans="1:1">
      <c r="A1068" s="2" t="str">
        <f>_xlfn.TEXTJOIN("",TRUE,Input!$B$2,ROW(My_Audit!A1067))</f>
        <v>X1067</v>
      </c>
    </row>
    <row r="1069" spans="1:1">
      <c r="A1069" s="2" t="str">
        <f>_xlfn.TEXTJOIN("",TRUE,Input!$B$2,ROW(My_Audit!A1068))</f>
        <v>X1068</v>
      </c>
    </row>
    <row r="1070" spans="1:1">
      <c r="A1070" s="2" t="str">
        <f>_xlfn.TEXTJOIN("",TRUE,Input!$B$2,ROW(My_Audit!A1069))</f>
        <v>X1069</v>
      </c>
    </row>
    <row r="1071" spans="1:1">
      <c r="A1071" s="2" t="str">
        <f>_xlfn.TEXTJOIN("",TRUE,Input!$B$2,ROW(My_Audit!A1070))</f>
        <v>X1070</v>
      </c>
    </row>
    <row r="1072" spans="1:1">
      <c r="A1072" s="2" t="str">
        <f>_xlfn.TEXTJOIN("",TRUE,Input!$B$2,ROW(My_Audit!A1071))</f>
        <v>X1071</v>
      </c>
    </row>
    <row r="1073" spans="1:1">
      <c r="A1073" s="2" t="str">
        <f>_xlfn.TEXTJOIN("",TRUE,Input!$B$2,ROW(My_Audit!A1072))</f>
        <v>X1072</v>
      </c>
    </row>
    <row r="1074" spans="1:1">
      <c r="A1074" s="2" t="str">
        <f>_xlfn.TEXTJOIN("",TRUE,Input!$B$2,ROW(My_Audit!A1073))</f>
        <v>X1073</v>
      </c>
    </row>
    <row r="1075" spans="1:1">
      <c r="A1075" s="2" t="str">
        <f>_xlfn.TEXTJOIN("",TRUE,Input!$B$2,ROW(My_Audit!A1074))</f>
        <v>X1074</v>
      </c>
    </row>
    <row r="1076" spans="1:1">
      <c r="A1076" s="2" t="str">
        <f>_xlfn.TEXTJOIN("",TRUE,Input!$B$2,ROW(My_Audit!A1075))</f>
        <v>X1075</v>
      </c>
    </row>
    <row r="1077" spans="1:1">
      <c r="A1077" s="2" t="str">
        <f>_xlfn.TEXTJOIN("",TRUE,Input!$B$2,ROW(My_Audit!A1076))</f>
        <v>X1076</v>
      </c>
    </row>
    <row r="1078" spans="1:1">
      <c r="A1078" s="2" t="str">
        <f>_xlfn.TEXTJOIN("",TRUE,Input!$B$2,ROW(My_Audit!A1077))</f>
        <v>X1077</v>
      </c>
    </row>
    <row r="1079" spans="1:1">
      <c r="A1079" s="2" t="str">
        <f>_xlfn.TEXTJOIN("",TRUE,Input!$B$2,ROW(My_Audit!A1078))</f>
        <v>X1078</v>
      </c>
    </row>
    <row r="1080" spans="1:1">
      <c r="A1080" s="2" t="str">
        <f>_xlfn.TEXTJOIN("",TRUE,Input!$B$2,ROW(My_Audit!A1079))</f>
        <v>X1079</v>
      </c>
    </row>
    <row r="1081" spans="1:1">
      <c r="A1081" s="2" t="str">
        <f>_xlfn.TEXTJOIN("",TRUE,Input!$B$2,ROW(My_Audit!A1080))</f>
        <v>X1080</v>
      </c>
    </row>
    <row r="1082" spans="1:1">
      <c r="A1082" s="2" t="str">
        <f>_xlfn.TEXTJOIN("",TRUE,Input!$B$2,ROW(My_Audit!A1081))</f>
        <v>X1081</v>
      </c>
    </row>
    <row r="1083" spans="1:1">
      <c r="A1083" s="2" t="str">
        <f>_xlfn.TEXTJOIN("",TRUE,Input!$B$2,ROW(My_Audit!A1082))</f>
        <v>X1082</v>
      </c>
    </row>
    <row r="1084" spans="1:1">
      <c r="A1084" s="2" t="str">
        <f>_xlfn.TEXTJOIN("",TRUE,Input!$B$2,ROW(My_Audit!A1083))</f>
        <v>X1083</v>
      </c>
    </row>
    <row r="1085" spans="1:1">
      <c r="A1085" s="2" t="str">
        <f>_xlfn.TEXTJOIN("",TRUE,Input!$B$2,ROW(My_Audit!A1084))</f>
        <v>X1084</v>
      </c>
    </row>
    <row r="1086" spans="1:1">
      <c r="A1086" s="2" t="str">
        <f>_xlfn.TEXTJOIN("",TRUE,Input!$B$2,ROW(My_Audit!A1085))</f>
        <v>X1085</v>
      </c>
    </row>
    <row r="1087" spans="1:1">
      <c r="A1087" s="2" t="str">
        <f>_xlfn.TEXTJOIN("",TRUE,Input!$B$2,ROW(My_Audit!A1086))</f>
        <v>X1086</v>
      </c>
    </row>
    <row r="1088" spans="1:1">
      <c r="A1088" s="2" t="str">
        <f>_xlfn.TEXTJOIN("",TRUE,Input!$B$2,ROW(My_Audit!A1087))</f>
        <v>X1087</v>
      </c>
    </row>
    <row r="1089" spans="1:1">
      <c r="A1089" s="2" t="str">
        <f>_xlfn.TEXTJOIN("",TRUE,Input!$B$2,ROW(My_Audit!A1088))</f>
        <v>X1088</v>
      </c>
    </row>
    <row r="1090" spans="1:1">
      <c r="A1090" s="2" t="str">
        <f>_xlfn.TEXTJOIN("",TRUE,Input!$B$2,ROW(My_Audit!A1089))</f>
        <v>X1089</v>
      </c>
    </row>
    <row r="1091" spans="1:1">
      <c r="A1091" s="2" t="str">
        <f>_xlfn.TEXTJOIN("",TRUE,Input!$B$2,ROW(My_Audit!A1090))</f>
        <v>X1090</v>
      </c>
    </row>
    <row r="1092" spans="1:1">
      <c r="A1092" s="2" t="str">
        <f>_xlfn.TEXTJOIN("",TRUE,Input!$B$2,ROW(My_Audit!A1091))</f>
        <v>X1091</v>
      </c>
    </row>
    <row r="1093" spans="1:1">
      <c r="A1093" s="2" t="str">
        <f>_xlfn.TEXTJOIN("",TRUE,Input!$B$2,ROW(My_Audit!A1092))</f>
        <v>X1092</v>
      </c>
    </row>
    <row r="1094" spans="1:1">
      <c r="A1094" s="2" t="str">
        <f>_xlfn.TEXTJOIN("",TRUE,Input!$B$2,ROW(My_Audit!A1093))</f>
        <v>X1093</v>
      </c>
    </row>
    <row r="1095" spans="1:1">
      <c r="A1095" s="2" t="str">
        <f>_xlfn.TEXTJOIN("",TRUE,Input!$B$2,ROW(My_Audit!A1094))</f>
        <v>X1094</v>
      </c>
    </row>
    <row r="1096" spans="1:1">
      <c r="A1096" s="2" t="str">
        <f>_xlfn.TEXTJOIN("",TRUE,Input!$B$2,ROW(My_Audit!A1095))</f>
        <v>X1095</v>
      </c>
    </row>
    <row r="1097" spans="1:1">
      <c r="A1097" s="2" t="str">
        <f>_xlfn.TEXTJOIN("",TRUE,Input!$B$2,ROW(My_Audit!A1096))</f>
        <v>X1096</v>
      </c>
    </row>
    <row r="1098" spans="1:1">
      <c r="A1098" s="2" t="str">
        <f>_xlfn.TEXTJOIN("",TRUE,Input!$B$2,ROW(My_Audit!A1097))</f>
        <v>X1097</v>
      </c>
    </row>
    <row r="1099" spans="1:1">
      <c r="A1099" s="2" t="str">
        <f>_xlfn.TEXTJOIN("",TRUE,Input!$B$2,ROW(My_Audit!A1098))</f>
        <v>X1098</v>
      </c>
    </row>
    <row r="1100" spans="1:1">
      <c r="A1100" s="2" t="str">
        <f>_xlfn.TEXTJOIN("",TRUE,Input!$B$2,ROW(My_Audit!A1099))</f>
        <v>X1099</v>
      </c>
    </row>
    <row r="1101" spans="1:1">
      <c r="A1101" s="2" t="str">
        <f>_xlfn.TEXTJOIN("",TRUE,Input!$B$2,ROW(My_Audit!A1100))</f>
        <v>X1100</v>
      </c>
    </row>
    <row r="1102" spans="1:1">
      <c r="A1102" s="2" t="str">
        <f>_xlfn.TEXTJOIN("",TRUE,Input!$B$2,ROW(My_Audit!A1101))</f>
        <v>X1101</v>
      </c>
    </row>
    <row r="1103" spans="1:1">
      <c r="A1103" s="2" t="str">
        <f>_xlfn.TEXTJOIN("",TRUE,Input!$B$2,ROW(My_Audit!A1102))</f>
        <v>X1102</v>
      </c>
    </row>
    <row r="1104" spans="1:1">
      <c r="A1104" s="2" t="str">
        <f>_xlfn.TEXTJOIN("",TRUE,Input!$B$2,ROW(My_Audit!A1103))</f>
        <v>X1103</v>
      </c>
    </row>
    <row r="1105" spans="1:1">
      <c r="A1105" s="2" t="str">
        <f>_xlfn.TEXTJOIN("",TRUE,Input!$B$2,ROW(My_Audit!A1104))</f>
        <v>X1104</v>
      </c>
    </row>
    <row r="1106" spans="1:1">
      <c r="A1106" s="2" t="str">
        <f>_xlfn.TEXTJOIN("",TRUE,Input!$B$2,ROW(My_Audit!A1105))</f>
        <v>X1105</v>
      </c>
    </row>
    <row r="1107" spans="1:1">
      <c r="A1107" s="2" t="str">
        <f>_xlfn.TEXTJOIN("",TRUE,Input!$B$2,ROW(My_Audit!A1106))</f>
        <v>X1106</v>
      </c>
    </row>
    <row r="1108" spans="1:1">
      <c r="A1108" s="2" t="str">
        <f>_xlfn.TEXTJOIN("",TRUE,Input!$B$2,ROW(My_Audit!A1107))</f>
        <v>X1107</v>
      </c>
    </row>
    <row r="1109" spans="1:1">
      <c r="A1109" s="2" t="str">
        <f>_xlfn.TEXTJOIN("",TRUE,Input!$B$2,ROW(My_Audit!A1108))</f>
        <v>X1108</v>
      </c>
    </row>
    <row r="1110" spans="1:1">
      <c r="A1110" s="2" t="str">
        <f>_xlfn.TEXTJOIN("",TRUE,Input!$B$2,ROW(My_Audit!A1109))</f>
        <v>X1109</v>
      </c>
    </row>
    <row r="1111" spans="1:1">
      <c r="A1111" s="2" t="str">
        <f>_xlfn.TEXTJOIN("",TRUE,Input!$B$2,ROW(My_Audit!A1110))</f>
        <v>X1110</v>
      </c>
    </row>
    <row r="1112" spans="1:1">
      <c r="A1112" s="2" t="str">
        <f>_xlfn.TEXTJOIN("",TRUE,Input!$B$2,ROW(My_Audit!A1111))</f>
        <v>X1111</v>
      </c>
    </row>
    <row r="1113" spans="1:1">
      <c r="A1113" s="2" t="str">
        <f>_xlfn.TEXTJOIN("",TRUE,Input!$B$2,ROW(My_Audit!A1112))</f>
        <v>X1112</v>
      </c>
    </row>
    <row r="1114" spans="1:1">
      <c r="A1114" s="2" t="str">
        <f>_xlfn.TEXTJOIN("",TRUE,Input!$B$2,ROW(My_Audit!A1113))</f>
        <v>X1113</v>
      </c>
    </row>
    <row r="1115" spans="1:1">
      <c r="A1115" s="2" t="str">
        <f>_xlfn.TEXTJOIN("",TRUE,Input!$B$2,ROW(My_Audit!A1114))</f>
        <v>X1114</v>
      </c>
    </row>
    <row r="1116" spans="1:1">
      <c r="A1116" s="2" t="str">
        <f>_xlfn.TEXTJOIN("",TRUE,Input!$B$2,ROW(My_Audit!A1115))</f>
        <v>X1115</v>
      </c>
    </row>
    <row r="1117" spans="1:1">
      <c r="A1117" s="2" t="str">
        <f>_xlfn.TEXTJOIN("",TRUE,Input!$B$2,ROW(My_Audit!A1116))</f>
        <v>X1116</v>
      </c>
    </row>
    <row r="1118" spans="1:1">
      <c r="A1118" s="2" t="str">
        <f>_xlfn.TEXTJOIN("",TRUE,Input!$B$2,ROW(My_Audit!A1117))</f>
        <v>X1117</v>
      </c>
    </row>
    <row r="1119" spans="1:1">
      <c r="A1119" s="2" t="str">
        <f>_xlfn.TEXTJOIN("",TRUE,Input!$B$2,ROW(My_Audit!A1118))</f>
        <v>X1118</v>
      </c>
    </row>
    <row r="1120" spans="1:1">
      <c r="A1120" s="2" t="str">
        <f>_xlfn.TEXTJOIN("",TRUE,Input!$B$2,ROW(My_Audit!A1119))</f>
        <v>X1119</v>
      </c>
    </row>
    <row r="1121" spans="1:1">
      <c r="A1121" s="2" t="str">
        <f>_xlfn.TEXTJOIN("",TRUE,Input!$B$2,ROW(My_Audit!A1120))</f>
        <v>X1120</v>
      </c>
    </row>
    <row r="1122" spans="1:1">
      <c r="A1122" s="2" t="str">
        <f>_xlfn.TEXTJOIN("",TRUE,Input!$B$2,ROW(My_Audit!A1121))</f>
        <v>X1121</v>
      </c>
    </row>
    <row r="1123" spans="1:1">
      <c r="A1123" s="2" t="str">
        <f>_xlfn.TEXTJOIN("",TRUE,Input!$B$2,ROW(My_Audit!A1122))</f>
        <v>X1122</v>
      </c>
    </row>
    <row r="1124" spans="1:1">
      <c r="A1124" s="2" t="str">
        <f>_xlfn.TEXTJOIN("",TRUE,Input!$B$2,ROW(My_Audit!A1123))</f>
        <v>X1123</v>
      </c>
    </row>
    <row r="1125" spans="1:1">
      <c r="A1125" s="2" t="str">
        <f>_xlfn.TEXTJOIN("",TRUE,Input!$B$2,ROW(My_Audit!A1124))</f>
        <v>X1124</v>
      </c>
    </row>
    <row r="1126" spans="1:1">
      <c r="A1126" s="2" t="str">
        <f>_xlfn.TEXTJOIN("",TRUE,Input!$B$2,ROW(My_Audit!A1125))</f>
        <v>X1125</v>
      </c>
    </row>
    <row r="1127" spans="1:1">
      <c r="A1127" s="2" t="str">
        <f>_xlfn.TEXTJOIN("",TRUE,Input!$B$2,ROW(My_Audit!A1126))</f>
        <v>X1126</v>
      </c>
    </row>
    <row r="1128" spans="1:1">
      <c r="A1128" s="2" t="str">
        <f>_xlfn.TEXTJOIN("",TRUE,Input!$B$2,ROW(My_Audit!A1127))</f>
        <v>X1127</v>
      </c>
    </row>
    <row r="1129" spans="1:1">
      <c r="A1129" s="2" t="str">
        <f>_xlfn.TEXTJOIN("",TRUE,Input!$B$2,ROW(My_Audit!A1128))</f>
        <v>X1128</v>
      </c>
    </row>
    <row r="1130" spans="1:1">
      <c r="A1130" s="2" t="str">
        <f>_xlfn.TEXTJOIN("",TRUE,Input!$B$2,ROW(My_Audit!A1129))</f>
        <v>X1129</v>
      </c>
    </row>
    <row r="1131" spans="1:1">
      <c r="A1131" s="2" t="str">
        <f>_xlfn.TEXTJOIN("",TRUE,Input!$B$2,ROW(My_Audit!A1130))</f>
        <v>X1130</v>
      </c>
    </row>
    <row r="1132" spans="1:1">
      <c r="A1132" s="2" t="str">
        <f>_xlfn.TEXTJOIN("",TRUE,Input!$B$2,ROW(My_Audit!A1131))</f>
        <v>X1131</v>
      </c>
    </row>
    <row r="1133" spans="1:1">
      <c r="A1133" s="2" t="str">
        <f>_xlfn.TEXTJOIN("",TRUE,Input!$B$2,ROW(My_Audit!A1132))</f>
        <v>X1132</v>
      </c>
    </row>
    <row r="1134" spans="1:1">
      <c r="A1134" s="2" t="str">
        <f>_xlfn.TEXTJOIN("",TRUE,Input!$B$2,ROW(My_Audit!A1133))</f>
        <v>X1133</v>
      </c>
    </row>
    <row r="1135" spans="1:1">
      <c r="A1135" s="2" t="str">
        <f>_xlfn.TEXTJOIN("",TRUE,Input!$B$2,ROW(My_Audit!A1134))</f>
        <v>X1134</v>
      </c>
    </row>
    <row r="1136" spans="1:1">
      <c r="A1136" s="2" t="str">
        <f>_xlfn.TEXTJOIN("",TRUE,Input!$B$2,ROW(My_Audit!A1135))</f>
        <v>X1135</v>
      </c>
    </row>
    <row r="1137" spans="1:1">
      <c r="A1137" s="2" t="str">
        <f>_xlfn.TEXTJOIN("",TRUE,Input!$B$2,ROW(My_Audit!A1136))</f>
        <v>X1136</v>
      </c>
    </row>
    <row r="1138" spans="1:1">
      <c r="A1138" s="2" t="str">
        <f>_xlfn.TEXTJOIN("",TRUE,Input!$B$2,ROW(My_Audit!A1137))</f>
        <v>X1137</v>
      </c>
    </row>
    <row r="1139" spans="1:1">
      <c r="A1139" s="2" t="str">
        <f>_xlfn.TEXTJOIN("",TRUE,Input!$B$2,ROW(My_Audit!A1138))</f>
        <v>X1138</v>
      </c>
    </row>
    <row r="1140" spans="1:1">
      <c r="A1140" s="2" t="str">
        <f>_xlfn.TEXTJOIN("",TRUE,Input!$B$2,ROW(My_Audit!A1139))</f>
        <v>X1139</v>
      </c>
    </row>
    <row r="1141" spans="1:1">
      <c r="A1141" s="2" t="str">
        <f>_xlfn.TEXTJOIN("",TRUE,Input!$B$2,ROW(My_Audit!A1140))</f>
        <v>X1140</v>
      </c>
    </row>
    <row r="1142" spans="1:1">
      <c r="A1142" s="2" t="str">
        <f>_xlfn.TEXTJOIN("",TRUE,Input!$B$2,ROW(My_Audit!A1141))</f>
        <v>X1141</v>
      </c>
    </row>
    <row r="1143" spans="1:1">
      <c r="A1143" s="2" t="str">
        <f>_xlfn.TEXTJOIN("",TRUE,Input!$B$2,ROW(My_Audit!A1142))</f>
        <v>X1142</v>
      </c>
    </row>
    <row r="1144" spans="1:1">
      <c r="A1144" s="2" t="str">
        <f>_xlfn.TEXTJOIN("",TRUE,Input!$B$2,ROW(My_Audit!A1143))</f>
        <v>X1143</v>
      </c>
    </row>
    <row r="1145" spans="1:1">
      <c r="A1145" s="2" t="str">
        <f>_xlfn.TEXTJOIN("",TRUE,Input!$B$2,ROW(My_Audit!A1144))</f>
        <v>X1144</v>
      </c>
    </row>
    <row r="1146" spans="1:1">
      <c r="A1146" s="2" t="str">
        <f>_xlfn.TEXTJOIN("",TRUE,Input!$B$2,ROW(My_Audit!A1145))</f>
        <v>X1145</v>
      </c>
    </row>
    <row r="1147" spans="1:1">
      <c r="A1147" s="2" t="str">
        <f>_xlfn.TEXTJOIN("",TRUE,Input!$B$2,ROW(My_Audit!A1146))</f>
        <v>X1146</v>
      </c>
    </row>
    <row r="1148" spans="1:1">
      <c r="A1148" s="2" t="str">
        <f>_xlfn.TEXTJOIN("",TRUE,Input!$B$2,ROW(My_Audit!A1147))</f>
        <v>X1147</v>
      </c>
    </row>
    <row r="1149" spans="1:1">
      <c r="A1149" s="2" t="str">
        <f>_xlfn.TEXTJOIN("",TRUE,Input!$B$2,ROW(My_Audit!A1148))</f>
        <v>X1148</v>
      </c>
    </row>
    <row r="1150" spans="1:1">
      <c r="A1150" s="2" t="str">
        <f>_xlfn.TEXTJOIN("",TRUE,Input!$B$2,ROW(My_Audit!A1149))</f>
        <v>X1149</v>
      </c>
    </row>
    <row r="1151" spans="1:1">
      <c r="A1151" s="2" t="str">
        <f>_xlfn.TEXTJOIN("",TRUE,Input!$B$2,ROW(My_Audit!A1150))</f>
        <v>X1150</v>
      </c>
    </row>
    <row r="1152" spans="1:1">
      <c r="A1152" s="2" t="str">
        <f>_xlfn.TEXTJOIN("",TRUE,Input!$B$2,ROW(My_Audit!A1151))</f>
        <v>X1151</v>
      </c>
    </row>
    <row r="1153" spans="1:1">
      <c r="A1153" s="2" t="str">
        <f>_xlfn.TEXTJOIN("",TRUE,Input!$B$2,ROW(My_Audit!A1152))</f>
        <v>X1152</v>
      </c>
    </row>
    <row r="1154" spans="1:1">
      <c r="A1154" s="2" t="str">
        <f>_xlfn.TEXTJOIN("",TRUE,Input!$B$2,ROW(My_Audit!A1153))</f>
        <v>X1153</v>
      </c>
    </row>
    <row r="1155" spans="1:1">
      <c r="A1155" s="2" t="str">
        <f>_xlfn.TEXTJOIN("",TRUE,Input!$B$2,ROW(My_Audit!A1154))</f>
        <v>X1154</v>
      </c>
    </row>
    <row r="1156" spans="1:1">
      <c r="A1156" s="2" t="str">
        <f>_xlfn.TEXTJOIN("",TRUE,Input!$B$2,ROW(My_Audit!A1155))</f>
        <v>X1155</v>
      </c>
    </row>
    <row r="1157" spans="1:1">
      <c r="A1157" s="2" t="str">
        <f>_xlfn.TEXTJOIN("",TRUE,Input!$B$2,ROW(My_Audit!A1156))</f>
        <v>X1156</v>
      </c>
    </row>
    <row r="1158" spans="1:1">
      <c r="A1158" s="2" t="str">
        <f>_xlfn.TEXTJOIN("",TRUE,Input!$B$2,ROW(My_Audit!A1157))</f>
        <v>X1157</v>
      </c>
    </row>
    <row r="1159" spans="1:1">
      <c r="A1159" s="2" t="str">
        <f>_xlfn.TEXTJOIN("",TRUE,Input!$B$2,ROW(My_Audit!A1158))</f>
        <v>X1158</v>
      </c>
    </row>
    <row r="1160" spans="1:1">
      <c r="A1160" s="2" t="str">
        <f>_xlfn.TEXTJOIN("",TRUE,Input!$B$2,ROW(My_Audit!A1159))</f>
        <v>X1159</v>
      </c>
    </row>
    <row r="1161" spans="1:1">
      <c r="A1161" s="2" t="str">
        <f>_xlfn.TEXTJOIN("",TRUE,Input!$B$2,ROW(My_Audit!A1160))</f>
        <v>X1160</v>
      </c>
    </row>
    <row r="1162" spans="1:1">
      <c r="A1162" s="2" t="str">
        <f>_xlfn.TEXTJOIN("",TRUE,Input!$B$2,ROW(My_Audit!A1161))</f>
        <v>X1161</v>
      </c>
    </row>
    <row r="1163" spans="1:1">
      <c r="A1163" s="2" t="str">
        <f>_xlfn.TEXTJOIN("",TRUE,Input!$B$2,ROW(My_Audit!A1162))</f>
        <v>X1162</v>
      </c>
    </row>
    <row r="1164" spans="1:1">
      <c r="A1164" s="2" t="str">
        <f>_xlfn.TEXTJOIN("",TRUE,Input!$B$2,ROW(My_Audit!A1163))</f>
        <v>X1163</v>
      </c>
    </row>
    <row r="1165" spans="1:1">
      <c r="A1165" s="2" t="str">
        <f>_xlfn.TEXTJOIN("",TRUE,Input!$B$2,ROW(My_Audit!A1164))</f>
        <v>X1164</v>
      </c>
    </row>
    <row r="1166" spans="1:1">
      <c r="A1166" s="2" t="str">
        <f>_xlfn.TEXTJOIN("",TRUE,Input!$B$2,ROW(My_Audit!A1165))</f>
        <v>X1165</v>
      </c>
    </row>
    <row r="1167" spans="1:1">
      <c r="A1167" s="2" t="str">
        <f>_xlfn.TEXTJOIN("",TRUE,Input!$B$2,ROW(My_Audit!A1166))</f>
        <v>X1166</v>
      </c>
    </row>
    <row r="1168" spans="1:1">
      <c r="A1168" s="2" t="str">
        <f>_xlfn.TEXTJOIN("",TRUE,Input!$B$2,ROW(My_Audit!A1167))</f>
        <v>X1167</v>
      </c>
    </row>
    <row r="1169" spans="1:1">
      <c r="A1169" s="2" t="str">
        <f>_xlfn.TEXTJOIN("",TRUE,Input!$B$2,ROW(My_Audit!A1168))</f>
        <v>X1168</v>
      </c>
    </row>
    <row r="1170" spans="1:1">
      <c r="A1170" s="2" t="str">
        <f>_xlfn.TEXTJOIN("",TRUE,Input!$B$2,ROW(My_Audit!A1169))</f>
        <v>X1169</v>
      </c>
    </row>
    <row r="1171" spans="1:1">
      <c r="A1171" s="2" t="str">
        <f>_xlfn.TEXTJOIN("",TRUE,Input!$B$2,ROW(My_Audit!A1170))</f>
        <v>X1170</v>
      </c>
    </row>
    <row r="1172" spans="1:1">
      <c r="A1172" s="2" t="str">
        <f>_xlfn.TEXTJOIN("",TRUE,Input!$B$2,ROW(My_Audit!A1171))</f>
        <v>X1171</v>
      </c>
    </row>
    <row r="1173" spans="1:1">
      <c r="A1173" s="2" t="str">
        <f>_xlfn.TEXTJOIN("",TRUE,Input!$B$2,ROW(My_Audit!A1172))</f>
        <v>X1172</v>
      </c>
    </row>
    <row r="1174" spans="1:1">
      <c r="A1174" s="2" t="str">
        <f>_xlfn.TEXTJOIN("",TRUE,Input!$B$2,ROW(My_Audit!A1173))</f>
        <v>X1173</v>
      </c>
    </row>
    <row r="1175" spans="1:1">
      <c r="A1175" s="2" t="str">
        <f>_xlfn.TEXTJOIN("",TRUE,Input!$B$2,ROW(My_Audit!A1174))</f>
        <v>X1174</v>
      </c>
    </row>
    <row r="1176" spans="1:1">
      <c r="A1176" s="2" t="str">
        <f>_xlfn.TEXTJOIN("",TRUE,Input!$B$2,ROW(My_Audit!A1175))</f>
        <v>X1175</v>
      </c>
    </row>
    <row r="1177" spans="1:1">
      <c r="A1177" s="2" t="str">
        <f>_xlfn.TEXTJOIN("",TRUE,Input!$B$2,ROW(My_Audit!A1176))</f>
        <v>X1176</v>
      </c>
    </row>
    <row r="1178" spans="1:1">
      <c r="A1178" s="2" t="str">
        <f>_xlfn.TEXTJOIN("",TRUE,Input!$B$2,ROW(My_Audit!A1177))</f>
        <v>X1177</v>
      </c>
    </row>
    <row r="1179" spans="1:1">
      <c r="A1179" s="2" t="str">
        <f>_xlfn.TEXTJOIN("",TRUE,Input!$B$2,ROW(My_Audit!A1178))</f>
        <v>X1178</v>
      </c>
    </row>
    <row r="1180" spans="1:1">
      <c r="A1180" s="2" t="str">
        <f>_xlfn.TEXTJOIN("",TRUE,Input!$B$2,ROW(My_Audit!A1179))</f>
        <v>X1179</v>
      </c>
    </row>
    <row r="1181" spans="1:1">
      <c r="A1181" s="2" t="str">
        <f>_xlfn.TEXTJOIN("",TRUE,Input!$B$2,ROW(My_Audit!A1180))</f>
        <v>X1180</v>
      </c>
    </row>
    <row r="1182" spans="1:1">
      <c r="A1182" s="2" t="str">
        <f>_xlfn.TEXTJOIN("",TRUE,Input!$B$2,ROW(My_Audit!A1181))</f>
        <v>X1181</v>
      </c>
    </row>
    <row r="1183" spans="1:1">
      <c r="A1183" s="2" t="str">
        <f>_xlfn.TEXTJOIN("",TRUE,Input!$B$2,ROW(My_Audit!A1182))</f>
        <v>X1182</v>
      </c>
    </row>
    <row r="1184" spans="1:1">
      <c r="A1184" s="2" t="str">
        <f>_xlfn.TEXTJOIN("",TRUE,Input!$B$2,ROW(My_Audit!A1183))</f>
        <v>X1183</v>
      </c>
    </row>
    <row r="1185" spans="1:1">
      <c r="A1185" s="2" t="str">
        <f>_xlfn.TEXTJOIN("",TRUE,Input!$B$2,ROW(My_Audit!A1184))</f>
        <v>X1184</v>
      </c>
    </row>
    <row r="1186" spans="1:1">
      <c r="A1186" s="2" t="str">
        <f>_xlfn.TEXTJOIN("",TRUE,Input!$B$2,ROW(My_Audit!A1185))</f>
        <v>X1185</v>
      </c>
    </row>
    <row r="1187" spans="1:1">
      <c r="A1187" s="2" t="str">
        <f>_xlfn.TEXTJOIN("",TRUE,Input!$B$2,ROW(My_Audit!A1186))</f>
        <v>X1186</v>
      </c>
    </row>
    <row r="1188" spans="1:1">
      <c r="A1188" s="2" t="str">
        <f>_xlfn.TEXTJOIN("",TRUE,Input!$B$2,ROW(My_Audit!A1187))</f>
        <v>X1187</v>
      </c>
    </row>
    <row r="1189" spans="1:1">
      <c r="A1189" s="2" t="str">
        <f>_xlfn.TEXTJOIN("",TRUE,Input!$B$2,ROW(My_Audit!A1188))</f>
        <v>X1188</v>
      </c>
    </row>
    <row r="1190" spans="1:1">
      <c r="A1190" s="2" t="str">
        <f>_xlfn.TEXTJOIN("",TRUE,Input!$B$2,ROW(My_Audit!A1189))</f>
        <v>X1189</v>
      </c>
    </row>
    <row r="1191" spans="1:1">
      <c r="A1191" s="2" t="str">
        <f>_xlfn.TEXTJOIN("",TRUE,Input!$B$2,ROW(My_Audit!A1190))</f>
        <v>X1190</v>
      </c>
    </row>
    <row r="1192" spans="1:1">
      <c r="A1192" s="2" t="str">
        <f>_xlfn.TEXTJOIN("",TRUE,Input!$B$2,ROW(My_Audit!A1191))</f>
        <v>X1191</v>
      </c>
    </row>
    <row r="1193" spans="1:1">
      <c r="A1193" s="2" t="str">
        <f>_xlfn.TEXTJOIN("",TRUE,Input!$B$2,ROW(My_Audit!A1192))</f>
        <v>X1192</v>
      </c>
    </row>
    <row r="1194" spans="1:1">
      <c r="A1194" s="2" t="str">
        <f>_xlfn.TEXTJOIN("",TRUE,Input!$B$2,ROW(My_Audit!A1193))</f>
        <v>X1193</v>
      </c>
    </row>
    <row r="1195" spans="1:1">
      <c r="A1195" s="2" t="str">
        <f>_xlfn.TEXTJOIN("",TRUE,Input!$B$2,ROW(My_Audit!A1194))</f>
        <v>X1194</v>
      </c>
    </row>
    <row r="1196" spans="1:1">
      <c r="A1196" s="2" t="str">
        <f>_xlfn.TEXTJOIN("",TRUE,Input!$B$2,ROW(My_Audit!A1195))</f>
        <v>X1195</v>
      </c>
    </row>
    <row r="1197" spans="1:1">
      <c r="A1197" s="2" t="str">
        <f>_xlfn.TEXTJOIN("",TRUE,Input!$B$2,ROW(My_Audit!A1196))</f>
        <v>X1196</v>
      </c>
    </row>
    <row r="1198" spans="1:1">
      <c r="A1198" s="2" t="str">
        <f>_xlfn.TEXTJOIN("",TRUE,Input!$B$2,ROW(My_Audit!A1197))</f>
        <v>X1197</v>
      </c>
    </row>
    <row r="1199" spans="1:1">
      <c r="A1199" s="2" t="str">
        <f>_xlfn.TEXTJOIN("",TRUE,Input!$B$2,ROW(My_Audit!A1198))</f>
        <v>X1198</v>
      </c>
    </row>
    <row r="1200" spans="1:1">
      <c r="A1200" s="2" t="str">
        <f>_xlfn.TEXTJOIN("",TRUE,Input!$B$2,ROW(My_Audit!A1199))</f>
        <v>X1199</v>
      </c>
    </row>
    <row r="1201" spans="1:1">
      <c r="A1201" s="2" t="str">
        <f>_xlfn.TEXTJOIN("",TRUE,Input!$B$2,ROW(My_Audit!A1200))</f>
        <v>X1200</v>
      </c>
    </row>
    <row r="1202" spans="1:1">
      <c r="A1202" s="2" t="str">
        <f>_xlfn.TEXTJOIN("",TRUE,Input!$B$2,ROW(My_Audit!A1201))</f>
        <v>X1201</v>
      </c>
    </row>
    <row r="1203" spans="1:1">
      <c r="A1203" s="2" t="str">
        <f>_xlfn.TEXTJOIN("",TRUE,Input!$B$2,ROW(My_Audit!A1202))</f>
        <v>X1202</v>
      </c>
    </row>
    <row r="1204" spans="1:1">
      <c r="A1204" s="2" t="str">
        <f>_xlfn.TEXTJOIN("",TRUE,Input!$B$2,ROW(My_Audit!A1203))</f>
        <v>X1203</v>
      </c>
    </row>
    <row r="1205" spans="1:1">
      <c r="A1205" s="2" t="str">
        <f>_xlfn.TEXTJOIN("",TRUE,Input!$B$2,ROW(My_Audit!A1204))</f>
        <v>X1204</v>
      </c>
    </row>
    <row r="1206" spans="1:1">
      <c r="A1206" s="2" t="str">
        <f>_xlfn.TEXTJOIN("",TRUE,Input!$B$2,ROW(My_Audit!A1205))</f>
        <v>X1205</v>
      </c>
    </row>
    <row r="1207" spans="1:1">
      <c r="A1207" s="2" t="str">
        <f>_xlfn.TEXTJOIN("",TRUE,Input!$B$2,ROW(My_Audit!A1206))</f>
        <v>X1206</v>
      </c>
    </row>
    <row r="1208" spans="1:1">
      <c r="A1208" s="2" t="str">
        <f>_xlfn.TEXTJOIN("",TRUE,Input!$B$2,ROW(My_Audit!A1207))</f>
        <v>X1207</v>
      </c>
    </row>
    <row r="1209" spans="1:1">
      <c r="A1209" s="2" t="str">
        <f>_xlfn.TEXTJOIN("",TRUE,Input!$B$2,ROW(My_Audit!A1208))</f>
        <v>X1208</v>
      </c>
    </row>
    <row r="1210" spans="1:1">
      <c r="A1210" s="2" t="str">
        <f>_xlfn.TEXTJOIN("",TRUE,Input!$B$2,ROW(My_Audit!A1209))</f>
        <v>X1209</v>
      </c>
    </row>
    <row r="1211" spans="1:1">
      <c r="A1211" s="2" t="str">
        <f>_xlfn.TEXTJOIN("",TRUE,Input!$B$2,ROW(My_Audit!A1210))</f>
        <v>X1210</v>
      </c>
    </row>
    <row r="1212" spans="1:1">
      <c r="A1212" s="2" t="str">
        <f>_xlfn.TEXTJOIN("",TRUE,Input!$B$2,ROW(My_Audit!A1211))</f>
        <v>X1211</v>
      </c>
    </row>
    <row r="1213" spans="1:1">
      <c r="A1213" s="2" t="str">
        <f>_xlfn.TEXTJOIN("",TRUE,Input!$B$2,ROW(My_Audit!A1212))</f>
        <v>X1212</v>
      </c>
    </row>
    <row r="1214" spans="1:1">
      <c r="A1214" s="2" t="str">
        <f>_xlfn.TEXTJOIN("",TRUE,Input!$B$2,ROW(My_Audit!A1213))</f>
        <v>X1213</v>
      </c>
    </row>
    <row r="1215" spans="1:1">
      <c r="A1215" s="2" t="str">
        <f>_xlfn.TEXTJOIN("",TRUE,Input!$B$2,ROW(My_Audit!A1214))</f>
        <v>X1214</v>
      </c>
    </row>
    <row r="1216" spans="1:1">
      <c r="A1216" s="2" t="str">
        <f>_xlfn.TEXTJOIN("",TRUE,Input!$B$2,ROW(My_Audit!A1215))</f>
        <v>X1215</v>
      </c>
    </row>
    <row r="1217" spans="1:1">
      <c r="A1217" s="2" t="str">
        <f>_xlfn.TEXTJOIN("",TRUE,Input!$B$2,ROW(My_Audit!A1216))</f>
        <v>X1216</v>
      </c>
    </row>
    <row r="1218" spans="1:1">
      <c r="A1218" s="2" t="str">
        <f>_xlfn.TEXTJOIN("",TRUE,Input!$B$2,ROW(My_Audit!A1217))</f>
        <v>X1217</v>
      </c>
    </row>
    <row r="1219" spans="1:1">
      <c r="A1219" s="2" t="str">
        <f>_xlfn.TEXTJOIN("",TRUE,Input!$B$2,ROW(My_Audit!A1218))</f>
        <v>X1218</v>
      </c>
    </row>
    <row r="1220" spans="1:1">
      <c r="A1220" s="2" t="str">
        <f>_xlfn.TEXTJOIN("",TRUE,Input!$B$2,ROW(My_Audit!A1219))</f>
        <v>X1219</v>
      </c>
    </row>
    <row r="1221" spans="1:1">
      <c r="A1221" s="2" t="str">
        <f>_xlfn.TEXTJOIN("",TRUE,Input!$B$2,ROW(My_Audit!A1220))</f>
        <v>X1220</v>
      </c>
    </row>
    <row r="1222" spans="1:1">
      <c r="A1222" s="2" t="str">
        <f>_xlfn.TEXTJOIN("",TRUE,Input!$B$2,ROW(My_Audit!A1221))</f>
        <v>X1221</v>
      </c>
    </row>
    <row r="1223" spans="1:1">
      <c r="A1223" s="2" t="str">
        <f>_xlfn.TEXTJOIN("",TRUE,Input!$B$2,ROW(My_Audit!A1222))</f>
        <v>X1222</v>
      </c>
    </row>
    <row r="1224" spans="1:1">
      <c r="A1224" s="2" t="str">
        <f>_xlfn.TEXTJOIN("",TRUE,Input!$B$2,ROW(My_Audit!A1223))</f>
        <v>X1223</v>
      </c>
    </row>
    <row r="1225" spans="1:1">
      <c r="A1225" s="2" t="str">
        <f>_xlfn.TEXTJOIN("",TRUE,Input!$B$2,ROW(My_Audit!A1224))</f>
        <v>X1224</v>
      </c>
    </row>
    <row r="1226" spans="1:1">
      <c r="A1226" s="2" t="str">
        <f>_xlfn.TEXTJOIN("",TRUE,Input!$B$2,ROW(My_Audit!A1225))</f>
        <v>X1225</v>
      </c>
    </row>
    <row r="1227" spans="1:1">
      <c r="A1227" s="2" t="str">
        <f>_xlfn.TEXTJOIN("",TRUE,Input!$B$2,ROW(My_Audit!A1226))</f>
        <v>X1226</v>
      </c>
    </row>
    <row r="1228" spans="1:1">
      <c r="A1228" s="2" t="str">
        <f>_xlfn.TEXTJOIN("",TRUE,Input!$B$2,ROW(My_Audit!A1227))</f>
        <v>X1227</v>
      </c>
    </row>
    <row r="1229" spans="1:1">
      <c r="A1229" s="2" t="str">
        <f>_xlfn.TEXTJOIN("",TRUE,Input!$B$2,ROW(My_Audit!A1228))</f>
        <v>X1228</v>
      </c>
    </row>
    <row r="1230" spans="1:1">
      <c r="A1230" s="2" t="str">
        <f>_xlfn.TEXTJOIN("",TRUE,Input!$B$2,ROW(My_Audit!A1229))</f>
        <v>X1229</v>
      </c>
    </row>
    <row r="1231" spans="1:1">
      <c r="A1231" s="2" t="str">
        <f>_xlfn.TEXTJOIN("",TRUE,Input!$B$2,ROW(My_Audit!A1230))</f>
        <v>X1230</v>
      </c>
    </row>
    <row r="1232" spans="1:1">
      <c r="A1232" s="2" t="str">
        <f>_xlfn.TEXTJOIN("",TRUE,Input!$B$2,ROW(My_Audit!A1231))</f>
        <v>X1231</v>
      </c>
    </row>
    <row r="1233" spans="1:1">
      <c r="A1233" s="2" t="str">
        <f>_xlfn.TEXTJOIN("",TRUE,Input!$B$2,ROW(My_Audit!A1232))</f>
        <v>X1232</v>
      </c>
    </row>
    <row r="1234" spans="1:1">
      <c r="A1234" s="2" t="str">
        <f>_xlfn.TEXTJOIN("",TRUE,Input!$B$2,ROW(My_Audit!A1233))</f>
        <v>X1233</v>
      </c>
    </row>
    <row r="1235" spans="1:1">
      <c r="A1235" s="2" t="str">
        <f>_xlfn.TEXTJOIN("",TRUE,Input!$B$2,ROW(My_Audit!A1234))</f>
        <v>X1234</v>
      </c>
    </row>
    <row r="1236" spans="1:1">
      <c r="A1236" s="2" t="str">
        <f>_xlfn.TEXTJOIN("",TRUE,Input!$B$2,ROW(My_Audit!A1235))</f>
        <v>X1235</v>
      </c>
    </row>
    <row r="1237" spans="1:1">
      <c r="A1237" s="2" t="str">
        <f>_xlfn.TEXTJOIN("",TRUE,Input!$B$2,ROW(My_Audit!A1236))</f>
        <v>X1236</v>
      </c>
    </row>
    <row r="1238" spans="1:1">
      <c r="A1238" s="2" t="str">
        <f>_xlfn.TEXTJOIN("",TRUE,Input!$B$2,ROW(My_Audit!A1237))</f>
        <v>X1237</v>
      </c>
    </row>
    <row r="1239" spans="1:1">
      <c r="A1239" s="2" t="str">
        <f>_xlfn.TEXTJOIN("",TRUE,Input!$B$2,ROW(My_Audit!A1238))</f>
        <v>X1238</v>
      </c>
    </row>
    <row r="1240" spans="1:1">
      <c r="A1240" s="2" t="str">
        <f>_xlfn.TEXTJOIN("",TRUE,Input!$B$2,ROW(My_Audit!A1239))</f>
        <v>X1239</v>
      </c>
    </row>
    <row r="1241" spans="1:1">
      <c r="A1241" s="2" t="str">
        <f>_xlfn.TEXTJOIN("",TRUE,Input!$B$2,ROW(My_Audit!A1240))</f>
        <v>X1240</v>
      </c>
    </row>
    <row r="1242" spans="1:1">
      <c r="A1242" s="2" t="str">
        <f>_xlfn.TEXTJOIN("",TRUE,Input!$B$2,ROW(My_Audit!A1241))</f>
        <v>X1241</v>
      </c>
    </row>
    <row r="1243" spans="1:1">
      <c r="A1243" s="2" t="str">
        <f>_xlfn.TEXTJOIN("",TRUE,Input!$B$2,ROW(My_Audit!A1242))</f>
        <v>X1242</v>
      </c>
    </row>
    <row r="1244" spans="1:1">
      <c r="A1244" s="2" t="str">
        <f>_xlfn.TEXTJOIN("",TRUE,Input!$B$2,ROW(My_Audit!A1243))</f>
        <v>X1243</v>
      </c>
    </row>
    <row r="1245" spans="1:1">
      <c r="A1245" s="2" t="str">
        <f>_xlfn.TEXTJOIN("",TRUE,Input!$B$2,ROW(My_Audit!A1244))</f>
        <v>X1244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7E89-1EFC-41FD-AEA1-41E7D2128A33}">
  <sheetPr>
    <tabColor theme="9"/>
  </sheetPr>
  <dimension ref="A1:AM1365"/>
  <sheetViews>
    <sheetView tabSelected="1" workbookViewId="0">
      <selection activeCell="E18" sqref="E18"/>
    </sheetView>
  </sheetViews>
  <sheetFormatPr defaultRowHeight="15"/>
  <cols>
    <col min="1" max="1" width="9" bestFit="1" customWidth="1"/>
    <col min="2" max="2" width="21" customWidth="1"/>
    <col min="3" max="3" width="18.5703125" customWidth="1"/>
    <col min="4" max="4" width="20.5703125" bestFit="1" customWidth="1"/>
    <col min="5" max="5" width="12.28515625" bestFit="1" customWidth="1"/>
    <col min="7" max="7" width="19.7109375" customWidth="1"/>
    <col min="8" max="8" width="21.7109375" customWidth="1"/>
    <col min="9" max="9" width="8.140625" bestFit="1" customWidth="1"/>
    <col min="10" max="10" width="13.7109375" customWidth="1"/>
    <col min="11" max="11" width="14.42578125" customWidth="1"/>
    <col min="12" max="12" width="40.7109375" customWidth="1"/>
    <col min="13" max="13" width="41.85546875" customWidth="1"/>
    <col min="14" max="14" width="23.5703125" customWidth="1"/>
    <col min="15" max="15" width="19.5703125" customWidth="1"/>
    <col min="16" max="16" width="5.7109375" bestFit="1" customWidth="1"/>
    <col min="17" max="17" width="6" bestFit="1" customWidth="1"/>
    <col min="18" max="18" width="6.85546875" bestFit="1" customWidth="1"/>
    <col min="19" max="19" width="7.42578125" customWidth="1"/>
    <col min="20" max="20" width="15.85546875" customWidth="1"/>
    <col min="22" max="22" width="8.28515625" bestFit="1" customWidth="1"/>
  </cols>
  <sheetData>
    <row r="1" spans="1:39" ht="34.5" thickBot="1">
      <c r="A1" s="47" t="s">
        <v>741</v>
      </c>
      <c r="B1" s="48" t="s">
        <v>742</v>
      </c>
      <c r="C1" s="48" t="s">
        <v>743</v>
      </c>
      <c r="D1" s="48" t="s">
        <v>744</v>
      </c>
      <c r="E1" s="48" t="s">
        <v>745</v>
      </c>
      <c r="F1" s="49"/>
      <c r="G1" s="48" t="s">
        <v>746</v>
      </c>
      <c r="H1" s="48" t="s">
        <v>747</v>
      </c>
      <c r="I1" s="48" t="s">
        <v>748</v>
      </c>
      <c r="J1" s="48" t="s">
        <v>6</v>
      </c>
      <c r="K1" s="48" t="s">
        <v>749</v>
      </c>
      <c r="L1" s="48" t="s">
        <v>750</v>
      </c>
      <c r="M1" s="50"/>
      <c r="N1" s="48" t="s">
        <v>751</v>
      </c>
      <c r="O1" s="48" t="s">
        <v>752</v>
      </c>
      <c r="P1" s="51" t="s">
        <v>753</v>
      </c>
      <c r="Q1" s="51" t="s">
        <v>754</v>
      </c>
      <c r="R1" s="48" t="s">
        <v>755</v>
      </c>
      <c r="S1" s="48" t="s">
        <v>756</v>
      </c>
      <c r="T1" s="48" t="s">
        <v>757</v>
      </c>
      <c r="U1" s="52" t="s">
        <v>758</v>
      </c>
      <c r="V1" s="52" t="s">
        <v>759</v>
      </c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</row>
    <row r="2" spans="1:39">
      <c r="D2" t="str">
        <f>'Audit Report'!B2</f>
        <v>ITD-SHR-X01</v>
      </c>
      <c r="E2" t="str">
        <f>'Audit Report'!C2</f>
        <v/>
      </c>
      <c r="I2" t="str">
        <f>'Audit Report'!D2</f>
        <v/>
      </c>
      <c r="J2" t="str">
        <f>'Audit Report'!H2</f>
        <v/>
      </c>
      <c r="L2" t="str">
        <f>_xlfn.TEXTJOIN(", ", FALSE, 'Audit Report'!K2,'Audit Report'!L2,'Audit Report'!M2)</f>
        <v xml:space="preserve">, , </v>
      </c>
      <c r="M2" t="str">
        <f>'Audit Report'!O2</f>
        <v/>
      </c>
      <c r="N2" t="str" cm="1">
        <f t="array" ref="N2">IF(M2="","",
_xlfn.TEXTJOIN(", ",TRUE,
    _xlfn.MAP(_xlfn.TEXTSPLIT(M2,","),_xlfn.LAMBDA(_xlpm.x,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" t="str">
        <f>'Audit Report'!F2</f>
        <v/>
      </c>
      <c r="S2" t="str">
        <f>'Audit Report'!Q2</f>
        <v/>
      </c>
    </row>
    <row r="3" spans="1:39">
      <c r="D3" t="str">
        <f>'Audit Report'!B3</f>
        <v>ITD-SHR-X02</v>
      </c>
      <c r="E3" t="str">
        <f>'Audit Report'!C3</f>
        <v/>
      </c>
      <c r="I3" t="str">
        <f>'Audit Report'!D3</f>
        <v/>
      </c>
      <c r="J3" t="str">
        <f>'Audit Report'!H3</f>
        <v/>
      </c>
      <c r="L3" t="str">
        <f>_xlfn.TEXTJOIN(", ", FALSE, 'Audit Report'!K3,'Audit Report'!L3,'Audit Report'!M3)</f>
        <v xml:space="preserve">, , </v>
      </c>
      <c r="M3" t="str">
        <f>'Audit Report'!O3</f>
        <v/>
      </c>
      <c r="N3" t="str" cm="1">
        <f t="array" ref="N3">IF(M3="","",
_xlfn.TEXTJOIN(", ",TRUE,
    _xlfn.MAP(_xlfn.TEXTSPLIT(M3,","),_xlfn.LAMBDA(_xlpm.x,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" t="str">
        <f>'Audit Report'!F3</f>
        <v/>
      </c>
      <c r="S3" t="str">
        <f>'Audit Report'!Q3</f>
        <v/>
      </c>
    </row>
    <row r="4" spans="1:39">
      <c r="D4" t="str">
        <f>'Audit Report'!B4</f>
        <v>ITD-SHR-X03</v>
      </c>
      <c r="E4" t="str">
        <f>'Audit Report'!C4</f>
        <v/>
      </c>
      <c r="I4" t="str">
        <f>'Audit Report'!D4</f>
        <v/>
      </c>
      <c r="J4" t="str">
        <f>'Audit Report'!H4</f>
        <v/>
      </c>
      <c r="L4" t="str">
        <f>_xlfn.TEXTJOIN(", ", FALSE, 'Audit Report'!K4,'Audit Report'!L4,'Audit Report'!M4)</f>
        <v xml:space="preserve">, , </v>
      </c>
      <c r="M4" t="str">
        <f>'Audit Report'!O4</f>
        <v/>
      </c>
      <c r="N4" t="str" cm="1">
        <f t="array" ref="N4">IF(M4="","",
_xlfn.TEXTJOIN(", ",TRUE,
    _xlfn.MAP(_xlfn.TEXTSPLIT(M4,","),_xlfn.LAMBDA(_xlpm.x,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" t="str">
        <f>'Audit Report'!F4</f>
        <v/>
      </c>
      <c r="S4" t="str">
        <f>'Audit Report'!Q4</f>
        <v/>
      </c>
    </row>
    <row r="5" spans="1:39">
      <c r="D5" t="str">
        <f>'Audit Report'!B5</f>
        <v>ITD-SHR-X04</v>
      </c>
      <c r="E5" t="str">
        <f>'Audit Report'!C5</f>
        <v/>
      </c>
      <c r="I5" t="str">
        <f>'Audit Report'!D5</f>
        <v/>
      </c>
      <c r="J5" t="str">
        <f>'Audit Report'!H5</f>
        <v/>
      </c>
      <c r="L5" t="str">
        <f>_xlfn.TEXTJOIN(", ", FALSE, 'Audit Report'!K5,'Audit Report'!L5,'Audit Report'!M5)</f>
        <v xml:space="preserve">, , </v>
      </c>
      <c r="M5" t="str">
        <f>'Audit Report'!O5</f>
        <v/>
      </c>
      <c r="N5" t="str" cm="1">
        <f t="array" ref="N5">IF(M5="","",
_xlfn.TEXTJOIN(", ",TRUE,
    _xlfn.MAP(_xlfn.TEXTSPLIT(M5,","),_xlfn.LAMBDA(_xlpm.x,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" t="str">
        <f>'Audit Report'!F5</f>
        <v/>
      </c>
      <c r="S5" t="str">
        <f>'Audit Report'!Q5</f>
        <v/>
      </c>
    </row>
    <row r="6" spans="1:39">
      <c r="D6" t="str">
        <f>'Audit Report'!B6</f>
        <v>ITD-SHR-X05</v>
      </c>
      <c r="E6" t="str">
        <f>'Audit Report'!C6</f>
        <v/>
      </c>
      <c r="I6" t="str">
        <f>'Audit Report'!D6</f>
        <v/>
      </c>
      <c r="J6" t="str">
        <f>'Audit Report'!H6</f>
        <v/>
      </c>
      <c r="L6" t="str">
        <f>_xlfn.TEXTJOIN(", ", FALSE, 'Audit Report'!K6,'Audit Report'!L6,'Audit Report'!M6)</f>
        <v xml:space="preserve">, , </v>
      </c>
      <c r="M6" t="str">
        <f>'Audit Report'!O6</f>
        <v/>
      </c>
      <c r="N6" t="str" cm="1">
        <f t="array" ref="N6">IF(M6="","",
_xlfn.TEXTJOIN(", ",TRUE,
    _xlfn.MAP(_xlfn.TEXTSPLIT(M6,","),_xlfn.LAMBDA(_xlpm.x,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" t="str">
        <f>'Audit Report'!F6</f>
        <v/>
      </c>
      <c r="S6" t="str">
        <f>'Audit Report'!Q6</f>
        <v/>
      </c>
    </row>
    <row r="7" spans="1:39">
      <c r="D7" t="str">
        <f>'Audit Report'!B7</f>
        <v>ITD-SHR-X06</v>
      </c>
      <c r="E7" t="str">
        <f>'Audit Report'!C7</f>
        <v/>
      </c>
      <c r="I7" t="str">
        <f>'Audit Report'!D7</f>
        <v/>
      </c>
      <c r="J7" t="str">
        <f>'Audit Report'!H7</f>
        <v/>
      </c>
      <c r="L7" t="str">
        <f>_xlfn.TEXTJOIN(", ", FALSE, 'Audit Report'!K7,'Audit Report'!L7,'Audit Report'!M7)</f>
        <v xml:space="preserve">, , </v>
      </c>
      <c r="M7" t="str">
        <f>'Audit Report'!O7</f>
        <v/>
      </c>
      <c r="N7" t="str" cm="1">
        <f t="array" ref="N7">IF(M7="","",
_xlfn.TEXTJOIN(", ",TRUE,
    _xlfn.MAP(_xlfn.TEXTSPLIT(M7,","),_xlfn.LAMBDA(_xlpm.x,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" t="str">
        <f>'Audit Report'!F7</f>
        <v/>
      </c>
      <c r="S7" t="str">
        <f>'Audit Report'!Q7</f>
        <v/>
      </c>
    </row>
    <row r="8" spans="1:39">
      <c r="D8" t="str">
        <f>'Audit Report'!B8</f>
        <v>ITD-SHR-X07</v>
      </c>
      <c r="E8" t="str">
        <f>'Audit Report'!C8</f>
        <v/>
      </c>
      <c r="I8" t="str">
        <f>'Audit Report'!D8</f>
        <v/>
      </c>
      <c r="J8" t="str">
        <f>'Audit Report'!H8</f>
        <v/>
      </c>
      <c r="L8" t="str">
        <f>_xlfn.TEXTJOIN(", ", FALSE, 'Audit Report'!K8,'Audit Report'!L8,'Audit Report'!M8)</f>
        <v xml:space="preserve">, , </v>
      </c>
      <c r="M8" t="str">
        <f>'Audit Report'!O8</f>
        <v/>
      </c>
      <c r="N8" t="str" cm="1">
        <f t="array" ref="N8">IF(M8="","",
_xlfn.TEXTJOIN(", ",TRUE,
    _xlfn.MAP(_xlfn.TEXTSPLIT(M8,","),_xlfn.LAMBDA(_xlpm.x,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" t="str">
        <f>'Audit Report'!F8</f>
        <v/>
      </c>
      <c r="S8" t="str">
        <f>'Audit Report'!Q8</f>
        <v/>
      </c>
    </row>
    <row r="9" spans="1:39">
      <c r="D9" t="str">
        <f>'Audit Report'!B9</f>
        <v>ITD-SHR-X08</v>
      </c>
      <c r="E9" t="str">
        <f>'Audit Report'!C9</f>
        <v/>
      </c>
      <c r="I9" t="str">
        <f>'Audit Report'!D9</f>
        <v/>
      </c>
      <c r="J9" t="str">
        <f>'Audit Report'!H9</f>
        <v/>
      </c>
      <c r="L9" t="str">
        <f>_xlfn.TEXTJOIN(", ", FALSE, 'Audit Report'!K9,'Audit Report'!L9,'Audit Report'!M9)</f>
        <v xml:space="preserve">, , </v>
      </c>
      <c r="M9" t="str">
        <f>'Audit Report'!O9</f>
        <v/>
      </c>
      <c r="N9" t="str" cm="1">
        <f t="array" ref="N9">IF(M9="","",
_xlfn.TEXTJOIN(", ",TRUE,
    _xlfn.MAP(_xlfn.TEXTSPLIT(M9,","),_xlfn.LAMBDA(_xlpm.x,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" t="str">
        <f>'Audit Report'!F9</f>
        <v/>
      </c>
      <c r="S9" t="str">
        <f>'Audit Report'!Q9</f>
        <v/>
      </c>
    </row>
    <row r="10" spans="1:39">
      <c r="D10" t="str">
        <f>'Audit Report'!B10</f>
        <v>ITD-SHR-X09</v>
      </c>
      <c r="E10" t="str">
        <f>'Audit Report'!C10</f>
        <v/>
      </c>
      <c r="I10" t="str">
        <f>'Audit Report'!D10</f>
        <v/>
      </c>
      <c r="J10" t="str">
        <f>'Audit Report'!H10</f>
        <v/>
      </c>
      <c r="L10" t="str">
        <f>_xlfn.TEXTJOIN(", ", FALSE, 'Audit Report'!K10,'Audit Report'!L10,'Audit Report'!M10)</f>
        <v xml:space="preserve">, , </v>
      </c>
      <c r="M10" t="str">
        <f>'Audit Report'!O10</f>
        <v/>
      </c>
      <c r="N10" t="str" cm="1">
        <f t="array" ref="N10">IF(M10="","",
_xlfn.TEXTJOIN(", ",TRUE,
    _xlfn.MAP(_xlfn.TEXTSPLIT(M10,","),_xlfn.LAMBDA(_xlpm.x,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" t="str">
        <f>'Audit Report'!F10</f>
        <v/>
      </c>
      <c r="S10" t="str">
        <f>'Audit Report'!Q10</f>
        <v/>
      </c>
    </row>
    <row r="11" spans="1:39">
      <c r="D11" t="str">
        <f>'Audit Report'!B11</f>
        <v>ITD-SHR-X10</v>
      </c>
      <c r="E11" t="str">
        <f>'Audit Report'!C11</f>
        <v/>
      </c>
      <c r="I11" t="str">
        <f>'Audit Report'!D11</f>
        <v/>
      </c>
      <c r="J11" t="str">
        <f>'Audit Report'!H11</f>
        <v/>
      </c>
      <c r="L11" t="str">
        <f>_xlfn.TEXTJOIN(", ", FALSE, 'Audit Report'!K11,'Audit Report'!L11,'Audit Report'!M11)</f>
        <v xml:space="preserve">, , </v>
      </c>
      <c r="M11" t="str">
        <f>'Audit Report'!O11</f>
        <v/>
      </c>
      <c r="N11" t="str" cm="1">
        <f t="array" ref="N11">IF(M11="","",
_xlfn.TEXTJOIN(", ",TRUE,
    _xlfn.MAP(_xlfn.TEXTSPLIT(M11,","),_xlfn.LAMBDA(_xlpm.x,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" t="str">
        <f>'Audit Report'!F11</f>
        <v/>
      </c>
      <c r="S11" t="str">
        <f>'Audit Report'!Q11</f>
        <v/>
      </c>
    </row>
    <row r="12" spans="1:39">
      <c r="D12" t="str">
        <f>'Audit Report'!B12</f>
        <v>ITD-SHR-X11</v>
      </c>
      <c r="E12" t="str">
        <f>'Audit Report'!C12</f>
        <v/>
      </c>
      <c r="I12" t="str">
        <f>'Audit Report'!D12</f>
        <v/>
      </c>
      <c r="J12" t="str">
        <f>'Audit Report'!H12</f>
        <v/>
      </c>
      <c r="L12" t="str">
        <f>_xlfn.TEXTJOIN(", ", FALSE, 'Audit Report'!K12,'Audit Report'!L12,'Audit Report'!M12)</f>
        <v xml:space="preserve">, , </v>
      </c>
      <c r="M12" t="str">
        <f>'Audit Report'!O12</f>
        <v/>
      </c>
      <c r="N12" t="str" cm="1">
        <f t="array" ref="N12">IF(M12="","",
_xlfn.TEXTJOIN(", ",TRUE,
    _xlfn.MAP(_xlfn.TEXTSPLIT(M12,","),_xlfn.LAMBDA(_xlpm.x,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" t="str">
        <f>'Audit Report'!F12</f>
        <v/>
      </c>
      <c r="S12" t="str">
        <f>'Audit Report'!Q12</f>
        <v/>
      </c>
    </row>
    <row r="13" spans="1:39">
      <c r="D13" t="str">
        <f>'Audit Report'!B13</f>
        <v>ITD-SHR-X12</v>
      </c>
      <c r="E13" t="str">
        <f>'Audit Report'!C13</f>
        <v/>
      </c>
      <c r="I13" t="str">
        <f>'Audit Report'!D13</f>
        <v/>
      </c>
      <c r="J13" t="str">
        <f>'Audit Report'!H13</f>
        <v/>
      </c>
      <c r="L13" t="str">
        <f>_xlfn.TEXTJOIN(", ", FALSE, 'Audit Report'!K13,'Audit Report'!L13,'Audit Report'!M13)</f>
        <v xml:space="preserve">, , </v>
      </c>
      <c r="M13" t="str">
        <f>'Audit Report'!O13</f>
        <v/>
      </c>
      <c r="N13" t="str" cm="1">
        <f t="array" ref="N13">IF(M13="","",
_xlfn.TEXTJOIN(", ",TRUE,
    _xlfn.MAP(_xlfn.TEXTSPLIT(M13,","),_xlfn.LAMBDA(_xlpm.x,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" t="str">
        <f>'Audit Report'!F13</f>
        <v/>
      </c>
      <c r="S13" t="str">
        <f>'Audit Report'!Q13</f>
        <v/>
      </c>
    </row>
    <row r="14" spans="1:39">
      <c r="D14" t="str">
        <f>'Audit Report'!B14</f>
        <v>ITD-SHR-X13</v>
      </c>
      <c r="E14" t="str">
        <f>'Audit Report'!C14</f>
        <v/>
      </c>
      <c r="I14" t="str">
        <f>'Audit Report'!D14</f>
        <v/>
      </c>
      <c r="J14" t="str">
        <f>'Audit Report'!H14</f>
        <v/>
      </c>
      <c r="L14" t="str">
        <f>_xlfn.TEXTJOIN(", ", FALSE, 'Audit Report'!K14,'Audit Report'!L14,'Audit Report'!M14)</f>
        <v xml:space="preserve">, , </v>
      </c>
      <c r="M14" t="str">
        <f>'Audit Report'!O14</f>
        <v/>
      </c>
      <c r="N14" t="str" cm="1">
        <f t="array" ref="N14">IF(M14="","",
_xlfn.TEXTJOIN(", ",TRUE,
    _xlfn.MAP(_xlfn.TEXTSPLIT(M14,","),_xlfn.LAMBDA(_xlpm.x,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" t="str">
        <f>'Audit Report'!F14</f>
        <v/>
      </c>
      <c r="S14" t="str">
        <f>'Audit Report'!Q14</f>
        <v/>
      </c>
    </row>
    <row r="15" spans="1:39">
      <c r="D15" t="str">
        <f>'Audit Report'!B15</f>
        <v>ITD-SHR-X14</v>
      </c>
      <c r="E15" t="str">
        <f>'Audit Report'!C15</f>
        <v/>
      </c>
      <c r="I15" t="str">
        <f>'Audit Report'!D15</f>
        <v/>
      </c>
      <c r="J15" t="str">
        <f>'Audit Report'!H15</f>
        <v/>
      </c>
      <c r="L15" t="str">
        <f>_xlfn.TEXTJOIN(", ", FALSE, 'Audit Report'!K15,'Audit Report'!L15,'Audit Report'!M15)</f>
        <v xml:space="preserve">, , </v>
      </c>
      <c r="M15" t="str">
        <f>'Audit Report'!O15</f>
        <v/>
      </c>
      <c r="N15" t="str" cm="1">
        <f t="array" ref="N15">IF(M15="","",
_xlfn.TEXTJOIN(", ",TRUE,
    _xlfn.MAP(_xlfn.TEXTSPLIT(M15,","),_xlfn.LAMBDA(_xlpm.x,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" t="str">
        <f>'Audit Report'!F15</f>
        <v/>
      </c>
      <c r="S15" t="str">
        <f>'Audit Report'!Q15</f>
        <v/>
      </c>
    </row>
    <row r="16" spans="1:39">
      <c r="D16" t="str">
        <f>'Audit Report'!B16</f>
        <v>ITD-SHR-X15</v>
      </c>
      <c r="E16" t="str">
        <f>'Audit Report'!C16</f>
        <v/>
      </c>
      <c r="I16" t="str">
        <f>'Audit Report'!D16</f>
        <v/>
      </c>
      <c r="J16" t="str">
        <f>'Audit Report'!H16</f>
        <v/>
      </c>
      <c r="L16" t="str">
        <f>_xlfn.TEXTJOIN(", ", FALSE, 'Audit Report'!K16,'Audit Report'!L16,'Audit Report'!M16)</f>
        <v xml:space="preserve">, , </v>
      </c>
      <c r="M16" t="str">
        <f>'Audit Report'!O16</f>
        <v/>
      </c>
      <c r="N16" t="str" cm="1">
        <f t="array" ref="N16">IF(M16="","",
_xlfn.TEXTJOIN(", ",TRUE,
    _xlfn.MAP(_xlfn.TEXTSPLIT(M16,","),_xlfn.LAMBDA(_xlpm.x,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" t="str">
        <f>'Audit Report'!F16</f>
        <v/>
      </c>
      <c r="S16" t="str">
        <f>'Audit Report'!Q16</f>
        <v/>
      </c>
    </row>
    <row r="17" spans="4:19">
      <c r="D17" t="str">
        <f>'Audit Report'!B17</f>
        <v>ITD-SHR-X16</v>
      </c>
      <c r="E17" t="str">
        <f>'Audit Report'!C17</f>
        <v/>
      </c>
      <c r="I17" t="str">
        <f>'Audit Report'!D17</f>
        <v/>
      </c>
      <c r="J17" t="str">
        <f>'Audit Report'!H17</f>
        <v/>
      </c>
      <c r="L17" t="str">
        <f>_xlfn.TEXTJOIN(", ", FALSE, 'Audit Report'!K17,'Audit Report'!L17,'Audit Report'!M17)</f>
        <v xml:space="preserve">, , </v>
      </c>
      <c r="M17" t="str">
        <f>'Audit Report'!O17</f>
        <v/>
      </c>
      <c r="N17" t="str" cm="1">
        <f t="array" ref="N17">IF(M17="","",
_xlfn.TEXTJOIN(", ",TRUE,
    _xlfn.MAP(_xlfn.TEXTSPLIT(M17,","),_xlfn.LAMBDA(_xlpm.x,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" t="str">
        <f>'Audit Report'!F17</f>
        <v/>
      </c>
      <c r="S17" t="str">
        <f>'Audit Report'!Q17</f>
        <v/>
      </c>
    </row>
    <row r="18" spans="4:19">
      <c r="D18" t="str">
        <f>'Audit Report'!B18</f>
        <v>ITD-SHR-X17</v>
      </c>
      <c r="E18" t="str">
        <f>'Audit Report'!C18</f>
        <v/>
      </c>
      <c r="I18" t="str">
        <f>'Audit Report'!D18</f>
        <v/>
      </c>
      <c r="J18" t="str">
        <f>'Audit Report'!H18</f>
        <v/>
      </c>
      <c r="L18" t="str">
        <f>_xlfn.TEXTJOIN(", ", FALSE, 'Audit Report'!K18,'Audit Report'!L18,'Audit Report'!M18)</f>
        <v xml:space="preserve">, , </v>
      </c>
      <c r="M18" t="str">
        <f>'Audit Report'!O18</f>
        <v/>
      </c>
      <c r="N18" t="str" cm="1">
        <f t="array" ref="N18">IF(M18="","",
_xlfn.TEXTJOIN(", ",TRUE,
    _xlfn.MAP(_xlfn.TEXTSPLIT(M18,","),_xlfn.LAMBDA(_xlpm.x,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" t="str">
        <f>'Audit Report'!F18</f>
        <v/>
      </c>
      <c r="S18" t="str">
        <f>'Audit Report'!Q18</f>
        <v/>
      </c>
    </row>
    <row r="19" spans="4:19">
      <c r="D19" t="str">
        <f>'Audit Report'!B19</f>
        <v>ITD-SHR-X18</v>
      </c>
      <c r="E19" t="str">
        <f>'Audit Report'!C19</f>
        <v/>
      </c>
      <c r="I19" t="str">
        <f>'Audit Report'!D19</f>
        <v/>
      </c>
      <c r="J19" t="str">
        <f>'Audit Report'!H19</f>
        <v/>
      </c>
      <c r="L19" t="str">
        <f>_xlfn.TEXTJOIN(", ", FALSE, 'Audit Report'!K19,'Audit Report'!L19,'Audit Report'!M19)</f>
        <v xml:space="preserve">, , </v>
      </c>
      <c r="M19" t="str">
        <f>'Audit Report'!O19</f>
        <v/>
      </c>
      <c r="N19" t="str" cm="1">
        <f t="array" ref="N19">IF(M19="","",
_xlfn.TEXTJOIN(", ",TRUE,
    _xlfn.MAP(_xlfn.TEXTSPLIT(M19,","),_xlfn.LAMBDA(_xlpm.x,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" t="str">
        <f>'Audit Report'!F19</f>
        <v/>
      </c>
      <c r="S19" t="str">
        <f>'Audit Report'!Q19</f>
        <v/>
      </c>
    </row>
    <row r="20" spans="4:19">
      <c r="D20" t="str">
        <f>'Audit Report'!B20</f>
        <v>ITD-SHR-X19</v>
      </c>
      <c r="E20" t="str">
        <f>'Audit Report'!C20</f>
        <v/>
      </c>
      <c r="I20" t="str">
        <f>'Audit Report'!D20</f>
        <v/>
      </c>
      <c r="J20" t="str">
        <f>'Audit Report'!H20</f>
        <v/>
      </c>
      <c r="L20" t="str">
        <f>_xlfn.TEXTJOIN(", ", FALSE, 'Audit Report'!K20,'Audit Report'!L20,'Audit Report'!M20)</f>
        <v xml:space="preserve">, , </v>
      </c>
      <c r="M20" t="str">
        <f>'Audit Report'!O20</f>
        <v/>
      </c>
      <c r="N20" t="str" cm="1">
        <f t="array" ref="N20">IF(M20="","",
_xlfn.TEXTJOIN(", ",TRUE,
    _xlfn.MAP(_xlfn.TEXTSPLIT(M20,","),_xlfn.LAMBDA(_xlpm.x,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" t="str">
        <f>'Audit Report'!F20</f>
        <v/>
      </c>
      <c r="S20" t="str">
        <f>'Audit Report'!Q20</f>
        <v/>
      </c>
    </row>
    <row r="21" spans="4:19">
      <c r="D21" t="str">
        <f>'Audit Report'!B21</f>
        <v>ITD-SHR-X20</v>
      </c>
      <c r="E21" t="str">
        <f>'Audit Report'!C21</f>
        <v/>
      </c>
      <c r="I21" t="str">
        <f>'Audit Report'!D21</f>
        <v/>
      </c>
      <c r="J21" t="str">
        <f>'Audit Report'!H21</f>
        <v/>
      </c>
      <c r="L21" t="str">
        <f>_xlfn.TEXTJOIN(", ", FALSE, 'Audit Report'!K21,'Audit Report'!L21,'Audit Report'!M21)</f>
        <v xml:space="preserve">, , </v>
      </c>
      <c r="M21" t="str">
        <f>'Audit Report'!O21</f>
        <v/>
      </c>
      <c r="N21" t="str" cm="1">
        <f t="array" ref="N21">IF(M21="","",
_xlfn.TEXTJOIN(", ",TRUE,
    _xlfn.MAP(_xlfn.TEXTSPLIT(M21,","),_xlfn.LAMBDA(_xlpm.x,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" t="str">
        <f>'Audit Report'!F21</f>
        <v/>
      </c>
      <c r="S21" t="str">
        <f>'Audit Report'!Q21</f>
        <v/>
      </c>
    </row>
    <row r="22" spans="4:19">
      <c r="D22" t="str">
        <f>'Audit Report'!B22</f>
        <v>ITD-SHR-X21</v>
      </c>
      <c r="E22" t="str">
        <f>'Audit Report'!C22</f>
        <v/>
      </c>
      <c r="I22" t="str">
        <f>'Audit Report'!D22</f>
        <v/>
      </c>
      <c r="J22" t="str">
        <f>'Audit Report'!H22</f>
        <v/>
      </c>
      <c r="L22" t="str">
        <f>_xlfn.TEXTJOIN(", ", FALSE, 'Audit Report'!K22,'Audit Report'!L22,'Audit Report'!M22)</f>
        <v xml:space="preserve">, , </v>
      </c>
      <c r="M22" t="str">
        <f>'Audit Report'!O22</f>
        <v/>
      </c>
      <c r="N22" t="str" cm="1">
        <f t="array" ref="N22">IF(M22="","",
_xlfn.TEXTJOIN(", ",TRUE,
    _xlfn.MAP(_xlfn.TEXTSPLIT(M22,","),_xlfn.LAMBDA(_xlpm.x,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" t="str">
        <f>'Audit Report'!F22</f>
        <v/>
      </c>
      <c r="S22" t="str">
        <f>'Audit Report'!Q22</f>
        <v/>
      </c>
    </row>
    <row r="23" spans="4:19">
      <c r="D23" t="str">
        <f>'Audit Report'!B23</f>
        <v>ITD-SHR-X22</v>
      </c>
      <c r="E23" t="str">
        <f>'Audit Report'!C23</f>
        <v/>
      </c>
      <c r="I23" t="str">
        <f>'Audit Report'!D23</f>
        <v/>
      </c>
      <c r="J23" t="str">
        <f>'Audit Report'!H23</f>
        <v/>
      </c>
      <c r="L23" t="str">
        <f>_xlfn.TEXTJOIN(", ", FALSE, 'Audit Report'!K23,'Audit Report'!L23,'Audit Report'!M23)</f>
        <v xml:space="preserve">, , </v>
      </c>
      <c r="M23" t="str">
        <f>'Audit Report'!O23</f>
        <v/>
      </c>
      <c r="N23" t="str" cm="1">
        <f t="array" ref="N23">IF(M23="","",
_xlfn.TEXTJOIN(", ",TRUE,
    _xlfn.MAP(_xlfn.TEXTSPLIT(M23,","),_xlfn.LAMBDA(_xlpm.x,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" t="str">
        <f>'Audit Report'!F23</f>
        <v/>
      </c>
      <c r="S23" t="str">
        <f>'Audit Report'!Q23</f>
        <v/>
      </c>
    </row>
    <row r="24" spans="4:19">
      <c r="D24" t="str">
        <f>'Audit Report'!B24</f>
        <v>ITD-SHR-X23</v>
      </c>
      <c r="E24" t="str">
        <f>'Audit Report'!C24</f>
        <v/>
      </c>
      <c r="I24" t="str">
        <f>'Audit Report'!D24</f>
        <v/>
      </c>
      <c r="J24" t="str">
        <f>'Audit Report'!H24</f>
        <v/>
      </c>
      <c r="L24" t="str">
        <f>_xlfn.TEXTJOIN(", ", FALSE, 'Audit Report'!K24,'Audit Report'!L24,'Audit Report'!M24)</f>
        <v xml:space="preserve">, , </v>
      </c>
      <c r="M24" t="str">
        <f>'Audit Report'!O24</f>
        <v/>
      </c>
      <c r="N24" t="str" cm="1">
        <f t="array" ref="N24">IF(M24="","",
_xlfn.TEXTJOIN(", ",TRUE,
    _xlfn.MAP(_xlfn.TEXTSPLIT(M24,","),_xlfn.LAMBDA(_xlpm.x,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" t="str">
        <f>'Audit Report'!F24</f>
        <v/>
      </c>
      <c r="S24" t="str">
        <f>'Audit Report'!Q24</f>
        <v/>
      </c>
    </row>
    <row r="25" spans="4:19">
      <c r="D25" t="str">
        <f>'Audit Report'!B25</f>
        <v>ITD-SHR-X24</v>
      </c>
      <c r="E25" t="str">
        <f>'Audit Report'!C25</f>
        <v/>
      </c>
      <c r="I25" t="str">
        <f>'Audit Report'!D25</f>
        <v/>
      </c>
      <c r="J25" t="str">
        <f>'Audit Report'!H25</f>
        <v/>
      </c>
      <c r="L25" t="str">
        <f>_xlfn.TEXTJOIN(", ", FALSE, 'Audit Report'!K25,'Audit Report'!L25,'Audit Report'!M25)</f>
        <v xml:space="preserve">, , </v>
      </c>
      <c r="M25" t="str">
        <f>'Audit Report'!O25</f>
        <v/>
      </c>
      <c r="N25" t="str" cm="1">
        <f t="array" ref="N25">IF(M25="","",
_xlfn.TEXTJOIN(", ",TRUE,
    _xlfn.MAP(_xlfn.TEXTSPLIT(M25,","),_xlfn.LAMBDA(_xlpm.x,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" t="str">
        <f>'Audit Report'!F25</f>
        <v/>
      </c>
      <c r="S25" t="str">
        <f>'Audit Report'!Q25</f>
        <v/>
      </c>
    </row>
    <row r="26" spans="4:19">
      <c r="D26" t="str">
        <f>'Audit Report'!B26</f>
        <v>ITD-SHR-X25</v>
      </c>
      <c r="E26" t="str">
        <f>'Audit Report'!C26</f>
        <v/>
      </c>
      <c r="I26" t="str">
        <f>'Audit Report'!D26</f>
        <v/>
      </c>
      <c r="J26" t="str">
        <f>'Audit Report'!H26</f>
        <v/>
      </c>
      <c r="L26" t="str">
        <f>_xlfn.TEXTJOIN(", ", FALSE, 'Audit Report'!K26,'Audit Report'!L26,'Audit Report'!M26)</f>
        <v xml:space="preserve">, , </v>
      </c>
      <c r="M26" t="str">
        <f>'Audit Report'!O26</f>
        <v/>
      </c>
      <c r="N26" t="str" cm="1">
        <f t="array" ref="N26">IF(M26="","",
_xlfn.TEXTJOIN(", ",TRUE,
    _xlfn.MAP(_xlfn.TEXTSPLIT(M26,","),_xlfn.LAMBDA(_xlpm.x,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" t="str">
        <f>'Audit Report'!F26</f>
        <v/>
      </c>
      <c r="S26" t="str">
        <f>'Audit Report'!Q26</f>
        <v/>
      </c>
    </row>
    <row r="27" spans="4:19">
      <c r="D27" t="str">
        <f>'Audit Report'!B27</f>
        <v>ITD-SHR-X26</v>
      </c>
      <c r="E27" t="str">
        <f>'Audit Report'!C27</f>
        <v/>
      </c>
      <c r="I27" t="str">
        <f>'Audit Report'!D27</f>
        <v/>
      </c>
      <c r="J27" t="str">
        <f>'Audit Report'!H27</f>
        <v/>
      </c>
      <c r="L27" t="str">
        <f>_xlfn.TEXTJOIN(", ", FALSE, 'Audit Report'!K27,'Audit Report'!L27,'Audit Report'!M27)</f>
        <v xml:space="preserve">, , </v>
      </c>
      <c r="M27" t="str">
        <f>'Audit Report'!O27</f>
        <v/>
      </c>
      <c r="N27" t="str" cm="1">
        <f t="array" ref="N27">IF(M27="","",
_xlfn.TEXTJOIN(", ",TRUE,
    _xlfn.MAP(_xlfn.TEXTSPLIT(M27,","),_xlfn.LAMBDA(_xlpm.x,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" t="str">
        <f>'Audit Report'!F27</f>
        <v/>
      </c>
      <c r="S27" t="str">
        <f>'Audit Report'!Q27</f>
        <v/>
      </c>
    </row>
    <row r="28" spans="4:19">
      <c r="D28" t="str">
        <f>'Audit Report'!B28</f>
        <v>ITD-SHR-X27</v>
      </c>
      <c r="E28" t="str">
        <f>'Audit Report'!C28</f>
        <v/>
      </c>
      <c r="I28" t="str">
        <f>'Audit Report'!D28</f>
        <v/>
      </c>
      <c r="J28" t="str">
        <f>'Audit Report'!H28</f>
        <v/>
      </c>
      <c r="L28" t="str">
        <f>_xlfn.TEXTJOIN(", ", FALSE, 'Audit Report'!K28,'Audit Report'!L28,'Audit Report'!M28)</f>
        <v xml:space="preserve">, , </v>
      </c>
      <c r="M28" t="str">
        <f>'Audit Report'!O28</f>
        <v/>
      </c>
      <c r="N28" t="str" cm="1">
        <f t="array" ref="N28">IF(M28="","",
_xlfn.TEXTJOIN(", ",TRUE,
    _xlfn.MAP(_xlfn.TEXTSPLIT(M28,","),_xlfn.LAMBDA(_xlpm.x,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" t="str">
        <f>'Audit Report'!F28</f>
        <v/>
      </c>
      <c r="S28" t="str">
        <f>'Audit Report'!Q28</f>
        <v/>
      </c>
    </row>
    <row r="29" spans="4:19">
      <c r="D29" t="str">
        <f>'Audit Report'!B29</f>
        <v>ITD-SHR-X28</v>
      </c>
      <c r="E29" t="str">
        <f>'Audit Report'!C29</f>
        <v/>
      </c>
      <c r="I29" t="str">
        <f>'Audit Report'!D29</f>
        <v/>
      </c>
      <c r="J29" t="str">
        <f>'Audit Report'!H29</f>
        <v/>
      </c>
      <c r="L29" t="str">
        <f>_xlfn.TEXTJOIN(", ", FALSE, 'Audit Report'!K29,'Audit Report'!L29,'Audit Report'!M29)</f>
        <v xml:space="preserve">, , </v>
      </c>
      <c r="M29" t="str">
        <f>'Audit Report'!O29</f>
        <v/>
      </c>
      <c r="N29" t="str" cm="1">
        <f t="array" ref="N29">IF(M29="","",
_xlfn.TEXTJOIN(", ",TRUE,
    _xlfn.MAP(_xlfn.TEXTSPLIT(M29,","),_xlfn.LAMBDA(_xlpm.x,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" t="str">
        <f>'Audit Report'!F29</f>
        <v/>
      </c>
      <c r="S29" t="str">
        <f>'Audit Report'!Q29</f>
        <v/>
      </c>
    </row>
    <row r="30" spans="4:19">
      <c r="D30" t="str">
        <f>'Audit Report'!B30</f>
        <v>ITD-SHR-X29</v>
      </c>
      <c r="E30" t="str">
        <f>'Audit Report'!C30</f>
        <v/>
      </c>
      <c r="I30" t="str">
        <f>'Audit Report'!D30</f>
        <v/>
      </c>
      <c r="J30" t="str">
        <f>'Audit Report'!H30</f>
        <v/>
      </c>
      <c r="L30" t="str">
        <f>_xlfn.TEXTJOIN(", ", FALSE, 'Audit Report'!K30,'Audit Report'!L30,'Audit Report'!M30)</f>
        <v xml:space="preserve">, , </v>
      </c>
      <c r="M30" t="str">
        <f>'Audit Report'!O30</f>
        <v/>
      </c>
      <c r="N30" t="str" cm="1">
        <f t="array" ref="N30">IF(M30="","",
_xlfn.TEXTJOIN(", ",TRUE,
    _xlfn.MAP(_xlfn.TEXTSPLIT(M30,","),_xlfn.LAMBDA(_xlpm.x,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" t="str">
        <f>'Audit Report'!F30</f>
        <v/>
      </c>
      <c r="S30" t="str">
        <f>'Audit Report'!Q30</f>
        <v/>
      </c>
    </row>
    <row r="31" spans="4:19">
      <c r="D31" t="str">
        <f>'Audit Report'!B31</f>
        <v>ITD-SHR-X30</v>
      </c>
      <c r="E31" t="str">
        <f>'Audit Report'!C31</f>
        <v/>
      </c>
      <c r="I31" t="str">
        <f>'Audit Report'!D31</f>
        <v/>
      </c>
      <c r="J31" t="str">
        <f>'Audit Report'!H31</f>
        <v/>
      </c>
      <c r="L31" t="str">
        <f>_xlfn.TEXTJOIN(", ", FALSE, 'Audit Report'!K31,'Audit Report'!L31,'Audit Report'!M31)</f>
        <v xml:space="preserve">, , </v>
      </c>
      <c r="M31" t="str">
        <f>'Audit Report'!O31</f>
        <v/>
      </c>
      <c r="N31" t="str" cm="1">
        <f t="array" ref="N31">IF(M31="","",
_xlfn.TEXTJOIN(", ",TRUE,
    _xlfn.MAP(_xlfn.TEXTSPLIT(M31,","),_xlfn.LAMBDA(_xlpm.x,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" t="str">
        <f>'Audit Report'!F31</f>
        <v/>
      </c>
      <c r="S31" t="str">
        <f>'Audit Report'!Q31</f>
        <v/>
      </c>
    </row>
    <row r="32" spans="4:19">
      <c r="D32" t="str">
        <f>'Audit Report'!B32</f>
        <v>ITD-SHR-X31</v>
      </c>
      <c r="E32" t="str">
        <f>'Audit Report'!C32</f>
        <v/>
      </c>
      <c r="I32" t="str">
        <f>'Audit Report'!D32</f>
        <v/>
      </c>
      <c r="J32" t="str">
        <f>'Audit Report'!H32</f>
        <v/>
      </c>
      <c r="L32" t="str">
        <f>_xlfn.TEXTJOIN(", ", FALSE, 'Audit Report'!K32,'Audit Report'!L32,'Audit Report'!M32)</f>
        <v xml:space="preserve">, , </v>
      </c>
      <c r="M32" t="str">
        <f>'Audit Report'!O32</f>
        <v/>
      </c>
      <c r="N32" t="str" cm="1">
        <f t="array" ref="N32">IF(M32="","",
_xlfn.TEXTJOIN(", ",TRUE,
    _xlfn.MAP(_xlfn.TEXTSPLIT(M32,","),_xlfn.LAMBDA(_xlpm.x,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" t="str">
        <f>'Audit Report'!F32</f>
        <v/>
      </c>
      <c r="S32" t="str">
        <f>'Audit Report'!Q32</f>
        <v/>
      </c>
    </row>
    <row r="33" spans="4:19">
      <c r="D33" t="str">
        <f>'Audit Report'!B33</f>
        <v>ITD-SHR-X32</v>
      </c>
      <c r="E33" t="str">
        <f>'Audit Report'!C33</f>
        <v/>
      </c>
      <c r="I33" t="str">
        <f>'Audit Report'!D33</f>
        <v/>
      </c>
      <c r="J33" t="str">
        <f>'Audit Report'!H33</f>
        <v/>
      </c>
      <c r="L33" t="str">
        <f>_xlfn.TEXTJOIN(", ", FALSE, 'Audit Report'!K33,'Audit Report'!L33,'Audit Report'!M33)</f>
        <v xml:space="preserve">, , </v>
      </c>
      <c r="M33" t="str">
        <f>'Audit Report'!O33</f>
        <v/>
      </c>
      <c r="N33" t="str" cm="1">
        <f t="array" ref="N33">IF(M33="","",
_xlfn.TEXTJOIN(", ",TRUE,
    _xlfn.MAP(_xlfn.TEXTSPLIT(M33,","),_xlfn.LAMBDA(_xlpm.x,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" t="str">
        <f>'Audit Report'!F33</f>
        <v/>
      </c>
      <c r="S33" t="str">
        <f>'Audit Report'!Q33</f>
        <v/>
      </c>
    </row>
    <row r="34" spans="4:19">
      <c r="D34" t="str">
        <f>'Audit Report'!B34</f>
        <v>ITD-SHR-X33</v>
      </c>
      <c r="E34" t="str">
        <f>'Audit Report'!C34</f>
        <v/>
      </c>
      <c r="I34" t="str">
        <f>'Audit Report'!D34</f>
        <v/>
      </c>
      <c r="J34" t="str">
        <f>'Audit Report'!H34</f>
        <v/>
      </c>
      <c r="L34" t="str">
        <f>_xlfn.TEXTJOIN(", ", FALSE, 'Audit Report'!K34,'Audit Report'!L34,'Audit Report'!M34)</f>
        <v xml:space="preserve">, , </v>
      </c>
      <c r="M34" t="str">
        <f>'Audit Report'!O34</f>
        <v/>
      </c>
      <c r="N34" t="str" cm="1">
        <f t="array" ref="N34">IF(M34="","",
_xlfn.TEXTJOIN(", ",TRUE,
    _xlfn.MAP(_xlfn.TEXTSPLIT(M34,","),_xlfn.LAMBDA(_xlpm.x,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" t="str">
        <f>'Audit Report'!F34</f>
        <v/>
      </c>
      <c r="S34" t="str">
        <f>'Audit Report'!Q34</f>
        <v/>
      </c>
    </row>
    <row r="35" spans="4:19">
      <c r="D35" t="str">
        <f>'Audit Report'!B35</f>
        <v>ITD-SHR-X34</v>
      </c>
      <c r="E35" t="str">
        <f>'Audit Report'!C35</f>
        <v/>
      </c>
      <c r="I35" t="str">
        <f>'Audit Report'!D35</f>
        <v/>
      </c>
      <c r="J35" t="str">
        <f>'Audit Report'!H35</f>
        <v/>
      </c>
      <c r="L35" t="str">
        <f>_xlfn.TEXTJOIN(", ", FALSE, 'Audit Report'!K35,'Audit Report'!L35,'Audit Report'!M35)</f>
        <v xml:space="preserve">, , </v>
      </c>
      <c r="M35" t="str">
        <f>'Audit Report'!O35</f>
        <v/>
      </c>
      <c r="N35" t="str" cm="1">
        <f t="array" ref="N35">IF(M35="","",
_xlfn.TEXTJOIN(", ",TRUE,
    _xlfn.MAP(_xlfn.TEXTSPLIT(M35,","),_xlfn.LAMBDA(_xlpm.x,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" t="str">
        <f>'Audit Report'!F35</f>
        <v/>
      </c>
      <c r="S35" t="str">
        <f>'Audit Report'!Q35</f>
        <v/>
      </c>
    </row>
    <row r="36" spans="4:19">
      <c r="D36" t="str">
        <f>'Audit Report'!B36</f>
        <v>ITD-SHR-X35</v>
      </c>
      <c r="E36" t="str">
        <f>'Audit Report'!C36</f>
        <v/>
      </c>
      <c r="I36" t="str">
        <f>'Audit Report'!D36</f>
        <v/>
      </c>
      <c r="J36" t="str">
        <f>'Audit Report'!H36</f>
        <v/>
      </c>
      <c r="L36" t="str">
        <f>_xlfn.TEXTJOIN(", ", FALSE, 'Audit Report'!K36,'Audit Report'!L36,'Audit Report'!M36)</f>
        <v xml:space="preserve">, , </v>
      </c>
      <c r="M36" t="str">
        <f>'Audit Report'!O36</f>
        <v/>
      </c>
      <c r="N36" t="str" cm="1">
        <f t="array" ref="N36">IF(M36="","",
_xlfn.TEXTJOIN(", ",TRUE,
    _xlfn.MAP(_xlfn.TEXTSPLIT(M36,","),_xlfn.LAMBDA(_xlpm.x,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" t="str">
        <f>'Audit Report'!F36</f>
        <v/>
      </c>
      <c r="S36" t="str">
        <f>'Audit Report'!Q36</f>
        <v/>
      </c>
    </row>
    <row r="37" spans="4:19">
      <c r="D37" t="str">
        <f>'Audit Report'!B37</f>
        <v>ITD-SHR-X36</v>
      </c>
      <c r="E37" t="str">
        <f>'Audit Report'!C37</f>
        <v/>
      </c>
      <c r="I37" t="str">
        <f>'Audit Report'!D37</f>
        <v/>
      </c>
      <c r="J37" t="str">
        <f>'Audit Report'!H37</f>
        <v/>
      </c>
      <c r="L37" t="str">
        <f>_xlfn.TEXTJOIN(", ", FALSE, 'Audit Report'!K37,'Audit Report'!L37,'Audit Report'!M37)</f>
        <v xml:space="preserve">, , </v>
      </c>
      <c r="M37" t="str">
        <f>'Audit Report'!O37</f>
        <v/>
      </c>
      <c r="N37" t="str" cm="1">
        <f t="array" ref="N37">IF(M37="","",
_xlfn.TEXTJOIN(", ",TRUE,
    _xlfn.MAP(_xlfn.TEXTSPLIT(M37,","),_xlfn.LAMBDA(_xlpm.x,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" t="str">
        <f>'Audit Report'!F37</f>
        <v/>
      </c>
      <c r="S37" t="str">
        <f>'Audit Report'!Q37</f>
        <v/>
      </c>
    </row>
    <row r="38" spans="4:19">
      <c r="D38" t="str">
        <f>'Audit Report'!B38</f>
        <v>ITD-SHR-X37</v>
      </c>
      <c r="E38" t="str">
        <f>'Audit Report'!C38</f>
        <v/>
      </c>
      <c r="I38" t="str">
        <f>'Audit Report'!D38</f>
        <v/>
      </c>
      <c r="J38" t="str">
        <f>'Audit Report'!H38</f>
        <v/>
      </c>
      <c r="L38" t="str">
        <f>_xlfn.TEXTJOIN(", ", FALSE, 'Audit Report'!K38,'Audit Report'!L38,'Audit Report'!M38)</f>
        <v xml:space="preserve">, , </v>
      </c>
      <c r="M38" t="str">
        <f>'Audit Report'!O38</f>
        <v/>
      </c>
      <c r="N38" t="str" cm="1">
        <f t="array" ref="N38">IF(M38="","",
_xlfn.TEXTJOIN(", ",TRUE,
    _xlfn.MAP(_xlfn.TEXTSPLIT(M38,","),_xlfn.LAMBDA(_xlpm.x,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" t="str">
        <f>'Audit Report'!F38</f>
        <v/>
      </c>
      <c r="S38" t="str">
        <f>'Audit Report'!Q38</f>
        <v/>
      </c>
    </row>
    <row r="39" spans="4:19">
      <c r="D39" t="str">
        <f>'Audit Report'!B39</f>
        <v>ITD-SHR-X38</v>
      </c>
      <c r="E39" t="str">
        <f>'Audit Report'!C39</f>
        <v/>
      </c>
      <c r="I39" t="str">
        <f>'Audit Report'!D39</f>
        <v/>
      </c>
      <c r="J39" t="str">
        <f>'Audit Report'!H39</f>
        <v/>
      </c>
      <c r="L39" t="str">
        <f>_xlfn.TEXTJOIN(", ", FALSE, 'Audit Report'!K39,'Audit Report'!L39,'Audit Report'!M39)</f>
        <v xml:space="preserve">, , </v>
      </c>
      <c r="M39" t="str">
        <f>'Audit Report'!O39</f>
        <v/>
      </c>
      <c r="N39" t="str" cm="1">
        <f t="array" ref="N39">IF(M39="","",
_xlfn.TEXTJOIN(", ",TRUE,
    _xlfn.MAP(_xlfn.TEXTSPLIT(M39,","),_xlfn.LAMBDA(_xlpm.x,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" t="str">
        <f>'Audit Report'!F39</f>
        <v/>
      </c>
      <c r="S39" t="str">
        <f>'Audit Report'!Q39</f>
        <v/>
      </c>
    </row>
    <row r="40" spans="4:19">
      <c r="D40" t="str">
        <f>'Audit Report'!B40</f>
        <v>ITD-SHR-X39</v>
      </c>
      <c r="E40" t="str">
        <f>'Audit Report'!C40</f>
        <v/>
      </c>
      <c r="I40" t="str">
        <f>'Audit Report'!D40</f>
        <v/>
      </c>
      <c r="J40" t="str">
        <f>'Audit Report'!H40</f>
        <v/>
      </c>
      <c r="L40" t="str">
        <f>_xlfn.TEXTJOIN(", ", FALSE, 'Audit Report'!K40,'Audit Report'!L40,'Audit Report'!M40)</f>
        <v xml:space="preserve">, , </v>
      </c>
      <c r="M40" t="str">
        <f>'Audit Report'!O40</f>
        <v/>
      </c>
      <c r="N40" t="str" cm="1">
        <f t="array" ref="N40">IF(M40="","",
_xlfn.TEXTJOIN(", ",TRUE,
    _xlfn.MAP(_xlfn.TEXTSPLIT(M40,","),_xlfn.LAMBDA(_xlpm.x,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" t="str">
        <f>'Audit Report'!F40</f>
        <v/>
      </c>
      <c r="S40" t="str">
        <f>'Audit Report'!Q40</f>
        <v/>
      </c>
    </row>
    <row r="41" spans="4:19">
      <c r="D41" t="str">
        <f>'Audit Report'!B41</f>
        <v>ITD-SHR-X40</v>
      </c>
      <c r="E41" t="str">
        <f>'Audit Report'!C41</f>
        <v/>
      </c>
      <c r="I41" t="str">
        <f>'Audit Report'!D41</f>
        <v/>
      </c>
      <c r="J41" t="str">
        <f>'Audit Report'!H41</f>
        <v/>
      </c>
      <c r="L41" t="str">
        <f>_xlfn.TEXTJOIN(", ", FALSE, 'Audit Report'!K41,'Audit Report'!L41,'Audit Report'!M41)</f>
        <v xml:space="preserve">, , </v>
      </c>
      <c r="M41" t="str">
        <f>'Audit Report'!O41</f>
        <v/>
      </c>
      <c r="N41" t="str" cm="1">
        <f t="array" ref="N41">IF(M41="","",
_xlfn.TEXTJOIN(", ",TRUE,
    _xlfn.MAP(_xlfn.TEXTSPLIT(M41,","),_xlfn.LAMBDA(_xlpm.x,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" t="str">
        <f>'Audit Report'!F41</f>
        <v/>
      </c>
      <c r="S41" t="str">
        <f>'Audit Report'!Q41</f>
        <v/>
      </c>
    </row>
    <row r="42" spans="4:19">
      <c r="D42" t="str">
        <f>'Audit Report'!B42</f>
        <v>ITD-SHR-X41</v>
      </c>
      <c r="E42" t="str">
        <f>'Audit Report'!C42</f>
        <v/>
      </c>
      <c r="I42" t="str">
        <f>'Audit Report'!D42</f>
        <v/>
      </c>
      <c r="J42" t="str">
        <f>'Audit Report'!H42</f>
        <v/>
      </c>
      <c r="L42" t="str">
        <f>_xlfn.TEXTJOIN(", ", FALSE, 'Audit Report'!K42,'Audit Report'!L42,'Audit Report'!M42)</f>
        <v xml:space="preserve">, , </v>
      </c>
      <c r="M42" t="str">
        <f>'Audit Report'!O42</f>
        <v/>
      </c>
      <c r="N42" t="str" cm="1">
        <f t="array" ref="N42">IF(M42="","",
_xlfn.TEXTJOIN(", ",TRUE,
    _xlfn.MAP(_xlfn.TEXTSPLIT(M42,","),_xlfn.LAMBDA(_xlpm.x,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" t="str">
        <f>'Audit Report'!F42</f>
        <v/>
      </c>
      <c r="S42" t="str">
        <f>'Audit Report'!Q42</f>
        <v/>
      </c>
    </row>
    <row r="43" spans="4:19">
      <c r="D43" t="str">
        <f>'Audit Report'!B43</f>
        <v>ITD-SHR-X42</v>
      </c>
      <c r="E43" t="str">
        <f>'Audit Report'!C43</f>
        <v/>
      </c>
      <c r="I43" t="str">
        <f>'Audit Report'!D43</f>
        <v/>
      </c>
      <c r="J43" t="str">
        <f>'Audit Report'!H43</f>
        <v/>
      </c>
      <c r="L43" t="str">
        <f>_xlfn.TEXTJOIN(", ", FALSE, 'Audit Report'!K43,'Audit Report'!L43,'Audit Report'!M43)</f>
        <v xml:space="preserve">, , </v>
      </c>
      <c r="M43" t="str">
        <f>'Audit Report'!O43</f>
        <v/>
      </c>
      <c r="N43" t="str" cm="1">
        <f t="array" ref="N43">IF(M43="","",
_xlfn.TEXTJOIN(", ",TRUE,
    _xlfn.MAP(_xlfn.TEXTSPLIT(M43,","),_xlfn.LAMBDA(_xlpm.x,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" t="str">
        <f>'Audit Report'!F43</f>
        <v/>
      </c>
      <c r="S43" t="str">
        <f>'Audit Report'!Q43</f>
        <v/>
      </c>
    </row>
    <row r="44" spans="4:19">
      <c r="D44" t="str">
        <f>'Audit Report'!B44</f>
        <v>ITD-SHR-X43</v>
      </c>
      <c r="E44" t="str">
        <f>'Audit Report'!C44</f>
        <v/>
      </c>
      <c r="I44" t="str">
        <f>'Audit Report'!D44</f>
        <v/>
      </c>
      <c r="J44" t="str">
        <f>'Audit Report'!H44</f>
        <v/>
      </c>
      <c r="L44" t="str">
        <f>_xlfn.TEXTJOIN(", ", FALSE, 'Audit Report'!K44,'Audit Report'!L44,'Audit Report'!M44)</f>
        <v xml:space="preserve">, , </v>
      </c>
      <c r="M44" t="str">
        <f>'Audit Report'!O44</f>
        <v/>
      </c>
      <c r="N44" t="str" cm="1">
        <f t="array" ref="N44">IF(M44="","",
_xlfn.TEXTJOIN(", ",TRUE,
    _xlfn.MAP(_xlfn.TEXTSPLIT(M44,","),_xlfn.LAMBDA(_xlpm.x,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" t="str">
        <f>'Audit Report'!F44</f>
        <v/>
      </c>
      <c r="S44" t="str">
        <f>'Audit Report'!Q44</f>
        <v/>
      </c>
    </row>
    <row r="45" spans="4:19">
      <c r="D45" t="str">
        <f>'Audit Report'!B45</f>
        <v>ITD-SHR-X44</v>
      </c>
      <c r="E45" t="str">
        <f>'Audit Report'!C45</f>
        <v/>
      </c>
      <c r="I45" t="str">
        <f>'Audit Report'!D45</f>
        <v/>
      </c>
      <c r="J45" t="str">
        <f>'Audit Report'!H45</f>
        <v/>
      </c>
      <c r="L45" t="str">
        <f>_xlfn.TEXTJOIN(", ", FALSE, 'Audit Report'!K45,'Audit Report'!L45,'Audit Report'!M45)</f>
        <v xml:space="preserve">, , </v>
      </c>
      <c r="M45" t="str">
        <f>'Audit Report'!O45</f>
        <v/>
      </c>
      <c r="N45" t="str" cm="1">
        <f t="array" ref="N45">IF(M45="","",
_xlfn.TEXTJOIN(", ",TRUE,
    _xlfn.MAP(_xlfn.TEXTSPLIT(M45,","),_xlfn.LAMBDA(_xlpm.x,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" t="str">
        <f>'Audit Report'!F45</f>
        <v/>
      </c>
      <c r="S45" t="str">
        <f>'Audit Report'!Q45</f>
        <v/>
      </c>
    </row>
    <row r="46" spans="4:19">
      <c r="D46" t="str">
        <f>'Audit Report'!B46</f>
        <v>ITD-SHR-X45</v>
      </c>
      <c r="E46" t="str">
        <f>'Audit Report'!C46</f>
        <v/>
      </c>
      <c r="I46" t="str">
        <f>'Audit Report'!D46</f>
        <v/>
      </c>
      <c r="J46" t="str">
        <f>'Audit Report'!H46</f>
        <v/>
      </c>
      <c r="L46" t="str">
        <f>_xlfn.TEXTJOIN(", ", FALSE, 'Audit Report'!K46,'Audit Report'!L46,'Audit Report'!M46)</f>
        <v xml:space="preserve">, , </v>
      </c>
      <c r="M46" t="str">
        <f>'Audit Report'!O46</f>
        <v/>
      </c>
      <c r="N46" t="str" cm="1">
        <f t="array" ref="N46">IF(M46="","",
_xlfn.TEXTJOIN(", ",TRUE,
    _xlfn.MAP(_xlfn.TEXTSPLIT(M46,","),_xlfn.LAMBDA(_xlpm.x,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" t="str">
        <f>'Audit Report'!F46</f>
        <v/>
      </c>
      <c r="S46" t="str">
        <f>'Audit Report'!Q46</f>
        <v/>
      </c>
    </row>
    <row r="47" spans="4:19">
      <c r="D47" t="str">
        <f>'Audit Report'!B47</f>
        <v>ITD-SHR-X46</v>
      </c>
      <c r="E47" t="str">
        <f>'Audit Report'!C47</f>
        <v/>
      </c>
      <c r="I47" t="str">
        <f>'Audit Report'!D47</f>
        <v/>
      </c>
      <c r="J47" t="str">
        <f>'Audit Report'!H47</f>
        <v/>
      </c>
      <c r="L47" t="str">
        <f>_xlfn.TEXTJOIN(", ", FALSE, 'Audit Report'!K47,'Audit Report'!L47,'Audit Report'!M47)</f>
        <v xml:space="preserve">, , </v>
      </c>
      <c r="M47" t="str">
        <f>'Audit Report'!O47</f>
        <v/>
      </c>
      <c r="N47" t="str" cm="1">
        <f t="array" ref="N47">IF(M47="","",
_xlfn.TEXTJOIN(", ",TRUE,
    _xlfn.MAP(_xlfn.TEXTSPLIT(M47,","),_xlfn.LAMBDA(_xlpm.x,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" t="str">
        <f>'Audit Report'!F47</f>
        <v/>
      </c>
      <c r="S47" t="str">
        <f>'Audit Report'!Q47</f>
        <v/>
      </c>
    </row>
    <row r="48" spans="4:19">
      <c r="D48" t="str">
        <f>'Audit Report'!B48</f>
        <v>ITD-SHR-X47</v>
      </c>
      <c r="E48" t="str">
        <f>'Audit Report'!C48</f>
        <v/>
      </c>
      <c r="I48" t="str">
        <f>'Audit Report'!D48</f>
        <v/>
      </c>
      <c r="J48" t="str">
        <f>'Audit Report'!H48</f>
        <v/>
      </c>
      <c r="L48" t="str">
        <f>_xlfn.TEXTJOIN(", ", FALSE, 'Audit Report'!K48,'Audit Report'!L48,'Audit Report'!M48)</f>
        <v xml:space="preserve">, , </v>
      </c>
      <c r="M48" t="str">
        <f>'Audit Report'!O48</f>
        <v/>
      </c>
      <c r="N48" t="str" cm="1">
        <f t="array" ref="N48">IF(M48="","",
_xlfn.TEXTJOIN(", ",TRUE,
    _xlfn.MAP(_xlfn.TEXTSPLIT(M48,","),_xlfn.LAMBDA(_xlpm.x,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" t="str">
        <f>'Audit Report'!F48</f>
        <v/>
      </c>
      <c r="S48" t="str">
        <f>'Audit Report'!Q48</f>
        <v/>
      </c>
    </row>
    <row r="49" spans="4:19">
      <c r="D49" t="str">
        <f>'Audit Report'!B49</f>
        <v>ITD-SHR-X48</v>
      </c>
      <c r="E49" t="str">
        <f>'Audit Report'!C49</f>
        <v/>
      </c>
      <c r="I49" t="str">
        <f>'Audit Report'!D49</f>
        <v/>
      </c>
      <c r="J49" t="str">
        <f>'Audit Report'!H49</f>
        <v/>
      </c>
      <c r="L49" t="str">
        <f>_xlfn.TEXTJOIN(", ", FALSE, 'Audit Report'!K49,'Audit Report'!L49,'Audit Report'!M49)</f>
        <v xml:space="preserve">, , </v>
      </c>
      <c r="M49" t="str">
        <f>'Audit Report'!O49</f>
        <v/>
      </c>
      <c r="N49" t="str" cm="1">
        <f t="array" ref="N49">IF(M49="","",
_xlfn.TEXTJOIN(", ",TRUE,
    _xlfn.MAP(_xlfn.TEXTSPLIT(M49,","),_xlfn.LAMBDA(_xlpm.x,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" t="str">
        <f>'Audit Report'!F49</f>
        <v/>
      </c>
      <c r="S49" t="str">
        <f>'Audit Report'!Q49</f>
        <v/>
      </c>
    </row>
    <row r="50" spans="4:19">
      <c r="D50" t="str">
        <f>'Audit Report'!B50</f>
        <v>ITD-SHR-X49</v>
      </c>
      <c r="E50" t="str">
        <f>'Audit Report'!C50</f>
        <v/>
      </c>
      <c r="I50" t="str">
        <f>'Audit Report'!D50</f>
        <v/>
      </c>
      <c r="J50" t="str">
        <f>'Audit Report'!H50</f>
        <v/>
      </c>
      <c r="L50" t="str">
        <f>_xlfn.TEXTJOIN(", ", FALSE, 'Audit Report'!K50,'Audit Report'!L50,'Audit Report'!M50)</f>
        <v xml:space="preserve">, , </v>
      </c>
      <c r="M50" t="str">
        <f>'Audit Report'!O50</f>
        <v/>
      </c>
      <c r="N50" t="str" cm="1">
        <f t="array" ref="N50">IF(M50="","",
_xlfn.TEXTJOIN(", ",TRUE,
    _xlfn.MAP(_xlfn.TEXTSPLIT(M50,","),_xlfn.LAMBDA(_xlpm.x,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" t="str">
        <f>'Audit Report'!F50</f>
        <v/>
      </c>
      <c r="S50" t="str">
        <f>'Audit Report'!Q50</f>
        <v/>
      </c>
    </row>
    <row r="51" spans="4:19">
      <c r="D51" t="str">
        <f>'Audit Report'!B51</f>
        <v>ITD-SHR-X50</v>
      </c>
      <c r="E51" t="str">
        <f>'Audit Report'!C51</f>
        <v/>
      </c>
      <c r="I51" t="str">
        <f>'Audit Report'!D51</f>
        <v/>
      </c>
      <c r="J51" t="str">
        <f>'Audit Report'!H51</f>
        <v/>
      </c>
      <c r="L51" t="str">
        <f>_xlfn.TEXTJOIN(", ", FALSE, 'Audit Report'!K51,'Audit Report'!L51,'Audit Report'!M51)</f>
        <v xml:space="preserve">, , </v>
      </c>
      <c r="M51" t="str">
        <f>'Audit Report'!O51</f>
        <v/>
      </c>
      <c r="N51" t="str" cm="1">
        <f t="array" ref="N51">IF(M51="","",
_xlfn.TEXTJOIN(", ",TRUE,
    _xlfn.MAP(_xlfn.TEXTSPLIT(M51,","),_xlfn.LAMBDA(_xlpm.x,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" t="str">
        <f>'Audit Report'!F51</f>
        <v/>
      </c>
      <c r="S51" t="str">
        <f>'Audit Report'!Q51</f>
        <v/>
      </c>
    </row>
    <row r="52" spans="4:19">
      <c r="D52" t="str">
        <f>'Audit Report'!B52</f>
        <v>ITD-SHR-X51</v>
      </c>
      <c r="E52" t="str">
        <f>'Audit Report'!C52</f>
        <v/>
      </c>
      <c r="I52" t="str">
        <f>'Audit Report'!D52</f>
        <v/>
      </c>
      <c r="J52" t="str">
        <f>'Audit Report'!H52</f>
        <v/>
      </c>
      <c r="L52" t="str">
        <f>_xlfn.TEXTJOIN(", ", FALSE, 'Audit Report'!K52,'Audit Report'!L52,'Audit Report'!M52)</f>
        <v xml:space="preserve">, , </v>
      </c>
      <c r="M52" t="str">
        <f>'Audit Report'!O52</f>
        <v/>
      </c>
      <c r="N52" t="str" cm="1">
        <f t="array" ref="N52">IF(M52="","",
_xlfn.TEXTJOIN(", ",TRUE,
    _xlfn.MAP(_xlfn.TEXTSPLIT(M52,","),_xlfn.LAMBDA(_xlpm.x,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" t="str">
        <f>'Audit Report'!F52</f>
        <v/>
      </c>
      <c r="S52" t="str">
        <f>'Audit Report'!Q52</f>
        <v/>
      </c>
    </row>
    <row r="53" spans="4:19">
      <c r="D53" t="str">
        <f>'Audit Report'!B53</f>
        <v>ITD-SHR-X52</v>
      </c>
      <c r="E53" t="str">
        <f>'Audit Report'!C53</f>
        <v/>
      </c>
      <c r="I53" t="str">
        <f>'Audit Report'!D53</f>
        <v/>
      </c>
      <c r="J53" t="str">
        <f>'Audit Report'!H53</f>
        <v/>
      </c>
      <c r="L53" t="str">
        <f>_xlfn.TEXTJOIN(", ", FALSE, 'Audit Report'!K53,'Audit Report'!L53,'Audit Report'!M53)</f>
        <v xml:space="preserve">, , </v>
      </c>
      <c r="M53" t="str">
        <f>'Audit Report'!O53</f>
        <v/>
      </c>
      <c r="N53" t="str" cm="1">
        <f t="array" ref="N53">IF(M53="","",
_xlfn.TEXTJOIN(", ",TRUE,
    _xlfn.MAP(_xlfn.TEXTSPLIT(M53,","),_xlfn.LAMBDA(_xlpm.x,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" t="str">
        <f>'Audit Report'!F53</f>
        <v/>
      </c>
      <c r="S53" t="str">
        <f>'Audit Report'!Q53</f>
        <v/>
      </c>
    </row>
    <row r="54" spans="4:19">
      <c r="D54" t="str">
        <f>'Audit Report'!B54</f>
        <v>ITD-SHR-X53</v>
      </c>
      <c r="E54" t="str">
        <f>'Audit Report'!C54</f>
        <v/>
      </c>
      <c r="I54" t="str">
        <f>'Audit Report'!D54</f>
        <v/>
      </c>
      <c r="J54" t="str">
        <f>'Audit Report'!H54</f>
        <v/>
      </c>
      <c r="L54" t="str">
        <f>_xlfn.TEXTJOIN(", ", FALSE, 'Audit Report'!K54,'Audit Report'!L54,'Audit Report'!M54)</f>
        <v xml:space="preserve">, , </v>
      </c>
      <c r="M54" t="str">
        <f>'Audit Report'!O54</f>
        <v/>
      </c>
      <c r="N54" t="str" cm="1">
        <f t="array" ref="N54">IF(M54="","",
_xlfn.TEXTJOIN(", ",TRUE,
    _xlfn.MAP(_xlfn.TEXTSPLIT(M54,","),_xlfn.LAMBDA(_xlpm.x,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" t="str">
        <f>'Audit Report'!F54</f>
        <v/>
      </c>
      <c r="S54" t="str">
        <f>'Audit Report'!Q54</f>
        <v/>
      </c>
    </row>
    <row r="55" spans="4:19">
      <c r="D55" t="str">
        <f>'Audit Report'!B55</f>
        <v>ITD-SHR-X54</v>
      </c>
      <c r="E55" t="str">
        <f>'Audit Report'!C55</f>
        <v/>
      </c>
      <c r="I55" t="str">
        <f>'Audit Report'!D55</f>
        <v/>
      </c>
      <c r="J55" t="str">
        <f>'Audit Report'!H55</f>
        <v/>
      </c>
      <c r="L55" t="str">
        <f>_xlfn.TEXTJOIN(", ", FALSE, 'Audit Report'!K55,'Audit Report'!L55,'Audit Report'!M55)</f>
        <v xml:space="preserve">, , </v>
      </c>
      <c r="M55" t="str">
        <f>'Audit Report'!O55</f>
        <v/>
      </c>
      <c r="N55" t="str" cm="1">
        <f t="array" ref="N55">IF(M55="","",
_xlfn.TEXTJOIN(", ",TRUE,
    _xlfn.MAP(_xlfn.TEXTSPLIT(M55,","),_xlfn.LAMBDA(_xlpm.x,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" t="str">
        <f>'Audit Report'!F55</f>
        <v/>
      </c>
      <c r="S55" t="str">
        <f>'Audit Report'!Q55</f>
        <v/>
      </c>
    </row>
    <row r="56" spans="4:19">
      <c r="D56" t="str">
        <f>'Audit Report'!B56</f>
        <v>ITD-SHR-X55</v>
      </c>
      <c r="E56" t="str">
        <f>'Audit Report'!C56</f>
        <v/>
      </c>
      <c r="I56" t="str">
        <f>'Audit Report'!D56</f>
        <v/>
      </c>
      <c r="J56" t="str">
        <f>'Audit Report'!H56</f>
        <v/>
      </c>
      <c r="L56" t="str">
        <f>_xlfn.TEXTJOIN(", ", FALSE, 'Audit Report'!K56,'Audit Report'!L56,'Audit Report'!M56)</f>
        <v xml:space="preserve">, , </v>
      </c>
      <c r="M56" t="str">
        <f>'Audit Report'!O56</f>
        <v/>
      </c>
      <c r="N56" t="str" cm="1">
        <f t="array" ref="N56">IF(M56="","",
_xlfn.TEXTJOIN(", ",TRUE,
    _xlfn.MAP(_xlfn.TEXTSPLIT(M56,","),_xlfn.LAMBDA(_xlpm.x,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" t="str">
        <f>'Audit Report'!F56</f>
        <v/>
      </c>
      <c r="S56" t="str">
        <f>'Audit Report'!Q56</f>
        <v/>
      </c>
    </row>
    <row r="57" spans="4:19">
      <c r="D57" t="str">
        <f>'Audit Report'!B57</f>
        <v>ITD-SHR-X56</v>
      </c>
      <c r="E57" t="str">
        <f>'Audit Report'!C57</f>
        <v/>
      </c>
      <c r="I57" t="str">
        <f>'Audit Report'!D57</f>
        <v/>
      </c>
      <c r="J57" t="str">
        <f>'Audit Report'!H57</f>
        <v/>
      </c>
      <c r="L57" t="str">
        <f>_xlfn.TEXTJOIN(", ", FALSE, 'Audit Report'!K57,'Audit Report'!L57,'Audit Report'!M57)</f>
        <v xml:space="preserve">, , </v>
      </c>
      <c r="M57" t="str">
        <f>'Audit Report'!O57</f>
        <v/>
      </c>
      <c r="N57" t="str" cm="1">
        <f t="array" ref="N57">IF(M57="","",
_xlfn.TEXTJOIN(", ",TRUE,
    _xlfn.MAP(_xlfn.TEXTSPLIT(M57,","),_xlfn.LAMBDA(_xlpm.x,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" t="str">
        <f>'Audit Report'!F57</f>
        <v/>
      </c>
      <c r="S57" t="str">
        <f>'Audit Report'!Q57</f>
        <v/>
      </c>
    </row>
    <row r="58" spans="4:19">
      <c r="D58" t="str">
        <f>'Audit Report'!B58</f>
        <v>ITD-SHR-X57</v>
      </c>
      <c r="E58" t="str">
        <f>'Audit Report'!C58</f>
        <v/>
      </c>
      <c r="I58" t="str">
        <f>'Audit Report'!D58</f>
        <v/>
      </c>
      <c r="J58" t="str">
        <f>'Audit Report'!H58</f>
        <v/>
      </c>
      <c r="L58" t="str">
        <f>_xlfn.TEXTJOIN(", ", FALSE, 'Audit Report'!K58,'Audit Report'!L58,'Audit Report'!M58)</f>
        <v xml:space="preserve">, , </v>
      </c>
      <c r="M58" t="str">
        <f>'Audit Report'!O58</f>
        <v/>
      </c>
      <c r="N58" t="str" cm="1">
        <f t="array" ref="N58">IF(M58="","",
_xlfn.TEXTJOIN(", ",TRUE,
    _xlfn.MAP(_xlfn.TEXTSPLIT(M58,","),_xlfn.LAMBDA(_xlpm.x,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" t="str">
        <f>'Audit Report'!F58</f>
        <v/>
      </c>
      <c r="S58" t="str">
        <f>'Audit Report'!Q58</f>
        <v/>
      </c>
    </row>
    <row r="59" spans="4:19">
      <c r="D59" t="str">
        <f>'Audit Report'!B59</f>
        <v>ITD-SHR-X58</v>
      </c>
      <c r="E59" t="str">
        <f>'Audit Report'!C59</f>
        <v/>
      </c>
      <c r="I59" t="str">
        <f>'Audit Report'!D59</f>
        <v/>
      </c>
      <c r="J59" t="str">
        <f>'Audit Report'!H59</f>
        <v/>
      </c>
      <c r="L59" t="str">
        <f>_xlfn.TEXTJOIN(", ", FALSE, 'Audit Report'!K59,'Audit Report'!L59,'Audit Report'!M59)</f>
        <v xml:space="preserve">, , </v>
      </c>
      <c r="M59" t="str">
        <f>'Audit Report'!O59</f>
        <v/>
      </c>
      <c r="N59" t="str" cm="1">
        <f t="array" ref="N59">IF(M59="","",
_xlfn.TEXTJOIN(", ",TRUE,
    _xlfn.MAP(_xlfn.TEXTSPLIT(M59,","),_xlfn.LAMBDA(_xlpm.x,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" t="str">
        <f>'Audit Report'!F59</f>
        <v/>
      </c>
      <c r="S59" t="str">
        <f>'Audit Report'!Q59</f>
        <v/>
      </c>
    </row>
    <row r="60" spans="4:19">
      <c r="D60" t="str">
        <f>'Audit Report'!B60</f>
        <v>ITD-SHR-X59</v>
      </c>
      <c r="E60" t="str">
        <f>'Audit Report'!C60</f>
        <v/>
      </c>
      <c r="I60" t="str">
        <f>'Audit Report'!D60</f>
        <v/>
      </c>
      <c r="J60" t="str">
        <f>'Audit Report'!H60</f>
        <v/>
      </c>
      <c r="L60" t="str">
        <f>_xlfn.TEXTJOIN(", ", FALSE, 'Audit Report'!K60,'Audit Report'!L60,'Audit Report'!M60)</f>
        <v xml:space="preserve">, , </v>
      </c>
      <c r="M60" t="str">
        <f>'Audit Report'!O60</f>
        <v/>
      </c>
      <c r="N60" t="str" cm="1">
        <f t="array" ref="N60">IF(M60="","",
_xlfn.TEXTJOIN(", ",TRUE,
    _xlfn.MAP(_xlfn.TEXTSPLIT(M60,","),_xlfn.LAMBDA(_xlpm.x,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" t="str">
        <f>'Audit Report'!F60</f>
        <v/>
      </c>
      <c r="S60" t="str">
        <f>'Audit Report'!Q60</f>
        <v/>
      </c>
    </row>
    <row r="61" spans="4:19">
      <c r="D61" t="str">
        <f>'Audit Report'!B61</f>
        <v>ITD-SHR-X60</v>
      </c>
      <c r="E61" t="str">
        <f>'Audit Report'!C61</f>
        <v/>
      </c>
      <c r="I61" t="str">
        <f>'Audit Report'!D61</f>
        <v/>
      </c>
      <c r="J61" t="str">
        <f>'Audit Report'!H61</f>
        <v/>
      </c>
      <c r="L61" t="str">
        <f>_xlfn.TEXTJOIN(", ", FALSE, 'Audit Report'!K61,'Audit Report'!L61,'Audit Report'!M61)</f>
        <v xml:space="preserve">, , </v>
      </c>
      <c r="M61" t="str">
        <f>'Audit Report'!O61</f>
        <v/>
      </c>
      <c r="N61" t="str" cm="1">
        <f t="array" ref="N61">IF(M61="","",
_xlfn.TEXTJOIN(", ",TRUE,
    _xlfn.MAP(_xlfn.TEXTSPLIT(M61,","),_xlfn.LAMBDA(_xlpm.x,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" t="str">
        <f>'Audit Report'!F61</f>
        <v/>
      </c>
      <c r="S61" t="str">
        <f>'Audit Report'!Q61</f>
        <v/>
      </c>
    </row>
    <row r="62" spans="4:19">
      <c r="D62" t="str">
        <f>'Audit Report'!B62</f>
        <v>ITD-SHR-X61</v>
      </c>
      <c r="E62" t="str">
        <f>'Audit Report'!C62</f>
        <v/>
      </c>
      <c r="I62" t="str">
        <f>'Audit Report'!D62</f>
        <v/>
      </c>
      <c r="J62" t="str">
        <f>'Audit Report'!H62</f>
        <v/>
      </c>
      <c r="L62" t="str">
        <f>_xlfn.TEXTJOIN(", ", FALSE, 'Audit Report'!K62,'Audit Report'!L62,'Audit Report'!M62)</f>
        <v xml:space="preserve">, , </v>
      </c>
      <c r="M62" t="str">
        <f>'Audit Report'!O62</f>
        <v/>
      </c>
      <c r="N62" t="str" cm="1">
        <f t="array" ref="N62">IF(M62="","",
_xlfn.TEXTJOIN(", ",TRUE,
    _xlfn.MAP(_xlfn.TEXTSPLIT(M62,","),_xlfn.LAMBDA(_xlpm.x,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" t="str">
        <f>'Audit Report'!F62</f>
        <v/>
      </c>
      <c r="S62" t="str">
        <f>'Audit Report'!Q62</f>
        <v/>
      </c>
    </row>
    <row r="63" spans="4:19">
      <c r="D63" t="str">
        <f>'Audit Report'!B63</f>
        <v>ITD-SHR-X62</v>
      </c>
      <c r="E63" t="str">
        <f>'Audit Report'!C63</f>
        <v/>
      </c>
      <c r="I63" t="str">
        <f>'Audit Report'!D63</f>
        <v/>
      </c>
      <c r="J63" t="str">
        <f>'Audit Report'!H63</f>
        <v/>
      </c>
      <c r="L63" t="str">
        <f>_xlfn.TEXTJOIN(", ", FALSE, 'Audit Report'!K63,'Audit Report'!L63,'Audit Report'!M63)</f>
        <v xml:space="preserve">, , </v>
      </c>
      <c r="M63" t="str">
        <f>'Audit Report'!O63</f>
        <v/>
      </c>
      <c r="N63" t="str" cm="1">
        <f t="array" ref="N63">IF(M63="","",
_xlfn.TEXTJOIN(", ",TRUE,
    _xlfn.MAP(_xlfn.TEXTSPLIT(M63,","),_xlfn.LAMBDA(_xlpm.x,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" t="str">
        <f>'Audit Report'!F63</f>
        <v/>
      </c>
      <c r="S63" t="str">
        <f>'Audit Report'!Q63</f>
        <v/>
      </c>
    </row>
    <row r="64" spans="4:19">
      <c r="D64" t="str">
        <f>'Audit Report'!B64</f>
        <v>ITD-SHR-X63</v>
      </c>
      <c r="E64" t="str">
        <f>'Audit Report'!C64</f>
        <v/>
      </c>
      <c r="I64" t="str">
        <f>'Audit Report'!D64</f>
        <v/>
      </c>
      <c r="J64" t="str">
        <f>'Audit Report'!H64</f>
        <v/>
      </c>
      <c r="L64" t="str">
        <f>_xlfn.TEXTJOIN(", ", FALSE, 'Audit Report'!K64,'Audit Report'!L64,'Audit Report'!M64)</f>
        <v xml:space="preserve">, , </v>
      </c>
      <c r="M64" t="str">
        <f>'Audit Report'!O64</f>
        <v/>
      </c>
      <c r="N64" t="str" cm="1">
        <f t="array" ref="N64">IF(M64="","",
_xlfn.TEXTJOIN(", ",TRUE,
    _xlfn.MAP(_xlfn.TEXTSPLIT(M64,","),_xlfn.LAMBDA(_xlpm.x,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" t="str">
        <f>'Audit Report'!F64</f>
        <v/>
      </c>
      <c r="S64" t="str">
        <f>'Audit Report'!Q64</f>
        <v/>
      </c>
    </row>
    <row r="65" spans="4:19">
      <c r="D65" t="str">
        <f>'Audit Report'!B65</f>
        <v>ITD-SHR-X64</v>
      </c>
      <c r="E65" t="str">
        <f>'Audit Report'!C65</f>
        <v/>
      </c>
      <c r="I65" t="str">
        <f>'Audit Report'!D65</f>
        <v/>
      </c>
      <c r="J65" t="str">
        <f>'Audit Report'!H65</f>
        <v/>
      </c>
      <c r="L65" t="str">
        <f>_xlfn.TEXTJOIN(", ", FALSE, 'Audit Report'!K65,'Audit Report'!L65,'Audit Report'!M65)</f>
        <v xml:space="preserve">, , </v>
      </c>
      <c r="M65" t="str">
        <f>'Audit Report'!O65</f>
        <v/>
      </c>
      <c r="N65" t="str" cm="1">
        <f t="array" ref="N65">IF(M65="","",
_xlfn.TEXTJOIN(", ",TRUE,
    _xlfn.MAP(_xlfn.TEXTSPLIT(M65,","),_xlfn.LAMBDA(_xlpm.x,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" t="str">
        <f>'Audit Report'!F65</f>
        <v/>
      </c>
      <c r="S65" t="str">
        <f>'Audit Report'!Q65</f>
        <v/>
      </c>
    </row>
    <row r="66" spans="4:19">
      <c r="D66" t="str">
        <f>'Audit Report'!B66</f>
        <v>ITD-SHR-X65</v>
      </c>
      <c r="E66" t="str">
        <f>'Audit Report'!C66</f>
        <v/>
      </c>
      <c r="I66" t="str">
        <f>'Audit Report'!D66</f>
        <v/>
      </c>
      <c r="J66" t="str">
        <f>'Audit Report'!H66</f>
        <v/>
      </c>
      <c r="L66" t="str">
        <f>_xlfn.TEXTJOIN(", ", FALSE, 'Audit Report'!K66,'Audit Report'!L66,'Audit Report'!M66)</f>
        <v xml:space="preserve">, , </v>
      </c>
      <c r="M66" t="str">
        <f>'Audit Report'!O66</f>
        <v/>
      </c>
      <c r="N66" t="str" cm="1">
        <f t="array" ref="N66">IF(M66="","",
_xlfn.TEXTJOIN(", ",TRUE,
    _xlfn.MAP(_xlfn.TEXTSPLIT(M66,","),_xlfn.LAMBDA(_xlpm.x,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" t="str">
        <f>'Audit Report'!F66</f>
        <v/>
      </c>
      <c r="S66" t="str">
        <f>'Audit Report'!Q66</f>
        <v/>
      </c>
    </row>
    <row r="67" spans="4:19">
      <c r="D67" t="str">
        <f>'Audit Report'!B67</f>
        <v>ITD-SHR-X66</v>
      </c>
      <c r="E67" t="str">
        <f>'Audit Report'!C67</f>
        <v/>
      </c>
      <c r="I67" t="str">
        <f>'Audit Report'!D67</f>
        <v/>
      </c>
      <c r="J67" t="str">
        <f>'Audit Report'!H67</f>
        <v/>
      </c>
      <c r="L67" t="str">
        <f>_xlfn.TEXTJOIN(", ", FALSE, 'Audit Report'!K67,'Audit Report'!L67,'Audit Report'!M67)</f>
        <v xml:space="preserve">, , </v>
      </c>
      <c r="M67" t="str">
        <f>'Audit Report'!O67</f>
        <v/>
      </c>
      <c r="N67" t="str" cm="1">
        <f t="array" ref="N67">IF(M67="","",
_xlfn.TEXTJOIN(", ",TRUE,
    _xlfn.MAP(_xlfn.TEXTSPLIT(M67,","),_xlfn.LAMBDA(_xlpm.x,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" t="str">
        <f>'Audit Report'!F67</f>
        <v/>
      </c>
      <c r="S67" t="str">
        <f>'Audit Report'!Q67</f>
        <v/>
      </c>
    </row>
    <row r="68" spans="4:19">
      <c r="D68" t="str">
        <f>'Audit Report'!B68</f>
        <v>ITD-SHR-X67</v>
      </c>
      <c r="E68" t="str">
        <f>'Audit Report'!C68</f>
        <v/>
      </c>
      <c r="I68" t="str">
        <f>'Audit Report'!D68</f>
        <v/>
      </c>
      <c r="J68" t="str">
        <f>'Audit Report'!H68</f>
        <v/>
      </c>
      <c r="L68" t="str">
        <f>_xlfn.TEXTJOIN(", ", FALSE, 'Audit Report'!K68,'Audit Report'!L68,'Audit Report'!M68)</f>
        <v xml:space="preserve">, , </v>
      </c>
      <c r="M68" t="str">
        <f>'Audit Report'!O68</f>
        <v/>
      </c>
      <c r="N68" t="str" cm="1">
        <f t="array" ref="N68">IF(M68="","",
_xlfn.TEXTJOIN(", ",TRUE,
    _xlfn.MAP(_xlfn.TEXTSPLIT(M68,","),_xlfn.LAMBDA(_xlpm.x,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" t="str">
        <f>'Audit Report'!F68</f>
        <v/>
      </c>
      <c r="S68" t="str">
        <f>'Audit Report'!Q68</f>
        <v/>
      </c>
    </row>
    <row r="69" spans="4:19">
      <c r="D69" t="str">
        <f>'Audit Report'!B69</f>
        <v>ITD-SHR-X68</v>
      </c>
      <c r="E69" t="str">
        <f>'Audit Report'!C69</f>
        <v/>
      </c>
      <c r="I69" t="str">
        <f>'Audit Report'!D69</f>
        <v/>
      </c>
      <c r="J69" t="str">
        <f>'Audit Report'!H69</f>
        <v/>
      </c>
      <c r="L69" t="str">
        <f>_xlfn.TEXTJOIN(", ", FALSE, 'Audit Report'!K69,'Audit Report'!L69,'Audit Report'!M69)</f>
        <v xml:space="preserve">, , </v>
      </c>
      <c r="M69" t="str">
        <f>'Audit Report'!O69</f>
        <v/>
      </c>
      <c r="N69" t="str" cm="1">
        <f t="array" ref="N69">IF(M69="","",
_xlfn.TEXTJOIN(", ",TRUE,
    _xlfn.MAP(_xlfn.TEXTSPLIT(M69,","),_xlfn.LAMBDA(_xlpm.x,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" t="str">
        <f>'Audit Report'!F69</f>
        <v/>
      </c>
      <c r="S69" t="str">
        <f>'Audit Report'!Q69</f>
        <v/>
      </c>
    </row>
    <row r="70" spans="4:19">
      <c r="D70" t="str">
        <f>'Audit Report'!B70</f>
        <v>ITD-SHR-X69</v>
      </c>
      <c r="E70" t="str">
        <f>'Audit Report'!C70</f>
        <v/>
      </c>
      <c r="I70" t="str">
        <f>'Audit Report'!D70</f>
        <v/>
      </c>
      <c r="J70" t="str">
        <f>'Audit Report'!H70</f>
        <v/>
      </c>
      <c r="L70" t="str">
        <f>_xlfn.TEXTJOIN(", ", FALSE, 'Audit Report'!K70,'Audit Report'!L70,'Audit Report'!M70)</f>
        <v xml:space="preserve">, , </v>
      </c>
      <c r="M70" t="str">
        <f>'Audit Report'!O70</f>
        <v/>
      </c>
      <c r="N70" t="str" cm="1">
        <f t="array" ref="N70">IF(M70="","",
_xlfn.TEXTJOIN(", ",TRUE,
    _xlfn.MAP(_xlfn.TEXTSPLIT(M70,","),_xlfn.LAMBDA(_xlpm.x,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" t="str">
        <f>'Audit Report'!F70</f>
        <v/>
      </c>
      <c r="S70" t="str">
        <f>'Audit Report'!Q70</f>
        <v/>
      </c>
    </row>
    <row r="71" spans="4:19">
      <c r="D71" t="str">
        <f>'Audit Report'!B71</f>
        <v>ITD-SHR-X70</v>
      </c>
      <c r="E71" t="str">
        <f>'Audit Report'!C71</f>
        <v/>
      </c>
      <c r="I71" t="str">
        <f>'Audit Report'!D71</f>
        <v/>
      </c>
      <c r="J71" t="str">
        <f>'Audit Report'!H71</f>
        <v/>
      </c>
      <c r="L71" t="str">
        <f>_xlfn.TEXTJOIN(", ", FALSE, 'Audit Report'!K71,'Audit Report'!L71,'Audit Report'!M71)</f>
        <v xml:space="preserve">, , </v>
      </c>
      <c r="M71" t="str">
        <f>'Audit Report'!O71</f>
        <v/>
      </c>
      <c r="N71" t="str" cm="1">
        <f t="array" ref="N71">IF(M71="","",
_xlfn.TEXTJOIN(", ",TRUE,
    _xlfn.MAP(_xlfn.TEXTSPLIT(M71,","),_xlfn.LAMBDA(_xlpm.x,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" t="str">
        <f>'Audit Report'!F71</f>
        <v/>
      </c>
      <c r="S71" t="str">
        <f>'Audit Report'!Q71</f>
        <v/>
      </c>
    </row>
    <row r="72" spans="4:19">
      <c r="D72" t="str">
        <f>'Audit Report'!B72</f>
        <v>ITD-SHR-X71</v>
      </c>
      <c r="E72" t="str">
        <f>'Audit Report'!C72</f>
        <v/>
      </c>
      <c r="I72" t="str">
        <f>'Audit Report'!D72</f>
        <v/>
      </c>
      <c r="J72" t="str">
        <f>'Audit Report'!H72</f>
        <v/>
      </c>
      <c r="L72" t="str">
        <f>_xlfn.TEXTJOIN(", ", FALSE, 'Audit Report'!K72,'Audit Report'!L72,'Audit Report'!M72)</f>
        <v xml:space="preserve">, , </v>
      </c>
      <c r="M72" t="str">
        <f>'Audit Report'!O72</f>
        <v/>
      </c>
      <c r="N72" t="str" cm="1">
        <f t="array" ref="N72">IF(M72="","",
_xlfn.TEXTJOIN(", ",TRUE,
    _xlfn.MAP(_xlfn.TEXTSPLIT(M72,","),_xlfn.LAMBDA(_xlpm.x,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" t="str">
        <f>'Audit Report'!F72</f>
        <v/>
      </c>
      <c r="S72" t="str">
        <f>'Audit Report'!Q72</f>
        <v/>
      </c>
    </row>
    <row r="73" spans="4:19">
      <c r="D73" t="str">
        <f>'Audit Report'!B73</f>
        <v>ITD-SHR-X72</v>
      </c>
      <c r="E73" t="str">
        <f>'Audit Report'!C73</f>
        <v/>
      </c>
      <c r="I73" t="str">
        <f>'Audit Report'!D73</f>
        <v/>
      </c>
      <c r="J73" t="str">
        <f>'Audit Report'!H73</f>
        <v/>
      </c>
      <c r="L73" t="str">
        <f>_xlfn.TEXTJOIN(", ", FALSE, 'Audit Report'!K73,'Audit Report'!L73,'Audit Report'!M73)</f>
        <v xml:space="preserve">, , </v>
      </c>
      <c r="M73" t="str">
        <f>'Audit Report'!O73</f>
        <v/>
      </c>
      <c r="N73" t="str" cm="1">
        <f t="array" ref="N73">IF(M73="","",
_xlfn.TEXTJOIN(", ",TRUE,
    _xlfn.MAP(_xlfn.TEXTSPLIT(M73,","),_xlfn.LAMBDA(_xlpm.x,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" t="str">
        <f>'Audit Report'!F73</f>
        <v/>
      </c>
      <c r="S73" t="str">
        <f>'Audit Report'!Q73</f>
        <v/>
      </c>
    </row>
    <row r="74" spans="4:19">
      <c r="D74" t="str">
        <f>'Audit Report'!B74</f>
        <v>ITD-SHR-X73</v>
      </c>
      <c r="E74" t="str">
        <f>'Audit Report'!C74</f>
        <v/>
      </c>
      <c r="I74" t="str">
        <f>'Audit Report'!D74</f>
        <v/>
      </c>
      <c r="J74" t="str">
        <f>'Audit Report'!H74</f>
        <v/>
      </c>
      <c r="L74" t="str">
        <f>_xlfn.TEXTJOIN(", ", FALSE, 'Audit Report'!K74,'Audit Report'!L74,'Audit Report'!M74)</f>
        <v xml:space="preserve">, , </v>
      </c>
      <c r="M74" t="str">
        <f>'Audit Report'!O74</f>
        <v/>
      </c>
      <c r="N74" t="str" cm="1">
        <f t="array" ref="N74">IF(M74="","",
_xlfn.TEXTJOIN(", ",TRUE,
    _xlfn.MAP(_xlfn.TEXTSPLIT(M74,","),_xlfn.LAMBDA(_xlpm.x,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" t="str">
        <f>'Audit Report'!F74</f>
        <v/>
      </c>
      <c r="S74" t="str">
        <f>'Audit Report'!Q74</f>
        <v/>
      </c>
    </row>
    <row r="75" spans="4:19">
      <c r="D75" t="str">
        <f>'Audit Report'!B75</f>
        <v>ITD-SHR-X74</v>
      </c>
      <c r="E75" t="str">
        <f>'Audit Report'!C75</f>
        <v/>
      </c>
      <c r="I75" t="str">
        <f>'Audit Report'!D75</f>
        <v/>
      </c>
      <c r="J75" t="str">
        <f>'Audit Report'!H75</f>
        <v/>
      </c>
      <c r="L75" t="str">
        <f>_xlfn.TEXTJOIN(", ", FALSE, 'Audit Report'!K75,'Audit Report'!L75,'Audit Report'!M75)</f>
        <v xml:space="preserve">, , </v>
      </c>
      <c r="M75" t="str">
        <f>'Audit Report'!O75</f>
        <v/>
      </c>
      <c r="N75" t="str" cm="1">
        <f t="array" ref="N75">IF(M75="","",
_xlfn.TEXTJOIN(", ",TRUE,
    _xlfn.MAP(_xlfn.TEXTSPLIT(M75,","),_xlfn.LAMBDA(_xlpm.x,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" t="str">
        <f>'Audit Report'!F75</f>
        <v/>
      </c>
      <c r="S75" t="str">
        <f>'Audit Report'!Q75</f>
        <v/>
      </c>
    </row>
    <row r="76" spans="4:19">
      <c r="D76" t="str">
        <f>'Audit Report'!B76</f>
        <v>ITD-SHR-X75</v>
      </c>
      <c r="E76" t="str">
        <f>'Audit Report'!C76</f>
        <v/>
      </c>
      <c r="I76" t="str">
        <f>'Audit Report'!D76</f>
        <v/>
      </c>
      <c r="J76" t="str">
        <f>'Audit Report'!H76</f>
        <v/>
      </c>
      <c r="L76" t="str">
        <f>_xlfn.TEXTJOIN(", ", FALSE, 'Audit Report'!K76,'Audit Report'!L76,'Audit Report'!M76)</f>
        <v xml:space="preserve">, , </v>
      </c>
      <c r="M76" t="str">
        <f>'Audit Report'!O76</f>
        <v/>
      </c>
      <c r="N76" t="str" cm="1">
        <f t="array" ref="N76">IF(M76="","",
_xlfn.TEXTJOIN(", ",TRUE,
    _xlfn.MAP(_xlfn.TEXTSPLIT(M76,","),_xlfn.LAMBDA(_xlpm.x,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" t="str">
        <f>'Audit Report'!F76</f>
        <v/>
      </c>
      <c r="S76" t="str">
        <f>'Audit Report'!Q76</f>
        <v/>
      </c>
    </row>
    <row r="77" spans="4:19">
      <c r="D77" t="str">
        <f>'Audit Report'!B77</f>
        <v>ITD-SHR-X76</v>
      </c>
      <c r="E77" t="str">
        <f>'Audit Report'!C77</f>
        <v/>
      </c>
      <c r="I77" t="str">
        <f>'Audit Report'!D77</f>
        <v/>
      </c>
      <c r="J77" t="str">
        <f>'Audit Report'!H77</f>
        <v/>
      </c>
      <c r="L77" t="str">
        <f>_xlfn.TEXTJOIN(", ", FALSE, 'Audit Report'!K77,'Audit Report'!L77,'Audit Report'!M77)</f>
        <v xml:space="preserve">, , </v>
      </c>
      <c r="M77" t="str">
        <f>'Audit Report'!O77</f>
        <v/>
      </c>
      <c r="N77" t="str" cm="1">
        <f t="array" ref="N77">IF(M77="","",
_xlfn.TEXTJOIN(", ",TRUE,
    _xlfn.MAP(_xlfn.TEXTSPLIT(M77,","),_xlfn.LAMBDA(_xlpm.x,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" t="str">
        <f>'Audit Report'!F77</f>
        <v/>
      </c>
      <c r="S77" t="str">
        <f>'Audit Report'!Q77</f>
        <v/>
      </c>
    </row>
    <row r="78" spans="4:19">
      <c r="D78" t="str">
        <f>'Audit Report'!B78</f>
        <v>ITD-SHR-X77</v>
      </c>
      <c r="E78" t="str">
        <f>'Audit Report'!C78</f>
        <v/>
      </c>
      <c r="I78" t="str">
        <f>'Audit Report'!D78</f>
        <v/>
      </c>
      <c r="J78" t="str">
        <f>'Audit Report'!H78</f>
        <v/>
      </c>
      <c r="L78" t="str">
        <f>_xlfn.TEXTJOIN(", ", FALSE, 'Audit Report'!K78,'Audit Report'!L78,'Audit Report'!M78)</f>
        <v xml:space="preserve">, , </v>
      </c>
      <c r="M78" t="str">
        <f>'Audit Report'!O78</f>
        <v/>
      </c>
      <c r="N78" t="str" cm="1">
        <f t="array" ref="N78">IF(M78="","",
_xlfn.TEXTJOIN(", ",TRUE,
    _xlfn.MAP(_xlfn.TEXTSPLIT(M78,","),_xlfn.LAMBDA(_xlpm.x,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" t="str">
        <f>'Audit Report'!F78</f>
        <v/>
      </c>
      <c r="S78" t="str">
        <f>'Audit Report'!Q78</f>
        <v/>
      </c>
    </row>
    <row r="79" spans="4:19">
      <c r="D79" t="str">
        <f>'Audit Report'!B79</f>
        <v>ITD-SHR-X78</v>
      </c>
      <c r="E79" t="str">
        <f>'Audit Report'!C79</f>
        <v/>
      </c>
      <c r="I79" t="str">
        <f>'Audit Report'!D79</f>
        <v/>
      </c>
      <c r="J79" t="str">
        <f>'Audit Report'!H79</f>
        <v/>
      </c>
      <c r="L79" t="str">
        <f>_xlfn.TEXTJOIN(", ", FALSE, 'Audit Report'!K79,'Audit Report'!L79,'Audit Report'!M79)</f>
        <v xml:space="preserve">, , </v>
      </c>
      <c r="M79" t="str">
        <f>'Audit Report'!O79</f>
        <v/>
      </c>
      <c r="N79" t="str" cm="1">
        <f t="array" ref="N79">IF(M79="","",
_xlfn.TEXTJOIN(", ",TRUE,
    _xlfn.MAP(_xlfn.TEXTSPLIT(M79,","),_xlfn.LAMBDA(_xlpm.x,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" t="str">
        <f>'Audit Report'!F79</f>
        <v/>
      </c>
      <c r="S79" t="str">
        <f>'Audit Report'!Q79</f>
        <v/>
      </c>
    </row>
    <row r="80" spans="4:19">
      <c r="D80" t="str">
        <f>'Audit Report'!B80</f>
        <v>ITD-SHR-X79</v>
      </c>
      <c r="E80" t="str">
        <f>'Audit Report'!C80</f>
        <v/>
      </c>
      <c r="I80" t="str">
        <f>'Audit Report'!D80</f>
        <v/>
      </c>
      <c r="J80" t="str">
        <f>'Audit Report'!H80</f>
        <v/>
      </c>
      <c r="L80" t="str">
        <f>_xlfn.TEXTJOIN(", ", FALSE, 'Audit Report'!K80,'Audit Report'!L80,'Audit Report'!M80)</f>
        <v xml:space="preserve">, , </v>
      </c>
      <c r="M80" t="str">
        <f>'Audit Report'!O80</f>
        <v/>
      </c>
      <c r="N80" t="str" cm="1">
        <f t="array" ref="N80">IF(M80="","",
_xlfn.TEXTJOIN(", ",TRUE,
    _xlfn.MAP(_xlfn.TEXTSPLIT(M80,","),_xlfn.LAMBDA(_xlpm.x,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" t="str">
        <f>'Audit Report'!F80</f>
        <v/>
      </c>
      <c r="S80" t="str">
        <f>'Audit Report'!Q80</f>
        <v/>
      </c>
    </row>
    <row r="81" spans="4:19">
      <c r="D81" t="str">
        <f>'Audit Report'!B81</f>
        <v>ITD-SHR-X80</v>
      </c>
      <c r="E81" t="str">
        <f>'Audit Report'!C81</f>
        <v/>
      </c>
      <c r="I81" t="str">
        <f>'Audit Report'!D81</f>
        <v/>
      </c>
      <c r="J81" t="str">
        <f>'Audit Report'!H81</f>
        <v/>
      </c>
      <c r="L81" t="str">
        <f>_xlfn.TEXTJOIN(", ", FALSE, 'Audit Report'!K81,'Audit Report'!L81,'Audit Report'!M81)</f>
        <v xml:space="preserve">, , </v>
      </c>
      <c r="M81" t="str">
        <f>'Audit Report'!O81</f>
        <v/>
      </c>
      <c r="N81" t="str" cm="1">
        <f t="array" ref="N81">IF(M81="","",
_xlfn.TEXTJOIN(", ",TRUE,
    _xlfn.MAP(_xlfn.TEXTSPLIT(M81,","),_xlfn.LAMBDA(_xlpm.x,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" t="str">
        <f>'Audit Report'!F81</f>
        <v/>
      </c>
      <c r="S81" t="str">
        <f>'Audit Report'!Q81</f>
        <v/>
      </c>
    </row>
    <row r="82" spans="4:19">
      <c r="D82" t="str">
        <f>'Audit Report'!B82</f>
        <v>ITD-SHR-X81</v>
      </c>
      <c r="E82" t="str">
        <f>'Audit Report'!C82</f>
        <v/>
      </c>
      <c r="I82" t="str">
        <f>'Audit Report'!D82</f>
        <v/>
      </c>
      <c r="J82" t="str">
        <f>'Audit Report'!H82</f>
        <v/>
      </c>
      <c r="L82" t="str">
        <f>_xlfn.TEXTJOIN(", ", FALSE, 'Audit Report'!K82,'Audit Report'!L82,'Audit Report'!M82)</f>
        <v xml:space="preserve">, , </v>
      </c>
      <c r="M82" t="str">
        <f>'Audit Report'!O82</f>
        <v/>
      </c>
      <c r="N82" t="str" cm="1">
        <f t="array" ref="N82">IF(M82="","",
_xlfn.TEXTJOIN(", ",TRUE,
    _xlfn.MAP(_xlfn.TEXTSPLIT(M82,","),_xlfn.LAMBDA(_xlpm.x,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" t="str">
        <f>'Audit Report'!F82</f>
        <v/>
      </c>
      <c r="S82" t="str">
        <f>'Audit Report'!Q82</f>
        <v/>
      </c>
    </row>
    <row r="83" spans="4:19">
      <c r="D83" t="str">
        <f>'Audit Report'!B83</f>
        <v>ITD-SHR-X82</v>
      </c>
      <c r="E83" t="str">
        <f>'Audit Report'!C83</f>
        <v/>
      </c>
      <c r="I83" t="str">
        <f>'Audit Report'!D83</f>
        <v/>
      </c>
      <c r="J83" t="str">
        <f>'Audit Report'!H83</f>
        <v/>
      </c>
      <c r="L83" t="str">
        <f>_xlfn.TEXTJOIN(", ", FALSE, 'Audit Report'!K83,'Audit Report'!L83,'Audit Report'!M83)</f>
        <v xml:space="preserve">, , </v>
      </c>
      <c r="M83" t="str">
        <f>'Audit Report'!O83</f>
        <v/>
      </c>
      <c r="N83" t="str" cm="1">
        <f t="array" ref="N83">IF(M83="","",
_xlfn.TEXTJOIN(", ",TRUE,
    _xlfn.MAP(_xlfn.TEXTSPLIT(M83,","),_xlfn.LAMBDA(_xlpm.x,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" t="str">
        <f>'Audit Report'!F83</f>
        <v/>
      </c>
      <c r="S83" t="str">
        <f>'Audit Report'!Q83</f>
        <v/>
      </c>
    </row>
    <row r="84" spans="4:19">
      <c r="D84" t="str">
        <f>'Audit Report'!B84</f>
        <v>ITD-SHR-X83</v>
      </c>
      <c r="E84" t="str">
        <f>'Audit Report'!C84</f>
        <v/>
      </c>
      <c r="I84" t="str">
        <f>'Audit Report'!D84</f>
        <v/>
      </c>
      <c r="J84" t="str">
        <f>'Audit Report'!H84</f>
        <v/>
      </c>
      <c r="L84" t="str">
        <f>_xlfn.TEXTJOIN(", ", FALSE, 'Audit Report'!K84,'Audit Report'!L84,'Audit Report'!M84)</f>
        <v xml:space="preserve">, , </v>
      </c>
      <c r="M84" t="str">
        <f>'Audit Report'!O84</f>
        <v/>
      </c>
      <c r="N84" t="str" cm="1">
        <f t="array" ref="N84">IF(M84="","",
_xlfn.TEXTJOIN(", ",TRUE,
    _xlfn.MAP(_xlfn.TEXTSPLIT(M84,","),_xlfn.LAMBDA(_xlpm.x,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" t="str">
        <f>'Audit Report'!F84</f>
        <v/>
      </c>
      <c r="S84" t="str">
        <f>'Audit Report'!Q84</f>
        <v/>
      </c>
    </row>
    <row r="85" spans="4:19">
      <c r="D85" t="str">
        <f>'Audit Report'!B85</f>
        <v>ITD-SHR-X84</v>
      </c>
      <c r="E85" t="str">
        <f>'Audit Report'!C85</f>
        <v/>
      </c>
      <c r="I85" t="str">
        <f>'Audit Report'!D85</f>
        <v/>
      </c>
      <c r="J85" t="str">
        <f>'Audit Report'!H85</f>
        <v/>
      </c>
      <c r="L85" t="str">
        <f>_xlfn.TEXTJOIN(", ", FALSE, 'Audit Report'!K85,'Audit Report'!L85,'Audit Report'!M85)</f>
        <v xml:space="preserve">, , </v>
      </c>
      <c r="M85" t="str">
        <f>'Audit Report'!O85</f>
        <v/>
      </c>
      <c r="N85" t="str" cm="1">
        <f t="array" ref="N85">IF(M85="","",
_xlfn.TEXTJOIN(", ",TRUE,
    _xlfn.MAP(_xlfn.TEXTSPLIT(M85,","),_xlfn.LAMBDA(_xlpm.x,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" t="str">
        <f>'Audit Report'!F85</f>
        <v/>
      </c>
      <c r="S85" t="str">
        <f>'Audit Report'!Q85</f>
        <v/>
      </c>
    </row>
    <row r="86" spans="4:19">
      <c r="D86" t="str">
        <f>'Audit Report'!B86</f>
        <v>ITD-SHR-X85</v>
      </c>
      <c r="E86" t="str">
        <f>'Audit Report'!C86</f>
        <v/>
      </c>
      <c r="I86" t="str">
        <f>'Audit Report'!D86</f>
        <v/>
      </c>
      <c r="J86" t="str">
        <f>'Audit Report'!H86</f>
        <v/>
      </c>
      <c r="L86" t="str">
        <f>_xlfn.TEXTJOIN(", ", FALSE, 'Audit Report'!K86,'Audit Report'!L86,'Audit Report'!M86)</f>
        <v xml:space="preserve">, , </v>
      </c>
      <c r="M86" t="str">
        <f>'Audit Report'!O86</f>
        <v/>
      </c>
      <c r="N86" t="str" cm="1">
        <f t="array" ref="N86">IF(M86="","",
_xlfn.TEXTJOIN(", ",TRUE,
    _xlfn.MAP(_xlfn.TEXTSPLIT(M86,","),_xlfn.LAMBDA(_xlpm.x,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" t="str">
        <f>'Audit Report'!F86</f>
        <v/>
      </c>
      <c r="S86" t="str">
        <f>'Audit Report'!Q86</f>
        <v/>
      </c>
    </row>
    <row r="87" spans="4:19">
      <c r="D87" t="str">
        <f>'Audit Report'!B87</f>
        <v>ITD-SHR-X86</v>
      </c>
      <c r="E87" t="str">
        <f>'Audit Report'!C87</f>
        <v/>
      </c>
      <c r="I87" t="str">
        <f>'Audit Report'!D87</f>
        <v/>
      </c>
      <c r="J87" t="str">
        <f>'Audit Report'!H87</f>
        <v/>
      </c>
      <c r="L87" t="str">
        <f>_xlfn.TEXTJOIN(", ", FALSE, 'Audit Report'!K87,'Audit Report'!L87,'Audit Report'!M87)</f>
        <v xml:space="preserve">, , </v>
      </c>
      <c r="M87" t="str">
        <f>'Audit Report'!O87</f>
        <v/>
      </c>
      <c r="N87" t="str" cm="1">
        <f t="array" ref="N87">IF(M87="","",
_xlfn.TEXTJOIN(", ",TRUE,
    _xlfn.MAP(_xlfn.TEXTSPLIT(M87,","),_xlfn.LAMBDA(_xlpm.x,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" t="str">
        <f>'Audit Report'!F87</f>
        <v/>
      </c>
      <c r="S87" t="str">
        <f>'Audit Report'!Q87</f>
        <v/>
      </c>
    </row>
    <row r="88" spans="4:19">
      <c r="D88" t="str">
        <f>'Audit Report'!B88</f>
        <v>ITD-SHR-X87</v>
      </c>
      <c r="E88" t="str">
        <f>'Audit Report'!C88</f>
        <v/>
      </c>
      <c r="I88" t="str">
        <f>'Audit Report'!D88</f>
        <v/>
      </c>
      <c r="J88" t="str">
        <f>'Audit Report'!H88</f>
        <v/>
      </c>
      <c r="L88" t="str">
        <f>_xlfn.TEXTJOIN(", ", FALSE, 'Audit Report'!K88,'Audit Report'!L88,'Audit Report'!M88)</f>
        <v xml:space="preserve">, , </v>
      </c>
      <c r="M88" t="str">
        <f>'Audit Report'!O88</f>
        <v/>
      </c>
      <c r="N88" t="str" cm="1">
        <f t="array" ref="N88">IF(M88="","",
_xlfn.TEXTJOIN(", ",TRUE,
    _xlfn.MAP(_xlfn.TEXTSPLIT(M88,","),_xlfn.LAMBDA(_xlpm.x,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" t="str">
        <f>'Audit Report'!F88</f>
        <v/>
      </c>
      <c r="S88" t="str">
        <f>'Audit Report'!Q88</f>
        <v/>
      </c>
    </row>
    <row r="89" spans="4:19">
      <c r="D89" t="str">
        <f>'Audit Report'!B89</f>
        <v>ITD-SHR-X88</v>
      </c>
      <c r="E89" t="str">
        <f>'Audit Report'!C89</f>
        <v/>
      </c>
      <c r="I89" t="str">
        <f>'Audit Report'!D89</f>
        <v/>
      </c>
      <c r="J89" t="str">
        <f>'Audit Report'!H89</f>
        <v/>
      </c>
      <c r="L89" t="str">
        <f>_xlfn.TEXTJOIN(", ", FALSE, 'Audit Report'!K89,'Audit Report'!L89,'Audit Report'!M89)</f>
        <v xml:space="preserve">, , </v>
      </c>
      <c r="M89" t="str">
        <f>'Audit Report'!O89</f>
        <v/>
      </c>
      <c r="N89" t="str" cm="1">
        <f t="array" ref="N89">IF(M89="","",
_xlfn.TEXTJOIN(", ",TRUE,
    _xlfn.MAP(_xlfn.TEXTSPLIT(M89,","),_xlfn.LAMBDA(_xlpm.x,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" t="str">
        <f>'Audit Report'!F89</f>
        <v/>
      </c>
      <c r="S89" t="str">
        <f>'Audit Report'!Q89</f>
        <v/>
      </c>
    </row>
    <row r="90" spans="4:19">
      <c r="D90" t="str">
        <f>'Audit Report'!B90</f>
        <v>ITD-SHR-X89</v>
      </c>
      <c r="E90" t="str">
        <f>'Audit Report'!C90</f>
        <v/>
      </c>
      <c r="I90" t="str">
        <f>'Audit Report'!D90</f>
        <v/>
      </c>
      <c r="J90" t="str">
        <f>'Audit Report'!H90</f>
        <v/>
      </c>
      <c r="L90" t="str">
        <f>_xlfn.TEXTJOIN(", ", FALSE, 'Audit Report'!K90,'Audit Report'!L90,'Audit Report'!M90)</f>
        <v xml:space="preserve">, , </v>
      </c>
      <c r="M90" t="str">
        <f>'Audit Report'!O90</f>
        <v/>
      </c>
      <c r="N90" t="str" cm="1">
        <f t="array" ref="N90">IF(M90="","",
_xlfn.TEXTJOIN(", ",TRUE,
    _xlfn.MAP(_xlfn.TEXTSPLIT(M90,","),_xlfn.LAMBDA(_xlpm.x,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" t="str">
        <f>'Audit Report'!F90</f>
        <v/>
      </c>
      <c r="S90" t="str">
        <f>'Audit Report'!Q90</f>
        <v/>
      </c>
    </row>
    <row r="91" spans="4:19">
      <c r="D91" t="str">
        <f>'Audit Report'!B91</f>
        <v>ITD-SHR-X90</v>
      </c>
      <c r="E91" t="str">
        <f>'Audit Report'!C91</f>
        <v/>
      </c>
      <c r="I91" t="str">
        <f>'Audit Report'!D91</f>
        <v/>
      </c>
      <c r="J91" t="str">
        <f>'Audit Report'!H91</f>
        <v/>
      </c>
      <c r="L91" t="str">
        <f>_xlfn.TEXTJOIN(", ", FALSE, 'Audit Report'!K91,'Audit Report'!L91,'Audit Report'!M91)</f>
        <v xml:space="preserve">, , </v>
      </c>
      <c r="M91" t="str">
        <f>'Audit Report'!O91</f>
        <v/>
      </c>
      <c r="N91" t="str" cm="1">
        <f t="array" ref="N91">IF(M91="","",
_xlfn.TEXTJOIN(", ",TRUE,
    _xlfn.MAP(_xlfn.TEXTSPLIT(M91,","),_xlfn.LAMBDA(_xlpm.x,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" t="str">
        <f>'Audit Report'!F91</f>
        <v/>
      </c>
      <c r="S91" t="str">
        <f>'Audit Report'!Q91</f>
        <v/>
      </c>
    </row>
    <row r="92" spans="4:19">
      <c r="D92" t="str">
        <f>'Audit Report'!B92</f>
        <v>ITD-SHR-X91</v>
      </c>
      <c r="E92" t="str">
        <f>'Audit Report'!C92</f>
        <v/>
      </c>
      <c r="I92" t="str">
        <f>'Audit Report'!D92</f>
        <v/>
      </c>
      <c r="J92" t="str">
        <f>'Audit Report'!H92</f>
        <v/>
      </c>
      <c r="L92" t="str">
        <f>_xlfn.TEXTJOIN(", ", FALSE, 'Audit Report'!K92,'Audit Report'!L92,'Audit Report'!M92)</f>
        <v xml:space="preserve">, , </v>
      </c>
      <c r="M92" t="str">
        <f>'Audit Report'!O92</f>
        <v/>
      </c>
      <c r="N92" t="str" cm="1">
        <f t="array" ref="N92">IF(M92="","",
_xlfn.TEXTJOIN(", ",TRUE,
    _xlfn.MAP(_xlfn.TEXTSPLIT(M92,","),_xlfn.LAMBDA(_xlpm.x,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" t="str">
        <f>'Audit Report'!F92</f>
        <v/>
      </c>
      <c r="S92" t="str">
        <f>'Audit Report'!Q92</f>
        <v/>
      </c>
    </row>
    <row r="93" spans="4:19">
      <c r="D93" t="str">
        <f>'Audit Report'!B93</f>
        <v>ITD-SHR-X92</v>
      </c>
      <c r="E93" t="str">
        <f>'Audit Report'!C93</f>
        <v/>
      </c>
      <c r="I93" t="str">
        <f>'Audit Report'!D93</f>
        <v/>
      </c>
      <c r="J93" t="str">
        <f>'Audit Report'!H93</f>
        <v/>
      </c>
      <c r="L93" t="str">
        <f>_xlfn.TEXTJOIN(", ", FALSE, 'Audit Report'!K93,'Audit Report'!L93,'Audit Report'!M93)</f>
        <v xml:space="preserve">, , </v>
      </c>
      <c r="M93" t="str">
        <f>'Audit Report'!O93</f>
        <v/>
      </c>
      <c r="N93" t="str" cm="1">
        <f t="array" ref="N93">IF(M93="","",
_xlfn.TEXTJOIN(", ",TRUE,
    _xlfn.MAP(_xlfn.TEXTSPLIT(M93,","),_xlfn.LAMBDA(_xlpm.x,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" t="str">
        <f>'Audit Report'!F93</f>
        <v/>
      </c>
      <c r="S93" t="str">
        <f>'Audit Report'!Q93</f>
        <v/>
      </c>
    </row>
    <row r="94" spans="4:19">
      <c r="D94" t="str">
        <f>'Audit Report'!B94</f>
        <v>ITD-SHR-X93</v>
      </c>
      <c r="E94" t="str">
        <f>'Audit Report'!C94</f>
        <v/>
      </c>
      <c r="I94" t="str">
        <f>'Audit Report'!D94</f>
        <v/>
      </c>
      <c r="J94" t="str">
        <f>'Audit Report'!H94</f>
        <v/>
      </c>
      <c r="L94" t="str">
        <f>_xlfn.TEXTJOIN(", ", FALSE, 'Audit Report'!K94,'Audit Report'!L94,'Audit Report'!M94)</f>
        <v xml:space="preserve">, , </v>
      </c>
      <c r="M94" t="str">
        <f>'Audit Report'!O94</f>
        <v/>
      </c>
      <c r="N94" t="str" cm="1">
        <f t="array" ref="N94">IF(M94="","",
_xlfn.TEXTJOIN(", ",TRUE,
    _xlfn.MAP(_xlfn.TEXTSPLIT(M94,","),_xlfn.LAMBDA(_xlpm.x,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" t="str">
        <f>'Audit Report'!F94</f>
        <v/>
      </c>
      <c r="S94" t="str">
        <f>'Audit Report'!Q94</f>
        <v/>
      </c>
    </row>
    <row r="95" spans="4:19">
      <c r="D95" t="str">
        <f>'Audit Report'!B95</f>
        <v>ITD-SHR-X94</v>
      </c>
      <c r="E95" t="str">
        <f>'Audit Report'!C95</f>
        <v/>
      </c>
      <c r="I95" t="str">
        <f>'Audit Report'!D95</f>
        <v/>
      </c>
      <c r="J95" t="str">
        <f>'Audit Report'!H95</f>
        <v/>
      </c>
      <c r="L95" t="str">
        <f>_xlfn.TEXTJOIN(", ", FALSE, 'Audit Report'!K95,'Audit Report'!L95,'Audit Report'!M95)</f>
        <v xml:space="preserve">, , </v>
      </c>
      <c r="M95" t="str">
        <f>'Audit Report'!O95</f>
        <v/>
      </c>
      <c r="N95" t="str" cm="1">
        <f t="array" ref="N95">IF(M95="","",
_xlfn.TEXTJOIN(", ",TRUE,
    _xlfn.MAP(_xlfn.TEXTSPLIT(M95,","),_xlfn.LAMBDA(_xlpm.x,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" t="str">
        <f>'Audit Report'!F95</f>
        <v/>
      </c>
      <c r="S95" t="str">
        <f>'Audit Report'!Q95</f>
        <v/>
      </c>
    </row>
    <row r="96" spans="4:19">
      <c r="D96" t="str">
        <f>'Audit Report'!B96</f>
        <v>ITD-SHR-X95</v>
      </c>
      <c r="E96" t="str">
        <f>'Audit Report'!C96</f>
        <v/>
      </c>
      <c r="I96" t="str">
        <f>'Audit Report'!D96</f>
        <v/>
      </c>
      <c r="J96" t="str">
        <f>'Audit Report'!H96</f>
        <v/>
      </c>
      <c r="L96" t="str">
        <f>_xlfn.TEXTJOIN(", ", FALSE, 'Audit Report'!K96,'Audit Report'!L96,'Audit Report'!M96)</f>
        <v xml:space="preserve">, , </v>
      </c>
      <c r="M96" t="str">
        <f>'Audit Report'!O96</f>
        <v/>
      </c>
      <c r="N96" t="str" cm="1">
        <f t="array" ref="N96">IF(M96="","",
_xlfn.TEXTJOIN(", ",TRUE,
    _xlfn.MAP(_xlfn.TEXTSPLIT(M96,","),_xlfn.LAMBDA(_xlpm.x,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" t="str">
        <f>'Audit Report'!F96</f>
        <v/>
      </c>
      <c r="S96" t="str">
        <f>'Audit Report'!Q96</f>
        <v/>
      </c>
    </row>
    <row r="97" spans="4:19">
      <c r="D97" t="str">
        <f>'Audit Report'!B97</f>
        <v>ITD-SHR-X96</v>
      </c>
      <c r="E97" t="str">
        <f>'Audit Report'!C97</f>
        <v/>
      </c>
      <c r="I97" t="str">
        <f>'Audit Report'!D97</f>
        <v/>
      </c>
      <c r="J97" t="str">
        <f>'Audit Report'!H97</f>
        <v/>
      </c>
      <c r="L97" t="str">
        <f>_xlfn.TEXTJOIN(", ", FALSE, 'Audit Report'!K97,'Audit Report'!L97,'Audit Report'!M97)</f>
        <v xml:space="preserve">, , </v>
      </c>
      <c r="M97" t="str">
        <f>'Audit Report'!O97</f>
        <v/>
      </c>
      <c r="N97" t="str" cm="1">
        <f t="array" ref="N97">IF(M97="","",
_xlfn.TEXTJOIN(", ",TRUE,
    _xlfn.MAP(_xlfn.TEXTSPLIT(M97,","),_xlfn.LAMBDA(_xlpm.x,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" t="str">
        <f>'Audit Report'!F97</f>
        <v/>
      </c>
      <c r="S97" t="str">
        <f>'Audit Report'!Q97</f>
        <v/>
      </c>
    </row>
    <row r="98" spans="4:19">
      <c r="D98" t="str">
        <f>'Audit Report'!B98</f>
        <v>ITD-SHR-X97</v>
      </c>
      <c r="E98" t="str">
        <f>'Audit Report'!C98</f>
        <v/>
      </c>
      <c r="I98" t="str">
        <f>'Audit Report'!D98</f>
        <v/>
      </c>
      <c r="J98" t="str">
        <f>'Audit Report'!H98</f>
        <v/>
      </c>
      <c r="L98" t="str">
        <f>_xlfn.TEXTJOIN(", ", FALSE, 'Audit Report'!K98,'Audit Report'!L98,'Audit Report'!M98)</f>
        <v xml:space="preserve">, , </v>
      </c>
      <c r="M98" t="str">
        <f>'Audit Report'!O98</f>
        <v/>
      </c>
      <c r="N98" t="str" cm="1">
        <f t="array" ref="N98">IF(M98="","",
_xlfn.TEXTJOIN(", ",TRUE,
    _xlfn.MAP(_xlfn.TEXTSPLIT(M98,","),_xlfn.LAMBDA(_xlpm.x,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" t="str">
        <f>'Audit Report'!F98</f>
        <v/>
      </c>
      <c r="S98" t="str">
        <f>'Audit Report'!Q98</f>
        <v/>
      </c>
    </row>
    <row r="99" spans="4:19">
      <c r="D99" t="str">
        <f>'Audit Report'!B99</f>
        <v>ITD-SHR-X98</v>
      </c>
      <c r="E99" t="str">
        <f>'Audit Report'!C99</f>
        <v/>
      </c>
      <c r="I99" t="str">
        <f>'Audit Report'!D99</f>
        <v/>
      </c>
      <c r="J99" t="str">
        <f>'Audit Report'!H99</f>
        <v/>
      </c>
      <c r="L99" t="str">
        <f>_xlfn.TEXTJOIN(", ", FALSE, 'Audit Report'!K99,'Audit Report'!L99,'Audit Report'!M99)</f>
        <v xml:space="preserve">, , </v>
      </c>
      <c r="M99" t="str">
        <f>'Audit Report'!O99</f>
        <v/>
      </c>
      <c r="N99" t="str" cm="1">
        <f t="array" ref="N99">IF(M99="","",
_xlfn.TEXTJOIN(", ",TRUE,
    _xlfn.MAP(_xlfn.TEXTSPLIT(M99,","),_xlfn.LAMBDA(_xlpm.x,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" t="str">
        <f>'Audit Report'!F99</f>
        <v/>
      </c>
      <c r="S99" t="str">
        <f>'Audit Report'!Q99</f>
        <v/>
      </c>
    </row>
    <row r="100" spans="4:19">
      <c r="D100" t="str">
        <f>'Audit Report'!B100</f>
        <v>ITD-SHR-X99</v>
      </c>
      <c r="E100" t="str">
        <f>'Audit Report'!C100</f>
        <v/>
      </c>
      <c r="I100" t="str">
        <f>'Audit Report'!D100</f>
        <v/>
      </c>
      <c r="J100" t="str">
        <f>'Audit Report'!H100</f>
        <v/>
      </c>
      <c r="L100" t="str">
        <f>_xlfn.TEXTJOIN(", ", FALSE, 'Audit Report'!K100,'Audit Report'!L100,'Audit Report'!M100)</f>
        <v xml:space="preserve">, , </v>
      </c>
      <c r="M100" t="str">
        <f>'Audit Report'!O100</f>
        <v/>
      </c>
      <c r="N100" t="str" cm="1">
        <f t="array" ref="N100">IF(M100="","",
_xlfn.TEXTJOIN(", ",TRUE,
    _xlfn.MAP(_xlfn.TEXTSPLIT(M100,","),_xlfn.LAMBDA(_xlpm.x,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" t="str">
        <f>'Audit Report'!F100</f>
        <v/>
      </c>
      <c r="S100" t="str">
        <f>'Audit Report'!Q100</f>
        <v/>
      </c>
    </row>
    <row r="101" spans="4:19">
      <c r="D101" t="str">
        <f>'Audit Report'!B101</f>
        <v>ITD-SHR-X100</v>
      </c>
      <c r="E101" t="str">
        <f>'Audit Report'!C101</f>
        <v/>
      </c>
      <c r="I101" t="str">
        <f>'Audit Report'!D101</f>
        <v/>
      </c>
      <c r="J101" t="str">
        <f>'Audit Report'!H101</f>
        <v/>
      </c>
      <c r="L101" t="str">
        <f>_xlfn.TEXTJOIN(", ", FALSE, 'Audit Report'!K101,'Audit Report'!L101,'Audit Report'!M101)</f>
        <v xml:space="preserve">, , </v>
      </c>
      <c r="M101" t="str">
        <f>'Audit Report'!O101</f>
        <v/>
      </c>
      <c r="N101" t="str" cm="1">
        <f t="array" ref="N101">IF(M101="","",
_xlfn.TEXTJOIN(", ",TRUE,
    _xlfn.MAP(_xlfn.TEXTSPLIT(M101,","),_xlfn.LAMBDA(_xlpm.x,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" t="str">
        <f>'Audit Report'!F101</f>
        <v/>
      </c>
      <c r="S101" t="str">
        <f>'Audit Report'!Q101</f>
        <v/>
      </c>
    </row>
    <row r="102" spans="4:19">
      <c r="D102" t="str">
        <f>'Audit Report'!B102</f>
        <v>ITD-SHR-X101</v>
      </c>
      <c r="E102" t="str">
        <f>'Audit Report'!C102</f>
        <v/>
      </c>
      <c r="I102" t="str">
        <f>'Audit Report'!D102</f>
        <v/>
      </c>
      <c r="J102" t="str">
        <f>'Audit Report'!H102</f>
        <v/>
      </c>
      <c r="L102" t="str">
        <f>_xlfn.TEXTJOIN(", ", FALSE, 'Audit Report'!K102,'Audit Report'!L102,'Audit Report'!M102)</f>
        <v xml:space="preserve">, , </v>
      </c>
      <c r="M102" t="str">
        <f>'Audit Report'!O102</f>
        <v/>
      </c>
      <c r="N102" t="str" cm="1">
        <f t="array" ref="N102">IF(M102="","",
_xlfn.TEXTJOIN(", ",TRUE,
    _xlfn.MAP(_xlfn.TEXTSPLIT(M102,","),_xlfn.LAMBDA(_xlpm.x,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" t="str">
        <f>'Audit Report'!F102</f>
        <v/>
      </c>
      <c r="S102" t="str">
        <f>'Audit Report'!Q102</f>
        <v/>
      </c>
    </row>
    <row r="103" spans="4:19">
      <c r="D103" t="str">
        <f>'Audit Report'!B103</f>
        <v>ITD-SHR-X102</v>
      </c>
      <c r="E103" t="str">
        <f>'Audit Report'!C103</f>
        <v/>
      </c>
      <c r="I103" t="str">
        <f>'Audit Report'!D103</f>
        <v/>
      </c>
      <c r="J103" t="str">
        <f>'Audit Report'!H103</f>
        <v/>
      </c>
      <c r="L103" t="str">
        <f>_xlfn.TEXTJOIN(", ", FALSE, 'Audit Report'!K103,'Audit Report'!L103,'Audit Report'!M103)</f>
        <v xml:space="preserve">, , </v>
      </c>
      <c r="M103" t="str">
        <f>'Audit Report'!O103</f>
        <v/>
      </c>
      <c r="N103" t="str" cm="1">
        <f t="array" ref="N103">IF(M103="","",
_xlfn.TEXTJOIN(", ",TRUE,
    _xlfn.MAP(_xlfn.TEXTSPLIT(M103,","),_xlfn.LAMBDA(_xlpm.x,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" t="str">
        <f>'Audit Report'!F103</f>
        <v/>
      </c>
      <c r="S103" t="str">
        <f>'Audit Report'!Q103</f>
        <v/>
      </c>
    </row>
    <row r="104" spans="4:19">
      <c r="D104" t="str">
        <f>'Audit Report'!B104</f>
        <v>ITD-SHR-X103</v>
      </c>
      <c r="E104" t="str">
        <f>'Audit Report'!C104</f>
        <v/>
      </c>
      <c r="I104" t="str">
        <f>'Audit Report'!D104</f>
        <v/>
      </c>
      <c r="J104" t="str">
        <f>'Audit Report'!H104</f>
        <v/>
      </c>
      <c r="L104" t="str">
        <f>_xlfn.TEXTJOIN(", ", FALSE, 'Audit Report'!K104,'Audit Report'!L104,'Audit Report'!M104)</f>
        <v xml:space="preserve">, , </v>
      </c>
      <c r="M104" t="str">
        <f>'Audit Report'!O104</f>
        <v/>
      </c>
      <c r="N104" t="str" cm="1">
        <f t="array" ref="N104">IF(M104="","",
_xlfn.TEXTJOIN(", ",TRUE,
    _xlfn.MAP(_xlfn.TEXTSPLIT(M104,","),_xlfn.LAMBDA(_xlpm.x,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" t="str">
        <f>'Audit Report'!F104</f>
        <v/>
      </c>
      <c r="S104" t="str">
        <f>'Audit Report'!Q104</f>
        <v/>
      </c>
    </row>
    <row r="105" spans="4:19">
      <c r="D105" t="str">
        <f>'Audit Report'!B105</f>
        <v>ITD-SHR-X104</v>
      </c>
      <c r="E105" t="str">
        <f>'Audit Report'!C105</f>
        <v/>
      </c>
      <c r="I105" t="str">
        <f>'Audit Report'!D105</f>
        <v/>
      </c>
      <c r="J105" t="str">
        <f>'Audit Report'!H105</f>
        <v/>
      </c>
      <c r="L105" t="str">
        <f>_xlfn.TEXTJOIN(", ", FALSE, 'Audit Report'!K105,'Audit Report'!L105,'Audit Report'!M105)</f>
        <v xml:space="preserve">, , </v>
      </c>
      <c r="M105" t="str">
        <f>'Audit Report'!O105</f>
        <v/>
      </c>
      <c r="N105" t="str" cm="1">
        <f t="array" ref="N105">IF(M105="","",
_xlfn.TEXTJOIN(", ",TRUE,
    _xlfn.MAP(_xlfn.TEXTSPLIT(M105,","),_xlfn.LAMBDA(_xlpm.x,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" t="str">
        <f>'Audit Report'!F105</f>
        <v/>
      </c>
      <c r="S105" t="str">
        <f>'Audit Report'!Q105</f>
        <v/>
      </c>
    </row>
    <row r="106" spans="4:19">
      <c r="D106" t="str">
        <f>'Audit Report'!B106</f>
        <v>ITD-SHR-X105</v>
      </c>
      <c r="E106" t="str">
        <f>'Audit Report'!C106</f>
        <v/>
      </c>
      <c r="I106" t="str">
        <f>'Audit Report'!D106</f>
        <v/>
      </c>
      <c r="J106" t="str">
        <f>'Audit Report'!H106</f>
        <v/>
      </c>
      <c r="L106" t="str">
        <f>_xlfn.TEXTJOIN(", ", FALSE, 'Audit Report'!K106,'Audit Report'!L106,'Audit Report'!M106)</f>
        <v xml:space="preserve">, , </v>
      </c>
      <c r="M106" t="str">
        <f>'Audit Report'!O106</f>
        <v/>
      </c>
      <c r="N106" t="str" cm="1">
        <f t="array" ref="N106">IF(M106="","",
_xlfn.TEXTJOIN(", ",TRUE,
    _xlfn.MAP(_xlfn.TEXTSPLIT(M106,","),_xlfn.LAMBDA(_xlpm.x,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" t="str">
        <f>'Audit Report'!F106</f>
        <v/>
      </c>
      <c r="S106" t="str">
        <f>'Audit Report'!Q106</f>
        <v/>
      </c>
    </row>
    <row r="107" spans="4:19">
      <c r="D107" t="str">
        <f>'Audit Report'!B107</f>
        <v>ITD-SHR-X106</v>
      </c>
      <c r="E107" t="str">
        <f>'Audit Report'!C107</f>
        <v/>
      </c>
      <c r="I107" t="str">
        <f>'Audit Report'!D107</f>
        <v/>
      </c>
      <c r="J107" t="str">
        <f>'Audit Report'!H107</f>
        <v/>
      </c>
      <c r="L107" t="str">
        <f>_xlfn.TEXTJOIN(", ", FALSE, 'Audit Report'!K107,'Audit Report'!L107,'Audit Report'!M107)</f>
        <v xml:space="preserve">, , </v>
      </c>
      <c r="M107" t="str">
        <f>'Audit Report'!O107</f>
        <v/>
      </c>
      <c r="N107" t="str" cm="1">
        <f t="array" ref="N107">IF(M107="","",
_xlfn.TEXTJOIN(", ",TRUE,
    _xlfn.MAP(_xlfn.TEXTSPLIT(M107,","),_xlfn.LAMBDA(_xlpm.x,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" t="str">
        <f>'Audit Report'!F107</f>
        <v/>
      </c>
      <c r="S107" t="str">
        <f>'Audit Report'!Q107</f>
        <v/>
      </c>
    </row>
    <row r="108" spans="4:19">
      <c r="D108" t="str">
        <f>'Audit Report'!B108</f>
        <v>ITD-SHR-X107</v>
      </c>
      <c r="E108" t="str">
        <f>'Audit Report'!C108</f>
        <v/>
      </c>
      <c r="I108" t="str">
        <f>'Audit Report'!D108</f>
        <v/>
      </c>
      <c r="J108" t="str">
        <f>'Audit Report'!H108</f>
        <v/>
      </c>
      <c r="L108" t="str">
        <f>_xlfn.TEXTJOIN(", ", FALSE, 'Audit Report'!K108,'Audit Report'!L108,'Audit Report'!M108)</f>
        <v xml:space="preserve">, , </v>
      </c>
      <c r="M108" t="str">
        <f>'Audit Report'!O108</f>
        <v/>
      </c>
      <c r="N108" t="str" cm="1">
        <f t="array" ref="N108">IF(M108="","",
_xlfn.TEXTJOIN(", ",TRUE,
    _xlfn.MAP(_xlfn.TEXTSPLIT(M108,","),_xlfn.LAMBDA(_xlpm.x,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" t="str">
        <f>'Audit Report'!F108</f>
        <v/>
      </c>
      <c r="S108" t="str">
        <f>'Audit Report'!Q108</f>
        <v/>
      </c>
    </row>
    <row r="109" spans="4:19">
      <c r="D109" t="str">
        <f>'Audit Report'!B109</f>
        <v>ITD-SHR-X108</v>
      </c>
      <c r="E109" t="str">
        <f>'Audit Report'!C109</f>
        <v/>
      </c>
      <c r="I109" t="str">
        <f>'Audit Report'!D109</f>
        <v/>
      </c>
      <c r="J109" t="str">
        <f>'Audit Report'!H109</f>
        <v/>
      </c>
      <c r="L109" t="str">
        <f>_xlfn.TEXTJOIN(", ", FALSE, 'Audit Report'!K109,'Audit Report'!L109,'Audit Report'!M109)</f>
        <v xml:space="preserve">, , </v>
      </c>
      <c r="M109" t="str">
        <f>'Audit Report'!O109</f>
        <v/>
      </c>
      <c r="N109" t="str" cm="1">
        <f t="array" ref="N109">IF(M109="","",
_xlfn.TEXTJOIN(", ",TRUE,
    _xlfn.MAP(_xlfn.TEXTSPLIT(M109,","),_xlfn.LAMBDA(_xlpm.x,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" t="str">
        <f>'Audit Report'!F109</f>
        <v/>
      </c>
      <c r="S109" t="str">
        <f>'Audit Report'!Q109</f>
        <v/>
      </c>
    </row>
    <row r="110" spans="4:19">
      <c r="D110" t="str">
        <f>'Audit Report'!B110</f>
        <v>ITD-SHR-X109</v>
      </c>
      <c r="E110" t="str">
        <f>'Audit Report'!C110</f>
        <v/>
      </c>
      <c r="I110" t="str">
        <f>'Audit Report'!D110</f>
        <v/>
      </c>
      <c r="J110" t="str">
        <f>'Audit Report'!H110</f>
        <v/>
      </c>
      <c r="L110" t="str">
        <f>_xlfn.TEXTJOIN(", ", FALSE, 'Audit Report'!K110,'Audit Report'!L110,'Audit Report'!M110)</f>
        <v xml:space="preserve">, , </v>
      </c>
      <c r="M110" t="str">
        <f>'Audit Report'!O110</f>
        <v/>
      </c>
      <c r="N110" t="str" cm="1">
        <f t="array" ref="N110">IF(M110="","",
_xlfn.TEXTJOIN(", ",TRUE,
    _xlfn.MAP(_xlfn.TEXTSPLIT(M110,","),_xlfn.LAMBDA(_xlpm.x,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" t="str">
        <f>'Audit Report'!F110</f>
        <v/>
      </c>
      <c r="S110" t="str">
        <f>'Audit Report'!Q110</f>
        <v/>
      </c>
    </row>
    <row r="111" spans="4:19">
      <c r="D111" t="str">
        <f>'Audit Report'!B111</f>
        <v>ITD-SHR-X110</v>
      </c>
      <c r="E111" t="str">
        <f>'Audit Report'!C111</f>
        <v/>
      </c>
      <c r="I111" t="str">
        <f>'Audit Report'!D111</f>
        <v/>
      </c>
      <c r="J111" t="str">
        <f>'Audit Report'!H111</f>
        <v/>
      </c>
      <c r="L111" t="str">
        <f>_xlfn.TEXTJOIN(", ", FALSE, 'Audit Report'!K111,'Audit Report'!L111,'Audit Report'!M111)</f>
        <v xml:space="preserve">, , </v>
      </c>
      <c r="M111" t="str">
        <f>'Audit Report'!O111</f>
        <v/>
      </c>
      <c r="N111" t="str" cm="1">
        <f t="array" ref="N111">IF(M111="","",
_xlfn.TEXTJOIN(", ",TRUE,
    _xlfn.MAP(_xlfn.TEXTSPLIT(M111,","),_xlfn.LAMBDA(_xlpm.x,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" t="str">
        <f>'Audit Report'!F111</f>
        <v/>
      </c>
      <c r="S111" t="str">
        <f>'Audit Report'!Q111</f>
        <v/>
      </c>
    </row>
    <row r="112" spans="4:19">
      <c r="D112" t="str">
        <f>'Audit Report'!B112</f>
        <v>ITD-SHR-X111</v>
      </c>
      <c r="E112" t="str">
        <f>'Audit Report'!C112</f>
        <v/>
      </c>
      <c r="I112" t="str">
        <f>'Audit Report'!D112</f>
        <v/>
      </c>
      <c r="J112" t="str">
        <f>'Audit Report'!H112</f>
        <v/>
      </c>
      <c r="L112" t="str">
        <f>_xlfn.TEXTJOIN(", ", FALSE, 'Audit Report'!K112,'Audit Report'!L112,'Audit Report'!M112)</f>
        <v xml:space="preserve">, , </v>
      </c>
      <c r="M112" t="str">
        <f>'Audit Report'!O112</f>
        <v/>
      </c>
      <c r="N112" t="str" cm="1">
        <f t="array" ref="N112">IF(M112="","",
_xlfn.TEXTJOIN(", ",TRUE,
    _xlfn.MAP(_xlfn.TEXTSPLIT(M112,","),_xlfn.LAMBDA(_xlpm.x,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" t="str">
        <f>'Audit Report'!F112</f>
        <v/>
      </c>
      <c r="S112" t="str">
        <f>'Audit Report'!Q112</f>
        <v/>
      </c>
    </row>
    <row r="113" spans="4:19">
      <c r="D113" t="str">
        <f>'Audit Report'!B113</f>
        <v>ITD-SHR-X112</v>
      </c>
      <c r="E113" t="str">
        <f>'Audit Report'!C113</f>
        <v/>
      </c>
      <c r="I113" t="str">
        <f>'Audit Report'!D113</f>
        <v/>
      </c>
      <c r="J113" t="str">
        <f>'Audit Report'!H113</f>
        <v/>
      </c>
      <c r="L113" t="str">
        <f>_xlfn.TEXTJOIN(", ", FALSE, 'Audit Report'!K113,'Audit Report'!L113,'Audit Report'!M113)</f>
        <v xml:space="preserve">, , </v>
      </c>
      <c r="M113" t="str">
        <f>'Audit Report'!O113</f>
        <v/>
      </c>
      <c r="N113" t="str" cm="1">
        <f t="array" ref="N113">IF(M113="","",
_xlfn.TEXTJOIN(", ",TRUE,
    _xlfn.MAP(_xlfn.TEXTSPLIT(M113,","),_xlfn.LAMBDA(_xlpm.x,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" t="str">
        <f>'Audit Report'!F113</f>
        <v/>
      </c>
      <c r="S113" t="str">
        <f>'Audit Report'!Q113</f>
        <v/>
      </c>
    </row>
    <row r="114" spans="4:19">
      <c r="D114" t="str">
        <f>'Audit Report'!B114</f>
        <v>ITD-SHR-X113</v>
      </c>
      <c r="E114" t="str">
        <f>'Audit Report'!C114</f>
        <v/>
      </c>
      <c r="I114" t="str">
        <f>'Audit Report'!D114</f>
        <v/>
      </c>
      <c r="J114" t="str">
        <f>'Audit Report'!H114</f>
        <v/>
      </c>
      <c r="L114" t="str">
        <f>_xlfn.TEXTJOIN(", ", FALSE, 'Audit Report'!K114,'Audit Report'!L114,'Audit Report'!M114)</f>
        <v xml:space="preserve">, , </v>
      </c>
      <c r="M114" t="str">
        <f>'Audit Report'!O114</f>
        <v/>
      </c>
      <c r="N114" t="str" cm="1">
        <f t="array" ref="N114">IF(M114="","",
_xlfn.TEXTJOIN(", ",TRUE,
    _xlfn.MAP(_xlfn.TEXTSPLIT(M114,","),_xlfn.LAMBDA(_xlpm.x,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" t="str">
        <f>'Audit Report'!F114</f>
        <v/>
      </c>
      <c r="S114" t="str">
        <f>'Audit Report'!Q114</f>
        <v/>
      </c>
    </row>
    <row r="115" spans="4:19">
      <c r="D115" t="str">
        <f>'Audit Report'!B115</f>
        <v>ITD-SHR-X114</v>
      </c>
      <c r="E115" t="str">
        <f>'Audit Report'!C115</f>
        <v/>
      </c>
      <c r="I115" t="str">
        <f>'Audit Report'!D115</f>
        <v/>
      </c>
      <c r="J115" t="str">
        <f>'Audit Report'!H115</f>
        <v/>
      </c>
      <c r="L115" t="str">
        <f>_xlfn.TEXTJOIN(", ", FALSE, 'Audit Report'!K115,'Audit Report'!L115,'Audit Report'!M115)</f>
        <v xml:space="preserve">, , </v>
      </c>
      <c r="M115" t="str">
        <f>'Audit Report'!O115</f>
        <v/>
      </c>
      <c r="N115" t="str" cm="1">
        <f t="array" ref="N115">IF(M115="","",
_xlfn.TEXTJOIN(", ",TRUE,
    _xlfn.MAP(_xlfn.TEXTSPLIT(M115,","),_xlfn.LAMBDA(_xlpm.x,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" t="str">
        <f>'Audit Report'!F115</f>
        <v/>
      </c>
      <c r="S115" t="str">
        <f>'Audit Report'!Q115</f>
        <v/>
      </c>
    </row>
    <row r="116" spans="4:19">
      <c r="D116" t="str">
        <f>'Audit Report'!B116</f>
        <v>ITD-SHR-X115</v>
      </c>
      <c r="E116" t="str">
        <f>'Audit Report'!C116</f>
        <v/>
      </c>
      <c r="I116" t="str">
        <f>'Audit Report'!D116</f>
        <v/>
      </c>
      <c r="J116" t="str">
        <f>'Audit Report'!H116</f>
        <v/>
      </c>
      <c r="L116" t="str">
        <f>_xlfn.TEXTJOIN(", ", FALSE, 'Audit Report'!K116,'Audit Report'!L116,'Audit Report'!M116)</f>
        <v xml:space="preserve">, , </v>
      </c>
      <c r="M116" t="str">
        <f>'Audit Report'!O116</f>
        <v/>
      </c>
      <c r="N116" t="str" cm="1">
        <f t="array" ref="N116">IF(M116="","",
_xlfn.TEXTJOIN(", ",TRUE,
    _xlfn.MAP(_xlfn.TEXTSPLIT(M116,","),_xlfn.LAMBDA(_xlpm.x,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" t="str">
        <f>'Audit Report'!F116</f>
        <v/>
      </c>
      <c r="S116" t="str">
        <f>'Audit Report'!Q116</f>
        <v/>
      </c>
    </row>
    <row r="117" spans="4:19">
      <c r="D117" t="str">
        <f>'Audit Report'!B117</f>
        <v>ITD-SHR-X116</v>
      </c>
      <c r="E117" t="str">
        <f>'Audit Report'!C117</f>
        <v/>
      </c>
      <c r="I117" t="str">
        <f>'Audit Report'!D117</f>
        <v/>
      </c>
      <c r="J117" t="str">
        <f>'Audit Report'!H117</f>
        <v/>
      </c>
      <c r="L117" t="str">
        <f>_xlfn.TEXTJOIN(", ", FALSE, 'Audit Report'!K117,'Audit Report'!L117,'Audit Report'!M117)</f>
        <v xml:space="preserve">, , </v>
      </c>
      <c r="M117" t="str">
        <f>'Audit Report'!O117</f>
        <v/>
      </c>
      <c r="N117" t="str" cm="1">
        <f t="array" ref="N117">IF(M117="","",
_xlfn.TEXTJOIN(", ",TRUE,
    _xlfn.MAP(_xlfn.TEXTSPLIT(M117,","),_xlfn.LAMBDA(_xlpm.x,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" t="str">
        <f>'Audit Report'!F117</f>
        <v/>
      </c>
      <c r="S117" t="str">
        <f>'Audit Report'!Q117</f>
        <v/>
      </c>
    </row>
    <row r="118" spans="4:19">
      <c r="D118" t="str">
        <f>'Audit Report'!B118</f>
        <v>ITD-SHR-X117</v>
      </c>
      <c r="E118" t="str">
        <f>'Audit Report'!C118</f>
        <v/>
      </c>
      <c r="I118" t="str">
        <f>'Audit Report'!D118</f>
        <v/>
      </c>
      <c r="J118" t="str">
        <f>'Audit Report'!H118</f>
        <v/>
      </c>
      <c r="L118" t="str">
        <f>_xlfn.TEXTJOIN(", ", FALSE, 'Audit Report'!K118,'Audit Report'!L118,'Audit Report'!M118)</f>
        <v xml:space="preserve">, , </v>
      </c>
      <c r="M118" t="str">
        <f>'Audit Report'!O118</f>
        <v/>
      </c>
      <c r="N118" t="str" cm="1">
        <f t="array" ref="N118">IF(M118="","",
_xlfn.TEXTJOIN(", ",TRUE,
    _xlfn.MAP(_xlfn.TEXTSPLIT(M118,","),_xlfn.LAMBDA(_xlpm.x,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" t="str">
        <f>'Audit Report'!F118</f>
        <v/>
      </c>
      <c r="S118" t="str">
        <f>'Audit Report'!Q118</f>
        <v/>
      </c>
    </row>
    <row r="119" spans="4:19">
      <c r="D119" t="str">
        <f>'Audit Report'!B119</f>
        <v>ITD-SHR-X118</v>
      </c>
      <c r="E119" t="str">
        <f>'Audit Report'!C119</f>
        <v/>
      </c>
      <c r="I119" t="str">
        <f>'Audit Report'!D119</f>
        <v/>
      </c>
      <c r="J119" t="str">
        <f>'Audit Report'!H119</f>
        <v/>
      </c>
      <c r="L119" t="str">
        <f>_xlfn.TEXTJOIN(", ", FALSE, 'Audit Report'!K119,'Audit Report'!L119,'Audit Report'!M119)</f>
        <v xml:space="preserve">, , </v>
      </c>
      <c r="M119" t="str">
        <f>'Audit Report'!O119</f>
        <v/>
      </c>
      <c r="N119" t="str" cm="1">
        <f t="array" ref="N119">IF(M119="","",
_xlfn.TEXTJOIN(", ",TRUE,
    _xlfn.MAP(_xlfn.TEXTSPLIT(M119,","),_xlfn.LAMBDA(_xlpm.x,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" t="str">
        <f>'Audit Report'!F119</f>
        <v/>
      </c>
      <c r="S119" t="str">
        <f>'Audit Report'!Q119</f>
        <v/>
      </c>
    </row>
    <row r="120" spans="4:19">
      <c r="D120" t="str">
        <f>'Audit Report'!B120</f>
        <v>ITD-SHR-X119</v>
      </c>
      <c r="E120" t="str">
        <f>'Audit Report'!C120</f>
        <v/>
      </c>
      <c r="I120" t="str">
        <f>'Audit Report'!D120</f>
        <v/>
      </c>
      <c r="J120" t="str">
        <f>'Audit Report'!H120</f>
        <v/>
      </c>
      <c r="L120" t="str">
        <f>_xlfn.TEXTJOIN(", ", FALSE, 'Audit Report'!K120,'Audit Report'!L120,'Audit Report'!M120)</f>
        <v xml:space="preserve">, , </v>
      </c>
      <c r="M120" t="str">
        <f>'Audit Report'!O120</f>
        <v/>
      </c>
      <c r="N120" t="str" cm="1">
        <f t="array" ref="N120">IF(M120="","",
_xlfn.TEXTJOIN(", ",TRUE,
    _xlfn.MAP(_xlfn.TEXTSPLIT(M120,","),_xlfn.LAMBDA(_xlpm.x,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" t="str">
        <f>'Audit Report'!F120</f>
        <v/>
      </c>
      <c r="S120" t="str">
        <f>'Audit Report'!Q120</f>
        <v/>
      </c>
    </row>
    <row r="121" spans="4:19">
      <c r="D121" t="str">
        <f>'Audit Report'!B121</f>
        <v>ITD-SHR-X120</v>
      </c>
      <c r="E121" t="str">
        <f>'Audit Report'!C121</f>
        <v/>
      </c>
      <c r="I121" t="str">
        <f>'Audit Report'!D121</f>
        <v/>
      </c>
      <c r="J121" t="str">
        <f>'Audit Report'!H121</f>
        <v/>
      </c>
      <c r="L121" t="str">
        <f>_xlfn.TEXTJOIN(", ", FALSE, 'Audit Report'!K121,'Audit Report'!L121,'Audit Report'!M121)</f>
        <v xml:space="preserve">, , </v>
      </c>
      <c r="M121" t="str">
        <f>'Audit Report'!O121</f>
        <v/>
      </c>
      <c r="N121" t="str" cm="1">
        <f t="array" ref="N121">IF(M121="","",
_xlfn.TEXTJOIN(", ",TRUE,
    _xlfn.MAP(_xlfn.TEXTSPLIT(M121,","),_xlfn.LAMBDA(_xlpm.x,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" t="str">
        <f>'Audit Report'!F121</f>
        <v/>
      </c>
      <c r="S121" t="str">
        <f>'Audit Report'!Q121</f>
        <v/>
      </c>
    </row>
    <row r="122" spans="4:19">
      <c r="D122" t="str">
        <f>'Audit Report'!B122</f>
        <v>ITD-SHR-X121</v>
      </c>
      <c r="E122" t="str">
        <f>'Audit Report'!C122</f>
        <v/>
      </c>
      <c r="I122" t="str">
        <f>'Audit Report'!D122</f>
        <v/>
      </c>
      <c r="J122" t="str">
        <f>'Audit Report'!H122</f>
        <v/>
      </c>
      <c r="L122" t="str">
        <f>_xlfn.TEXTJOIN(", ", FALSE, 'Audit Report'!K122,'Audit Report'!L122,'Audit Report'!M122)</f>
        <v xml:space="preserve">, , </v>
      </c>
      <c r="M122" t="str">
        <f>'Audit Report'!O122</f>
        <v/>
      </c>
      <c r="N122" t="str" cm="1">
        <f t="array" ref="N122">IF(M122="","",
_xlfn.TEXTJOIN(", ",TRUE,
    _xlfn.MAP(_xlfn.TEXTSPLIT(M122,","),_xlfn.LAMBDA(_xlpm.x,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" t="str">
        <f>'Audit Report'!F122</f>
        <v/>
      </c>
      <c r="S122" t="str">
        <f>'Audit Report'!Q122</f>
        <v/>
      </c>
    </row>
    <row r="123" spans="4:19">
      <c r="D123" t="str">
        <f>'Audit Report'!B123</f>
        <v>ITD-SHR-X122</v>
      </c>
      <c r="E123" t="str">
        <f>'Audit Report'!C123</f>
        <v/>
      </c>
      <c r="I123" t="str">
        <f>'Audit Report'!D123</f>
        <v/>
      </c>
      <c r="J123" t="str">
        <f>'Audit Report'!H123</f>
        <v/>
      </c>
      <c r="L123" t="str">
        <f>_xlfn.TEXTJOIN(", ", FALSE, 'Audit Report'!K123,'Audit Report'!L123,'Audit Report'!M123)</f>
        <v xml:space="preserve">, , </v>
      </c>
      <c r="M123" t="str">
        <f>'Audit Report'!O123</f>
        <v/>
      </c>
      <c r="N123" t="str" cm="1">
        <f t="array" ref="N123">IF(M123="","",
_xlfn.TEXTJOIN(", ",TRUE,
    _xlfn.MAP(_xlfn.TEXTSPLIT(M123,","),_xlfn.LAMBDA(_xlpm.x,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3" t="str">
        <f>'Audit Report'!F123</f>
        <v/>
      </c>
      <c r="S123" t="str">
        <f>'Audit Report'!Q123</f>
        <v/>
      </c>
    </row>
    <row r="124" spans="4:19">
      <c r="D124" t="str">
        <f>'Audit Report'!B124</f>
        <v>ITD-SHR-X123</v>
      </c>
      <c r="E124" t="str">
        <f>'Audit Report'!C124</f>
        <v/>
      </c>
      <c r="I124" t="str">
        <f>'Audit Report'!D124</f>
        <v/>
      </c>
      <c r="J124" t="str">
        <f>'Audit Report'!H124</f>
        <v/>
      </c>
      <c r="L124" t="str">
        <f>_xlfn.TEXTJOIN(", ", FALSE, 'Audit Report'!K124,'Audit Report'!L124,'Audit Report'!M124)</f>
        <v xml:space="preserve">, , </v>
      </c>
      <c r="M124" t="str">
        <f>'Audit Report'!O124</f>
        <v/>
      </c>
      <c r="N124" t="str" cm="1">
        <f t="array" ref="N124">IF(M124="","",
_xlfn.TEXTJOIN(", ",TRUE,
    _xlfn.MAP(_xlfn.TEXTSPLIT(M124,","),_xlfn.LAMBDA(_xlpm.x,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4" t="str">
        <f>'Audit Report'!F124</f>
        <v/>
      </c>
      <c r="S124" t="str">
        <f>'Audit Report'!Q124</f>
        <v/>
      </c>
    </row>
    <row r="125" spans="4:19">
      <c r="D125" t="str">
        <f>'Audit Report'!B125</f>
        <v>ITD-SHR-X124</v>
      </c>
      <c r="E125" t="str">
        <f>'Audit Report'!C125</f>
        <v/>
      </c>
      <c r="I125" t="str">
        <f>'Audit Report'!D125</f>
        <v/>
      </c>
      <c r="J125" t="str">
        <f>'Audit Report'!H125</f>
        <v/>
      </c>
      <c r="L125" t="str">
        <f>_xlfn.TEXTJOIN(", ", FALSE, 'Audit Report'!K125,'Audit Report'!L125,'Audit Report'!M125)</f>
        <v xml:space="preserve">, , </v>
      </c>
      <c r="M125" t="str">
        <f>'Audit Report'!O125</f>
        <v/>
      </c>
      <c r="N125" t="str" cm="1">
        <f t="array" ref="N125">IF(M125="","",
_xlfn.TEXTJOIN(", ",TRUE,
    _xlfn.MAP(_xlfn.TEXTSPLIT(M125,","),_xlfn.LAMBDA(_xlpm.x,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5" t="str">
        <f>'Audit Report'!F125</f>
        <v/>
      </c>
      <c r="S125" t="str">
        <f>'Audit Report'!Q125</f>
        <v/>
      </c>
    </row>
    <row r="126" spans="4:19">
      <c r="D126" t="str">
        <f>'Audit Report'!B126</f>
        <v>ITD-SHR-X125</v>
      </c>
      <c r="E126" t="str">
        <f>'Audit Report'!C126</f>
        <v/>
      </c>
      <c r="I126" t="str">
        <f>'Audit Report'!D126</f>
        <v/>
      </c>
      <c r="J126" t="str">
        <f>'Audit Report'!H126</f>
        <v/>
      </c>
      <c r="L126" t="str">
        <f>_xlfn.TEXTJOIN(", ", FALSE, 'Audit Report'!K126,'Audit Report'!L126,'Audit Report'!M126)</f>
        <v xml:space="preserve">, , </v>
      </c>
      <c r="M126" t="str">
        <f>'Audit Report'!O126</f>
        <v/>
      </c>
      <c r="N126" t="str" cm="1">
        <f t="array" ref="N126">IF(M126="","",
_xlfn.TEXTJOIN(", ",TRUE,
    _xlfn.MAP(_xlfn.TEXTSPLIT(M126,","),_xlfn.LAMBDA(_xlpm.x,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6" t="str">
        <f>'Audit Report'!F126</f>
        <v/>
      </c>
      <c r="S126" t="str">
        <f>'Audit Report'!Q126</f>
        <v/>
      </c>
    </row>
    <row r="127" spans="4:19">
      <c r="D127" t="str">
        <f>'Audit Report'!B127</f>
        <v>ITD-SHR-X126</v>
      </c>
      <c r="E127" t="str">
        <f>'Audit Report'!C127</f>
        <v/>
      </c>
      <c r="I127" t="str">
        <f>'Audit Report'!D127</f>
        <v/>
      </c>
      <c r="J127" t="str">
        <f>'Audit Report'!H127</f>
        <v/>
      </c>
      <c r="L127" t="str">
        <f>_xlfn.TEXTJOIN(", ", FALSE, 'Audit Report'!K127,'Audit Report'!L127,'Audit Report'!M127)</f>
        <v xml:space="preserve">, , </v>
      </c>
      <c r="M127" t="str">
        <f>'Audit Report'!O127</f>
        <v/>
      </c>
      <c r="N127" t="str" cm="1">
        <f t="array" ref="N127">IF(M127="","",
_xlfn.TEXTJOIN(", ",TRUE,
    _xlfn.MAP(_xlfn.TEXTSPLIT(M127,","),_xlfn.LAMBDA(_xlpm.x,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7" t="str">
        <f>'Audit Report'!F127</f>
        <v/>
      </c>
      <c r="S127" t="str">
        <f>'Audit Report'!Q127</f>
        <v/>
      </c>
    </row>
    <row r="128" spans="4:19">
      <c r="D128" t="str">
        <f>'Audit Report'!B128</f>
        <v>ITD-SHR-X127</v>
      </c>
      <c r="E128" t="str">
        <f>'Audit Report'!C128</f>
        <v/>
      </c>
      <c r="I128" t="str">
        <f>'Audit Report'!D128</f>
        <v/>
      </c>
      <c r="J128" t="str">
        <f>'Audit Report'!H128</f>
        <v/>
      </c>
      <c r="L128" t="str">
        <f>_xlfn.TEXTJOIN(", ", FALSE, 'Audit Report'!K128,'Audit Report'!L128,'Audit Report'!M128)</f>
        <v xml:space="preserve">, , </v>
      </c>
      <c r="M128" t="str">
        <f>'Audit Report'!O128</f>
        <v/>
      </c>
      <c r="N128" t="str" cm="1">
        <f t="array" ref="N128">IF(M128="","",
_xlfn.TEXTJOIN(", ",TRUE,
    _xlfn.MAP(_xlfn.TEXTSPLIT(M128,","),_xlfn.LAMBDA(_xlpm.x,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8" t="str">
        <f>'Audit Report'!F128</f>
        <v/>
      </c>
      <c r="S128" t="str">
        <f>'Audit Report'!Q128</f>
        <v/>
      </c>
    </row>
    <row r="129" spans="4:19">
      <c r="D129" t="str">
        <f>'Audit Report'!B129</f>
        <v>ITD-SHR-X128</v>
      </c>
      <c r="E129" t="str">
        <f>'Audit Report'!C129</f>
        <v/>
      </c>
      <c r="I129" t="str">
        <f>'Audit Report'!D129</f>
        <v/>
      </c>
      <c r="J129" t="str">
        <f>'Audit Report'!H129</f>
        <v/>
      </c>
      <c r="L129" t="str">
        <f>_xlfn.TEXTJOIN(", ", FALSE, 'Audit Report'!K129,'Audit Report'!L129,'Audit Report'!M129)</f>
        <v xml:space="preserve">, , </v>
      </c>
      <c r="M129" t="str">
        <f>'Audit Report'!O129</f>
        <v/>
      </c>
      <c r="N129" t="str" cm="1">
        <f t="array" ref="N129">IF(M129="","",
_xlfn.TEXTJOIN(", ",TRUE,
    _xlfn.MAP(_xlfn.TEXTSPLIT(M129,","),_xlfn.LAMBDA(_xlpm.x,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9" t="str">
        <f>'Audit Report'!F129</f>
        <v/>
      </c>
      <c r="S129" t="str">
        <f>'Audit Report'!Q129</f>
        <v/>
      </c>
    </row>
    <row r="130" spans="4:19">
      <c r="D130" t="str">
        <f>'Audit Report'!B130</f>
        <v>ITD-SHR-X129</v>
      </c>
      <c r="E130" t="str">
        <f>'Audit Report'!C130</f>
        <v/>
      </c>
      <c r="I130" t="str">
        <f>'Audit Report'!D130</f>
        <v/>
      </c>
      <c r="J130" t="str">
        <f>'Audit Report'!H130</f>
        <v/>
      </c>
      <c r="L130" t="str">
        <f>_xlfn.TEXTJOIN(", ", FALSE, 'Audit Report'!K130,'Audit Report'!L130,'Audit Report'!M130)</f>
        <v xml:space="preserve">, , </v>
      </c>
      <c r="M130" t="str">
        <f>'Audit Report'!O130</f>
        <v/>
      </c>
      <c r="N130" t="str" cm="1">
        <f t="array" ref="N130">IF(M130="","",
_xlfn.TEXTJOIN(", ",TRUE,
    _xlfn.MAP(_xlfn.TEXTSPLIT(M130,","),_xlfn.LAMBDA(_xlpm.x,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0" t="str">
        <f>'Audit Report'!F130</f>
        <v/>
      </c>
      <c r="S130" t="str">
        <f>'Audit Report'!Q130</f>
        <v/>
      </c>
    </row>
    <row r="131" spans="4:19">
      <c r="D131" t="str">
        <f>'Audit Report'!B131</f>
        <v>ITD-SHR-X130</v>
      </c>
      <c r="E131" t="str">
        <f>'Audit Report'!C131</f>
        <v/>
      </c>
      <c r="I131" t="str">
        <f>'Audit Report'!D131</f>
        <v/>
      </c>
      <c r="J131" t="str">
        <f>'Audit Report'!H131</f>
        <v/>
      </c>
      <c r="L131" t="str">
        <f>_xlfn.TEXTJOIN(", ", FALSE, 'Audit Report'!K131,'Audit Report'!L131,'Audit Report'!M131)</f>
        <v xml:space="preserve">, , </v>
      </c>
      <c r="M131" t="str">
        <f>'Audit Report'!O131</f>
        <v/>
      </c>
      <c r="N131" t="str" cm="1">
        <f t="array" ref="N131">IF(M131="","",
_xlfn.TEXTJOIN(", ",TRUE,
    _xlfn.MAP(_xlfn.TEXTSPLIT(M131,","),_xlfn.LAMBDA(_xlpm.x,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1" t="str">
        <f>'Audit Report'!F131</f>
        <v/>
      </c>
      <c r="S131" t="str">
        <f>'Audit Report'!Q131</f>
        <v/>
      </c>
    </row>
    <row r="132" spans="4:19">
      <c r="D132" t="str">
        <f>'Audit Report'!B132</f>
        <v>ITD-SHR-X131</v>
      </c>
      <c r="E132" t="str">
        <f>'Audit Report'!C132</f>
        <v/>
      </c>
      <c r="I132" t="str">
        <f>'Audit Report'!D132</f>
        <v/>
      </c>
      <c r="J132" t="str">
        <f>'Audit Report'!H132</f>
        <v/>
      </c>
      <c r="L132" t="str">
        <f>_xlfn.TEXTJOIN(", ", FALSE, 'Audit Report'!K132,'Audit Report'!L132,'Audit Report'!M132)</f>
        <v xml:space="preserve">, , </v>
      </c>
      <c r="M132" t="str">
        <f>'Audit Report'!O132</f>
        <v/>
      </c>
      <c r="N132" t="str" cm="1">
        <f t="array" ref="N132">IF(M132="","",
_xlfn.TEXTJOIN(", ",TRUE,
    _xlfn.MAP(_xlfn.TEXTSPLIT(M132,","),_xlfn.LAMBDA(_xlpm.x,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2" t="str">
        <f>'Audit Report'!F132</f>
        <v/>
      </c>
      <c r="S132" t="str">
        <f>'Audit Report'!Q132</f>
        <v/>
      </c>
    </row>
    <row r="133" spans="4:19">
      <c r="D133" t="str">
        <f>'Audit Report'!B133</f>
        <v>ITD-SHR-X132</v>
      </c>
      <c r="E133" t="str">
        <f>'Audit Report'!C133</f>
        <v/>
      </c>
      <c r="I133" t="str">
        <f>'Audit Report'!D133</f>
        <v/>
      </c>
      <c r="J133" t="str">
        <f>'Audit Report'!H133</f>
        <v/>
      </c>
      <c r="L133" t="str">
        <f>_xlfn.TEXTJOIN(", ", FALSE, 'Audit Report'!K133,'Audit Report'!L133,'Audit Report'!M133)</f>
        <v xml:space="preserve">, , </v>
      </c>
      <c r="M133" t="str">
        <f>'Audit Report'!O133</f>
        <v/>
      </c>
      <c r="N133" t="str" cm="1">
        <f t="array" ref="N133">IF(M133="","",
_xlfn.TEXTJOIN(", ",TRUE,
    _xlfn.MAP(_xlfn.TEXTSPLIT(M133,","),_xlfn.LAMBDA(_xlpm.x,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3" t="str">
        <f>'Audit Report'!F133</f>
        <v/>
      </c>
      <c r="S133" t="str">
        <f>'Audit Report'!Q133</f>
        <v/>
      </c>
    </row>
    <row r="134" spans="4:19">
      <c r="D134" t="str">
        <f>'Audit Report'!B134</f>
        <v>ITD-SHR-X133</v>
      </c>
      <c r="E134" t="str">
        <f>'Audit Report'!C134</f>
        <v/>
      </c>
      <c r="I134" t="str">
        <f>'Audit Report'!D134</f>
        <v/>
      </c>
      <c r="J134" t="str">
        <f>'Audit Report'!H134</f>
        <v/>
      </c>
      <c r="L134" t="str">
        <f>_xlfn.TEXTJOIN(", ", FALSE, 'Audit Report'!K134,'Audit Report'!L134,'Audit Report'!M134)</f>
        <v xml:space="preserve">, , </v>
      </c>
      <c r="M134" t="str">
        <f>'Audit Report'!O134</f>
        <v/>
      </c>
      <c r="N134" t="str" cm="1">
        <f t="array" ref="N134">IF(M134="","",
_xlfn.TEXTJOIN(", ",TRUE,
    _xlfn.MAP(_xlfn.TEXTSPLIT(M134,","),_xlfn.LAMBDA(_xlpm.x,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4" t="str">
        <f>'Audit Report'!F134</f>
        <v/>
      </c>
      <c r="S134" t="str">
        <f>'Audit Report'!Q134</f>
        <v/>
      </c>
    </row>
    <row r="135" spans="4:19">
      <c r="D135" t="str">
        <f>'Audit Report'!B135</f>
        <v>ITD-SHR-X134</v>
      </c>
      <c r="E135" t="str">
        <f>'Audit Report'!C135</f>
        <v/>
      </c>
      <c r="I135" t="str">
        <f>'Audit Report'!D135</f>
        <v/>
      </c>
      <c r="J135" t="str">
        <f>'Audit Report'!H135</f>
        <v/>
      </c>
      <c r="L135" t="str">
        <f>_xlfn.TEXTJOIN(", ", FALSE, 'Audit Report'!K135,'Audit Report'!L135,'Audit Report'!M135)</f>
        <v xml:space="preserve">, , </v>
      </c>
      <c r="M135" t="str">
        <f>'Audit Report'!O135</f>
        <v/>
      </c>
      <c r="N135" t="str" cm="1">
        <f t="array" ref="N135">IF(M135="","",
_xlfn.TEXTJOIN(", ",TRUE,
    _xlfn.MAP(_xlfn.TEXTSPLIT(M135,","),_xlfn.LAMBDA(_xlpm.x,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5" t="str">
        <f>'Audit Report'!F135</f>
        <v/>
      </c>
      <c r="S135" t="str">
        <f>'Audit Report'!Q135</f>
        <v/>
      </c>
    </row>
    <row r="136" spans="4:19">
      <c r="D136" t="str">
        <f>'Audit Report'!B136</f>
        <v>ITD-SHR-X135</v>
      </c>
      <c r="E136" t="str">
        <f>'Audit Report'!C136</f>
        <v/>
      </c>
      <c r="I136" t="str">
        <f>'Audit Report'!D136</f>
        <v/>
      </c>
      <c r="J136" t="str">
        <f>'Audit Report'!H136</f>
        <v/>
      </c>
      <c r="L136" t="str">
        <f>_xlfn.TEXTJOIN(", ", FALSE, 'Audit Report'!K136,'Audit Report'!L136,'Audit Report'!M136)</f>
        <v xml:space="preserve">, , </v>
      </c>
      <c r="M136" t="str">
        <f>'Audit Report'!O136</f>
        <v/>
      </c>
      <c r="N136" t="str" cm="1">
        <f t="array" ref="N136">IF(M136="","",
_xlfn.TEXTJOIN(", ",TRUE,
    _xlfn.MAP(_xlfn.TEXTSPLIT(M136,","),_xlfn.LAMBDA(_xlpm.x,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6" t="str">
        <f>'Audit Report'!F136</f>
        <v/>
      </c>
      <c r="S136" t="str">
        <f>'Audit Report'!Q136</f>
        <v/>
      </c>
    </row>
    <row r="137" spans="4:19">
      <c r="D137" t="str">
        <f>'Audit Report'!B137</f>
        <v>ITD-SHR-X136</v>
      </c>
      <c r="E137" t="str">
        <f>'Audit Report'!C137</f>
        <v/>
      </c>
      <c r="I137" t="str">
        <f>'Audit Report'!D137</f>
        <v/>
      </c>
      <c r="J137" t="str">
        <f>'Audit Report'!H137</f>
        <v/>
      </c>
      <c r="L137" t="str">
        <f>_xlfn.TEXTJOIN(", ", FALSE, 'Audit Report'!K137,'Audit Report'!L137,'Audit Report'!M137)</f>
        <v xml:space="preserve">, , </v>
      </c>
      <c r="M137" t="str">
        <f>'Audit Report'!O137</f>
        <v/>
      </c>
      <c r="N137" t="str" cm="1">
        <f t="array" ref="N137">IF(M137="","",
_xlfn.TEXTJOIN(", ",TRUE,
    _xlfn.MAP(_xlfn.TEXTSPLIT(M137,","),_xlfn.LAMBDA(_xlpm.x,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7" t="str">
        <f>'Audit Report'!F137</f>
        <v/>
      </c>
      <c r="S137" t="str">
        <f>'Audit Report'!Q137</f>
        <v/>
      </c>
    </row>
    <row r="138" spans="4:19">
      <c r="D138" t="str">
        <f>'Audit Report'!B138</f>
        <v>ITD-SHR-X137</v>
      </c>
      <c r="E138" t="str">
        <f>'Audit Report'!C138</f>
        <v/>
      </c>
      <c r="I138" t="str">
        <f>'Audit Report'!D138</f>
        <v/>
      </c>
      <c r="J138" t="str">
        <f>'Audit Report'!H138</f>
        <v/>
      </c>
      <c r="L138" t="str">
        <f>_xlfn.TEXTJOIN(", ", FALSE, 'Audit Report'!K138,'Audit Report'!L138,'Audit Report'!M138)</f>
        <v xml:space="preserve">, , </v>
      </c>
      <c r="M138" t="str">
        <f>'Audit Report'!O138</f>
        <v/>
      </c>
      <c r="N138" t="str" cm="1">
        <f t="array" ref="N138">IF(M138="","",
_xlfn.TEXTJOIN(", ",TRUE,
    _xlfn.MAP(_xlfn.TEXTSPLIT(M138,","),_xlfn.LAMBDA(_xlpm.x,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8" t="str">
        <f>'Audit Report'!F138</f>
        <v/>
      </c>
      <c r="S138" t="str">
        <f>'Audit Report'!Q138</f>
        <v/>
      </c>
    </row>
    <row r="139" spans="4:19">
      <c r="D139" t="str">
        <f>'Audit Report'!B139</f>
        <v>ITD-SHR-X138</v>
      </c>
      <c r="E139" t="str">
        <f>'Audit Report'!C139</f>
        <v/>
      </c>
      <c r="I139" t="str">
        <f>'Audit Report'!D139</f>
        <v/>
      </c>
      <c r="J139" t="str">
        <f>'Audit Report'!H139</f>
        <v/>
      </c>
      <c r="L139" t="str">
        <f>_xlfn.TEXTJOIN(", ", FALSE, 'Audit Report'!K139,'Audit Report'!L139,'Audit Report'!M139)</f>
        <v xml:space="preserve">, , </v>
      </c>
      <c r="M139" t="str">
        <f>'Audit Report'!O139</f>
        <v/>
      </c>
      <c r="N139" t="str" cm="1">
        <f t="array" ref="N139">IF(M139="","",
_xlfn.TEXTJOIN(", ",TRUE,
    _xlfn.MAP(_xlfn.TEXTSPLIT(M139,","),_xlfn.LAMBDA(_xlpm.x,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9" t="str">
        <f>'Audit Report'!F139</f>
        <v/>
      </c>
      <c r="S139" t="str">
        <f>'Audit Report'!Q139</f>
        <v/>
      </c>
    </row>
    <row r="140" spans="4:19">
      <c r="D140" t="str">
        <f>'Audit Report'!B140</f>
        <v>ITD-SHR-X139</v>
      </c>
      <c r="E140" t="str">
        <f>'Audit Report'!C140</f>
        <v/>
      </c>
      <c r="I140" t="str">
        <f>'Audit Report'!D140</f>
        <v/>
      </c>
      <c r="J140" t="str">
        <f>'Audit Report'!H140</f>
        <v/>
      </c>
      <c r="L140" t="str">
        <f>_xlfn.TEXTJOIN(", ", FALSE, 'Audit Report'!K140,'Audit Report'!L140,'Audit Report'!M140)</f>
        <v xml:space="preserve">, , </v>
      </c>
      <c r="M140" t="str">
        <f>'Audit Report'!O140</f>
        <v/>
      </c>
      <c r="N140" t="str" cm="1">
        <f t="array" ref="N140">IF(M140="","",
_xlfn.TEXTJOIN(", ",TRUE,
    _xlfn.MAP(_xlfn.TEXTSPLIT(M140,","),_xlfn.LAMBDA(_xlpm.x,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0" t="str">
        <f>'Audit Report'!F140</f>
        <v/>
      </c>
      <c r="S140" t="str">
        <f>'Audit Report'!Q140</f>
        <v/>
      </c>
    </row>
    <row r="141" spans="4:19">
      <c r="D141" t="str">
        <f>'Audit Report'!B141</f>
        <v>ITD-SHR-X140</v>
      </c>
      <c r="E141" t="str">
        <f>'Audit Report'!C141</f>
        <v/>
      </c>
      <c r="I141" t="str">
        <f>'Audit Report'!D141</f>
        <v/>
      </c>
      <c r="J141" t="str">
        <f>'Audit Report'!H141</f>
        <v/>
      </c>
      <c r="L141" t="str">
        <f>_xlfn.TEXTJOIN(", ", FALSE, 'Audit Report'!K141,'Audit Report'!L141,'Audit Report'!M141)</f>
        <v xml:space="preserve">, , </v>
      </c>
      <c r="M141" t="str">
        <f>'Audit Report'!O141</f>
        <v/>
      </c>
      <c r="N141" t="str" cm="1">
        <f t="array" ref="N141">IF(M141="","",
_xlfn.TEXTJOIN(", ",TRUE,
    _xlfn.MAP(_xlfn.TEXTSPLIT(M141,","),_xlfn.LAMBDA(_xlpm.x,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1" t="str">
        <f>'Audit Report'!F141</f>
        <v/>
      </c>
      <c r="S141" t="str">
        <f>'Audit Report'!Q141</f>
        <v/>
      </c>
    </row>
    <row r="142" spans="4:19">
      <c r="D142" t="str">
        <f>'Audit Report'!B142</f>
        <v>ITD-SHR-X141</v>
      </c>
      <c r="E142" t="str">
        <f>'Audit Report'!C142</f>
        <v/>
      </c>
      <c r="I142" t="str">
        <f>'Audit Report'!D142</f>
        <v/>
      </c>
      <c r="J142" t="str">
        <f>'Audit Report'!H142</f>
        <v/>
      </c>
      <c r="L142" t="str">
        <f>_xlfn.TEXTJOIN(", ", FALSE, 'Audit Report'!K142,'Audit Report'!L142,'Audit Report'!M142)</f>
        <v xml:space="preserve">, , </v>
      </c>
      <c r="M142" t="str">
        <f>'Audit Report'!O142</f>
        <v/>
      </c>
      <c r="N142" t="str" cm="1">
        <f t="array" ref="N142">IF(M142="","",
_xlfn.TEXTJOIN(", ",TRUE,
    _xlfn.MAP(_xlfn.TEXTSPLIT(M142,","),_xlfn.LAMBDA(_xlpm.x,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2" t="str">
        <f>'Audit Report'!F142</f>
        <v/>
      </c>
      <c r="S142" t="str">
        <f>'Audit Report'!Q142</f>
        <v/>
      </c>
    </row>
    <row r="143" spans="4:19">
      <c r="D143" t="str">
        <f>'Audit Report'!B143</f>
        <v>ITD-SHR-X142</v>
      </c>
      <c r="E143" t="str">
        <f>'Audit Report'!C143</f>
        <v/>
      </c>
      <c r="I143" t="str">
        <f>'Audit Report'!D143</f>
        <v/>
      </c>
      <c r="J143" t="str">
        <f>'Audit Report'!H143</f>
        <v/>
      </c>
      <c r="L143" t="str">
        <f>_xlfn.TEXTJOIN(", ", FALSE, 'Audit Report'!K143,'Audit Report'!L143,'Audit Report'!M143)</f>
        <v xml:space="preserve">, , </v>
      </c>
      <c r="M143" t="str">
        <f>'Audit Report'!O143</f>
        <v/>
      </c>
      <c r="N143" t="str" cm="1">
        <f t="array" ref="N143">IF(M143="","",
_xlfn.TEXTJOIN(", ",TRUE,
    _xlfn.MAP(_xlfn.TEXTSPLIT(M143,","),_xlfn.LAMBDA(_xlpm.x,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3" t="str">
        <f>'Audit Report'!F143</f>
        <v/>
      </c>
      <c r="S143" t="str">
        <f>'Audit Report'!Q143</f>
        <v/>
      </c>
    </row>
    <row r="144" spans="4:19">
      <c r="D144" t="str">
        <f>'Audit Report'!B144</f>
        <v>ITD-SHR-X143</v>
      </c>
      <c r="E144" t="str">
        <f>'Audit Report'!C144</f>
        <v/>
      </c>
      <c r="I144" t="str">
        <f>'Audit Report'!D144</f>
        <v/>
      </c>
      <c r="J144" t="str">
        <f>'Audit Report'!H144</f>
        <v/>
      </c>
      <c r="L144" t="str">
        <f>_xlfn.TEXTJOIN(", ", FALSE, 'Audit Report'!K144,'Audit Report'!L144,'Audit Report'!M144)</f>
        <v xml:space="preserve">, , </v>
      </c>
      <c r="M144" t="str">
        <f>'Audit Report'!O144</f>
        <v/>
      </c>
      <c r="N144" t="str" cm="1">
        <f t="array" ref="N144">IF(M144="","",
_xlfn.TEXTJOIN(", ",TRUE,
    _xlfn.MAP(_xlfn.TEXTSPLIT(M144,","),_xlfn.LAMBDA(_xlpm.x,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4" t="str">
        <f>'Audit Report'!F144</f>
        <v/>
      </c>
      <c r="S144" t="str">
        <f>'Audit Report'!Q144</f>
        <v/>
      </c>
    </row>
    <row r="145" spans="4:19">
      <c r="D145" t="str">
        <f>'Audit Report'!B145</f>
        <v>ITD-SHR-X144</v>
      </c>
      <c r="E145" t="str">
        <f>'Audit Report'!C145</f>
        <v/>
      </c>
      <c r="I145" t="str">
        <f>'Audit Report'!D145</f>
        <v/>
      </c>
      <c r="J145" t="str">
        <f>'Audit Report'!H145</f>
        <v/>
      </c>
      <c r="L145" t="str">
        <f>_xlfn.TEXTJOIN(", ", FALSE, 'Audit Report'!K145,'Audit Report'!L145,'Audit Report'!M145)</f>
        <v xml:space="preserve">, , </v>
      </c>
      <c r="M145" t="str">
        <f>'Audit Report'!O145</f>
        <v/>
      </c>
      <c r="N145" t="str" cm="1">
        <f t="array" ref="N145">IF(M145="","",
_xlfn.TEXTJOIN(", ",TRUE,
    _xlfn.MAP(_xlfn.TEXTSPLIT(M145,","),_xlfn.LAMBDA(_xlpm.x,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5" t="str">
        <f>'Audit Report'!F145</f>
        <v/>
      </c>
      <c r="S145" t="str">
        <f>'Audit Report'!Q145</f>
        <v/>
      </c>
    </row>
    <row r="146" spans="4:19">
      <c r="D146" t="str">
        <f>'Audit Report'!B146</f>
        <v>ITD-SHR-X145</v>
      </c>
      <c r="E146" t="str">
        <f>'Audit Report'!C146</f>
        <v/>
      </c>
      <c r="I146" t="str">
        <f>'Audit Report'!D146</f>
        <v/>
      </c>
      <c r="J146" t="str">
        <f>'Audit Report'!H146</f>
        <v/>
      </c>
      <c r="L146" t="str">
        <f>_xlfn.TEXTJOIN(", ", FALSE, 'Audit Report'!K146,'Audit Report'!L146,'Audit Report'!M146)</f>
        <v xml:space="preserve">, , </v>
      </c>
      <c r="M146" t="str">
        <f>'Audit Report'!O146</f>
        <v/>
      </c>
      <c r="N146" t="str" cm="1">
        <f t="array" ref="N146">IF(M146="","",
_xlfn.TEXTJOIN(", ",TRUE,
    _xlfn.MAP(_xlfn.TEXTSPLIT(M146,","),_xlfn.LAMBDA(_xlpm.x,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6" t="str">
        <f>'Audit Report'!F146</f>
        <v/>
      </c>
      <c r="S146" t="str">
        <f>'Audit Report'!Q146</f>
        <v/>
      </c>
    </row>
    <row r="147" spans="4:19">
      <c r="D147" t="str">
        <f>'Audit Report'!B147</f>
        <v>ITD-SHR-X146</v>
      </c>
      <c r="E147" t="str">
        <f>'Audit Report'!C147</f>
        <v/>
      </c>
      <c r="I147" t="str">
        <f>'Audit Report'!D147</f>
        <v/>
      </c>
      <c r="J147" t="str">
        <f>'Audit Report'!H147</f>
        <v/>
      </c>
      <c r="L147" t="str">
        <f>_xlfn.TEXTJOIN(", ", FALSE, 'Audit Report'!K147,'Audit Report'!L147,'Audit Report'!M147)</f>
        <v xml:space="preserve">, , </v>
      </c>
      <c r="M147" t="str">
        <f>'Audit Report'!O147</f>
        <v/>
      </c>
      <c r="N147" t="str" cm="1">
        <f t="array" ref="N147">IF(M147="","",
_xlfn.TEXTJOIN(", ",TRUE,
    _xlfn.MAP(_xlfn.TEXTSPLIT(M147,","),_xlfn.LAMBDA(_xlpm.x,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7" t="str">
        <f>'Audit Report'!F147</f>
        <v/>
      </c>
      <c r="S147" t="str">
        <f>'Audit Report'!Q147</f>
        <v/>
      </c>
    </row>
    <row r="148" spans="4:19">
      <c r="D148" t="str">
        <f>'Audit Report'!B148</f>
        <v>ITD-SHR-X147</v>
      </c>
      <c r="E148" t="str">
        <f>'Audit Report'!C148</f>
        <v/>
      </c>
      <c r="I148" t="str">
        <f>'Audit Report'!D148</f>
        <v/>
      </c>
      <c r="J148" t="str">
        <f>'Audit Report'!H148</f>
        <v/>
      </c>
      <c r="L148" t="str">
        <f>_xlfn.TEXTJOIN(", ", FALSE, 'Audit Report'!K148,'Audit Report'!L148,'Audit Report'!M148)</f>
        <v xml:space="preserve">, , </v>
      </c>
      <c r="M148" t="str">
        <f>'Audit Report'!O148</f>
        <v/>
      </c>
      <c r="N148" t="str" cm="1">
        <f t="array" ref="N148">IF(M148="","",
_xlfn.TEXTJOIN(", ",TRUE,
    _xlfn.MAP(_xlfn.TEXTSPLIT(M148,","),_xlfn.LAMBDA(_xlpm.x,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8" t="str">
        <f>'Audit Report'!F148</f>
        <v/>
      </c>
      <c r="S148" t="str">
        <f>'Audit Report'!Q148</f>
        <v/>
      </c>
    </row>
    <row r="149" spans="4:19">
      <c r="D149" t="str">
        <f>'Audit Report'!B149</f>
        <v>ITD-SHR-X148</v>
      </c>
      <c r="E149" t="str">
        <f>'Audit Report'!C149</f>
        <v/>
      </c>
      <c r="I149" t="str">
        <f>'Audit Report'!D149</f>
        <v/>
      </c>
      <c r="J149" t="str">
        <f>'Audit Report'!H149</f>
        <v/>
      </c>
      <c r="L149" t="str">
        <f>_xlfn.TEXTJOIN(", ", FALSE, 'Audit Report'!K149,'Audit Report'!L149,'Audit Report'!M149)</f>
        <v xml:space="preserve">, , </v>
      </c>
      <c r="M149" t="str">
        <f>'Audit Report'!O149</f>
        <v/>
      </c>
      <c r="N149" t="str" cm="1">
        <f t="array" ref="N149">IF(M149="","",
_xlfn.TEXTJOIN(", ",TRUE,
    _xlfn.MAP(_xlfn.TEXTSPLIT(M149,","),_xlfn.LAMBDA(_xlpm.x,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9" t="str">
        <f>'Audit Report'!F149</f>
        <v/>
      </c>
      <c r="S149" t="str">
        <f>'Audit Report'!Q149</f>
        <v/>
      </c>
    </row>
    <row r="150" spans="4:19">
      <c r="D150" t="str">
        <f>'Audit Report'!B150</f>
        <v>ITD-SHR-X149</v>
      </c>
      <c r="E150" t="str">
        <f>'Audit Report'!C150</f>
        <v/>
      </c>
      <c r="I150" t="str">
        <f>'Audit Report'!D150</f>
        <v/>
      </c>
      <c r="J150" t="str">
        <f>'Audit Report'!H150</f>
        <v/>
      </c>
      <c r="L150" t="str">
        <f>_xlfn.TEXTJOIN(", ", FALSE, 'Audit Report'!K150,'Audit Report'!L150,'Audit Report'!M150)</f>
        <v xml:space="preserve">, , </v>
      </c>
      <c r="M150" t="str">
        <f>'Audit Report'!O150</f>
        <v/>
      </c>
      <c r="N150" t="str" cm="1">
        <f t="array" ref="N150">IF(M150="","",
_xlfn.TEXTJOIN(", ",TRUE,
    _xlfn.MAP(_xlfn.TEXTSPLIT(M150,","),_xlfn.LAMBDA(_xlpm.x,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0" t="str">
        <f>'Audit Report'!F150</f>
        <v/>
      </c>
      <c r="S150" t="str">
        <f>'Audit Report'!Q150</f>
        <v/>
      </c>
    </row>
    <row r="151" spans="4:19">
      <c r="D151" t="str">
        <f>'Audit Report'!B151</f>
        <v>ITD-SHR-X150</v>
      </c>
      <c r="E151" t="str">
        <f>'Audit Report'!C151</f>
        <v/>
      </c>
      <c r="I151" t="str">
        <f>'Audit Report'!D151</f>
        <v/>
      </c>
      <c r="J151" t="str">
        <f>'Audit Report'!H151</f>
        <v/>
      </c>
      <c r="L151" t="str">
        <f>_xlfn.TEXTJOIN(", ", FALSE, 'Audit Report'!K151,'Audit Report'!L151,'Audit Report'!M151)</f>
        <v xml:space="preserve">, , </v>
      </c>
      <c r="M151" t="str">
        <f>'Audit Report'!O151</f>
        <v/>
      </c>
      <c r="N151" t="str" cm="1">
        <f t="array" ref="N151">IF(M151="","",
_xlfn.TEXTJOIN(", ",TRUE,
    _xlfn.MAP(_xlfn.TEXTSPLIT(M151,","),_xlfn.LAMBDA(_xlpm.x,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1" t="str">
        <f>'Audit Report'!F151</f>
        <v/>
      </c>
      <c r="S151" t="str">
        <f>'Audit Report'!Q151</f>
        <v/>
      </c>
    </row>
    <row r="152" spans="4:19">
      <c r="D152" t="str">
        <f>'Audit Report'!B152</f>
        <v>ITD-SHR-X151</v>
      </c>
      <c r="E152" t="str">
        <f>'Audit Report'!C152</f>
        <v/>
      </c>
      <c r="I152" t="str">
        <f>'Audit Report'!D152</f>
        <v/>
      </c>
      <c r="J152" t="str">
        <f>'Audit Report'!H152</f>
        <v/>
      </c>
      <c r="L152" t="str">
        <f>_xlfn.TEXTJOIN(", ", FALSE, 'Audit Report'!K152,'Audit Report'!L152,'Audit Report'!M152)</f>
        <v xml:space="preserve">, , </v>
      </c>
      <c r="M152" t="str">
        <f>'Audit Report'!O152</f>
        <v/>
      </c>
      <c r="N152" t="str" cm="1">
        <f t="array" ref="N152">IF(M152="","",
_xlfn.TEXTJOIN(", ",TRUE,
    _xlfn.MAP(_xlfn.TEXTSPLIT(M152,","),_xlfn.LAMBDA(_xlpm.x,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2" t="str">
        <f>'Audit Report'!F152</f>
        <v/>
      </c>
      <c r="S152" t="str">
        <f>'Audit Report'!Q152</f>
        <v/>
      </c>
    </row>
    <row r="153" spans="4:19">
      <c r="D153" t="str">
        <f>'Audit Report'!B153</f>
        <v>ITD-SHR-X152</v>
      </c>
      <c r="E153" t="str">
        <f>'Audit Report'!C153</f>
        <v/>
      </c>
      <c r="I153" t="str">
        <f>'Audit Report'!D153</f>
        <v/>
      </c>
      <c r="J153" t="str">
        <f>'Audit Report'!H153</f>
        <v/>
      </c>
      <c r="L153" t="str">
        <f>_xlfn.TEXTJOIN(", ", FALSE, 'Audit Report'!K153,'Audit Report'!L153,'Audit Report'!M153)</f>
        <v xml:space="preserve">, , </v>
      </c>
      <c r="M153" t="str">
        <f>'Audit Report'!O153</f>
        <v/>
      </c>
      <c r="N153" t="str" cm="1">
        <f t="array" ref="N153">IF(M153="","",
_xlfn.TEXTJOIN(", ",TRUE,
    _xlfn.MAP(_xlfn.TEXTSPLIT(M153,","),_xlfn.LAMBDA(_xlpm.x,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3" t="str">
        <f>'Audit Report'!F153</f>
        <v/>
      </c>
      <c r="S153" t="str">
        <f>'Audit Report'!Q153</f>
        <v/>
      </c>
    </row>
    <row r="154" spans="4:19">
      <c r="D154" t="str">
        <f>'Audit Report'!B154</f>
        <v>ITD-SHR-X153</v>
      </c>
      <c r="E154" t="str">
        <f>'Audit Report'!C154</f>
        <v/>
      </c>
      <c r="I154" t="str">
        <f>'Audit Report'!D154</f>
        <v/>
      </c>
      <c r="J154" t="str">
        <f>'Audit Report'!H154</f>
        <v/>
      </c>
      <c r="L154" t="str">
        <f>_xlfn.TEXTJOIN(", ", FALSE, 'Audit Report'!K154,'Audit Report'!L154,'Audit Report'!M154)</f>
        <v xml:space="preserve">, , </v>
      </c>
      <c r="M154" t="str">
        <f>'Audit Report'!O154</f>
        <v/>
      </c>
      <c r="N154" t="str" cm="1">
        <f t="array" ref="N154">IF(M154="","",
_xlfn.TEXTJOIN(", ",TRUE,
    _xlfn.MAP(_xlfn.TEXTSPLIT(M154,","),_xlfn.LAMBDA(_xlpm.x,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4" t="str">
        <f>'Audit Report'!F154</f>
        <v/>
      </c>
      <c r="S154" t="str">
        <f>'Audit Report'!Q154</f>
        <v/>
      </c>
    </row>
    <row r="155" spans="4:19">
      <c r="D155" t="str">
        <f>'Audit Report'!B155</f>
        <v>ITD-SHR-X154</v>
      </c>
      <c r="E155" t="str">
        <f>'Audit Report'!C155</f>
        <v/>
      </c>
      <c r="I155" t="str">
        <f>'Audit Report'!D155</f>
        <v/>
      </c>
      <c r="J155" t="str">
        <f>'Audit Report'!H155</f>
        <v/>
      </c>
      <c r="L155" t="str">
        <f>_xlfn.TEXTJOIN(", ", FALSE, 'Audit Report'!K155,'Audit Report'!L155,'Audit Report'!M155)</f>
        <v xml:space="preserve">, , </v>
      </c>
      <c r="M155" t="str">
        <f>'Audit Report'!O155</f>
        <v/>
      </c>
      <c r="N155" t="str" cm="1">
        <f t="array" ref="N155">IF(M155="","",
_xlfn.TEXTJOIN(", ",TRUE,
    _xlfn.MAP(_xlfn.TEXTSPLIT(M155,","),_xlfn.LAMBDA(_xlpm.x,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5" t="str">
        <f>'Audit Report'!F155</f>
        <v/>
      </c>
      <c r="S155" t="str">
        <f>'Audit Report'!Q155</f>
        <v/>
      </c>
    </row>
    <row r="156" spans="4:19">
      <c r="D156" t="str">
        <f>'Audit Report'!B156</f>
        <v>ITD-SHR-X155</v>
      </c>
      <c r="E156" t="str">
        <f>'Audit Report'!C156</f>
        <v/>
      </c>
      <c r="I156" t="str">
        <f>'Audit Report'!D156</f>
        <v/>
      </c>
      <c r="J156" t="str">
        <f>'Audit Report'!H156</f>
        <v/>
      </c>
      <c r="L156" t="str">
        <f>_xlfn.TEXTJOIN(", ", FALSE, 'Audit Report'!K156,'Audit Report'!L156,'Audit Report'!M156)</f>
        <v xml:space="preserve">, , </v>
      </c>
      <c r="M156" t="str">
        <f>'Audit Report'!O156</f>
        <v/>
      </c>
      <c r="N156" t="str" cm="1">
        <f t="array" ref="N156">IF(M156="","",
_xlfn.TEXTJOIN(", ",TRUE,
    _xlfn.MAP(_xlfn.TEXTSPLIT(M156,","),_xlfn.LAMBDA(_xlpm.x,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6" t="str">
        <f>'Audit Report'!F156</f>
        <v/>
      </c>
      <c r="S156" t="str">
        <f>'Audit Report'!Q156</f>
        <v/>
      </c>
    </row>
    <row r="157" spans="4:19">
      <c r="D157" t="str">
        <f>'Audit Report'!B157</f>
        <v>ITD-SHR-X156</v>
      </c>
      <c r="E157" t="str">
        <f>'Audit Report'!C157</f>
        <v/>
      </c>
      <c r="I157" t="str">
        <f>'Audit Report'!D157</f>
        <v/>
      </c>
      <c r="J157" t="str">
        <f>'Audit Report'!H157</f>
        <v/>
      </c>
      <c r="L157" t="str">
        <f>_xlfn.TEXTJOIN(", ", FALSE, 'Audit Report'!K157,'Audit Report'!L157,'Audit Report'!M157)</f>
        <v xml:space="preserve">, , </v>
      </c>
      <c r="M157" t="str">
        <f>'Audit Report'!O157</f>
        <v/>
      </c>
      <c r="N157" t="str" cm="1">
        <f t="array" ref="N157">IF(M157="","",
_xlfn.TEXTJOIN(", ",TRUE,
    _xlfn.MAP(_xlfn.TEXTSPLIT(M157,","),_xlfn.LAMBDA(_xlpm.x,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7" t="str">
        <f>'Audit Report'!F157</f>
        <v/>
      </c>
      <c r="S157" t="str">
        <f>'Audit Report'!Q157</f>
        <v/>
      </c>
    </row>
    <row r="158" spans="4:19">
      <c r="D158" t="str">
        <f>'Audit Report'!B158</f>
        <v>ITD-SHR-X157</v>
      </c>
      <c r="E158" t="str">
        <f>'Audit Report'!C158</f>
        <v/>
      </c>
      <c r="I158" t="str">
        <f>'Audit Report'!D158</f>
        <v/>
      </c>
      <c r="J158" t="str">
        <f>'Audit Report'!H158</f>
        <v/>
      </c>
      <c r="L158" t="str">
        <f>_xlfn.TEXTJOIN(", ", FALSE, 'Audit Report'!K158,'Audit Report'!L158,'Audit Report'!M158)</f>
        <v xml:space="preserve">, , </v>
      </c>
      <c r="M158" t="str">
        <f>'Audit Report'!O158</f>
        <v/>
      </c>
      <c r="N158" t="str" cm="1">
        <f t="array" ref="N158">IF(M158="","",
_xlfn.TEXTJOIN(", ",TRUE,
    _xlfn.MAP(_xlfn.TEXTSPLIT(M158,","),_xlfn.LAMBDA(_xlpm.x,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8" t="str">
        <f>'Audit Report'!F158</f>
        <v/>
      </c>
      <c r="S158" t="str">
        <f>'Audit Report'!Q158</f>
        <v/>
      </c>
    </row>
    <row r="159" spans="4:19">
      <c r="D159" t="str">
        <f>'Audit Report'!B159</f>
        <v>ITD-SHR-X158</v>
      </c>
      <c r="E159" t="str">
        <f>'Audit Report'!C159</f>
        <v/>
      </c>
      <c r="I159" t="str">
        <f>'Audit Report'!D159</f>
        <v/>
      </c>
      <c r="J159" t="str">
        <f>'Audit Report'!H159</f>
        <v/>
      </c>
      <c r="L159" t="str">
        <f>_xlfn.TEXTJOIN(", ", FALSE, 'Audit Report'!K159,'Audit Report'!L159,'Audit Report'!M159)</f>
        <v xml:space="preserve">, , </v>
      </c>
      <c r="M159" t="str">
        <f>'Audit Report'!O159</f>
        <v/>
      </c>
      <c r="N159" t="str" cm="1">
        <f t="array" ref="N159">IF(M159="","",
_xlfn.TEXTJOIN(", ",TRUE,
    _xlfn.MAP(_xlfn.TEXTSPLIT(M159,","),_xlfn.LAMBDA(_xlpm.x,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9" t="str">
        <f>'Audit Report'!F159</f>
        <v/>
      </c>
      <c r="S159" t="str">
        <f>'Audit Report'!Q159</f>
        <v/>
      </c>
    </row>
    <row r="160" spans="4:19">
      <c r="D160" t="str">
        <f>'Audit Report'!B160</f>
        <v>ITD-SHR-X159</v>
      </c>
      <c r="E160" t="str">
        <f>'Audit Report'!C160</f>
        <v/>
      </c>
      <c r="I160" t="str">
        <f>'Audit Report'!D160</f>
        <v/>
      </c>
      <c r="J160" t="str">
        <f>'Audit Report'!H160</f>
        <v/>
      </c>
      <c r="L160" t="str">
        <f>_xlfn.TEXTJOIN(", ", FALSE, 'Audit Report'!K160,'Audit Report'!L160,'Audit Report'!M160)</f>
        <v xml:space="preserve">, , </v>
      </c>
      <c r="M160" t="str">
        <f>'Audit Report'!O160</f>
        <v/>
      </c>
      <c r="N160" t="str" cm="1">
        <f t="array" ref="N160">IF(M160="","",
_xlfn.TEXTJOIN(", ",TRUE,
    _xlfn.MAP(_xlfn.TEXTSPLIT(M160,","),_xlfn.LAMBDA(_xlpm.x,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0" t="str">
        <f>'Audit Report'!F160</f>
        <v/>
      </c>
      <c r="S160" t="str">
        <f>'Audit Report'!Q160</f>
        <v/>
      </c>
    </row>
    <row r="161" spans="4:19">
      <c r="D161" t="str">
        <f>'Audit Report'!B161</f>
        <v>ITD-SHR-X160</v>
      </c>
      <c r="E161" t="str">
        <f>'Audit Report'!C161</f>
        <v/>
      </c>
      <c r="I161" t="str">
        <f>'Audit Report'!D161</f>
        <v/>
      </c>
      <c r="J161" t="str">
        <f>'Audit Report'!H161</f>
        <v/>
      </c>
      <c r="L161" t="str">
        <f>_xlfn.TEXTJOIN(", ", FALSE, 'Audit Report'!K161,'Audit Report'!L161,'Audit Report'!M161)</f>
        <v xml:space="preserve">, , </v>
      </c>
      <c r="M161" t="str">
        <f>'Audit Report'!O161</f>
        <v/>
      </c>
      <c r="N161" t="str" cm="1">
        <f t="array" ref="N161">IF(M161="","",
_xlfn.TEXTJOIN(", ",TRUE,
    _xlfn.MAP(_xlfn.TEXTSPLIT(M161,","),_xlfn.LAMBDA(_xlpm.x,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1" t="str">
        <f>'Audit Report'!F161</f>
        <v/>
      </c>
      <c r="S161" t="str">
        <f>'Audit Report'!Q161</f>
        <v/>
      </c>
    </row>
    <row r="162" spans="4:19">
      <c r="D162" t="str">
        <f>'Audit Report'!B162</f>
        <v>ITD-SHR-X161</v>
      </c>
      <c r="E162" t="str">
        <f>'Audit Report'!C162</f>
        <v/>
      </c>
      <c r="I162" t="str">
        <f>'Audit Report'!D162</f>
        <v/>
      </c>
      <c r="J162" t="str">
        <f>'Audit Report'!H162</f>
        <v/>
      </c>
      <c r="L162" t="str">
        <f>_xlfn.TEXTJOIN(", ", FALSE, 'Audit Report'!K162,'Audit Report'!L162,'Audit Report'!M162)</f>
        <v xml:space="preserve">, , </v>
      </c>
      <c r="M162" t="str">
        <f>'Audit Report'!O162</f>
        <v/>
      </c>
      <c r="N162" t="str" cm="1">
        <f t="array" ref="N162">IF(M162="","",
_xlfn.TEXTJOIN(", ",TRUE,
    _xlfn.MAP(_xlfn.TEXTSPLIT(M162,","),_xlfn.LAMBDA(_xlpm.x,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2" t="str">
        <f>'Audit Report'!F162</f>
        <v/>
      </c>
      <c r="S162" t="str">
        <f>'Audit Report'!Q162</f>
        <v/>
      </c>
    </row>
    <row r="163" spans="4:19">
      <c r="D163" t="str">
        <f>'Audit Report'!B163</f>
        <v>ITD-SHR-X162</v>
      </c>
      <c r="E163" t="str">
        <f>'Audit Report'!C163</f>
        <v/>
      </c>
      <c r="I163" t="str">
        <f>'Audit Report'!D163</f>
        <v/>
      </c>
      <c r="J163" t="str">
        <f>'Audit Report'!H163</f>
        <v/>
      </c>
      <c r="L163" t="str">
        <f>_xlfn.TEXTJOIN(", ", FALSE, 'Audit Report'!K163,'Audit Report'!L163,'Audit Report'!M163)</f>
        <v xml:space="preserve">, , </v>
      </c>
      <c r="M163" t="str">
        <f>'Audit Report'!O163</f>
        <v/>
      </c>
      <c r="N163" t="str" cm="1">
        <f t="array" ref="N163">IF(M163="","",
_xlfn.TEXTJOIN(", ",TRUE,
    _xlfn.MAP(_xlfn.TEXTSPLIT(M163,","),_xlfn.LAMBDA(_xlpm.x,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3" t="str">
        <f>'Audit Report'!F163</f>
        <v/>
      </c>
      <c r="S163" t="str">
        <f>'Audit Report'!Q163</f>
        <v/>
      </c>
    </row>
    <row r="164" spans="4:19">
      <c r="D164" t="str">
        <f>'Audit Report'!B164</f>
        <v>ITD-SHR-X163</v>
      </c>
      <c r="E164" t="str">
        <f>'Audit Report'!C164</f>
        <v/>
      </c>
      <c r="I164" t="str">
        <f>'Audit Report'!D164</f>
        <v/>
      </c>
      <c r="J164" t="str">
        <f>'Audit Report'!H164</f>
        <v/>
      </c>
      <c r="L164" t="str">
        <f>_xlfn.TEXTJOIN(", ", FALSE, 'Audit Report'!K164,'Audit Report'!L164,'Audit Report'!M164)</f>
        <v xml:space="preserve">, , </v>
      </c>
      <c r="M164" t="str">
        <f>'Audit Report'!O164</f>
        <v/>
      </c>
      <c r="N164" t="str" cm="1">
        <f t="array" ref="N164">IF(M164="","",
_xlfn.TEXTJOIN(", ",TRUE,
    _xlfn.MAP(_xlfn.TEXTSPLIT(M164,","),_xlfn.LAMBDA(_xlpm.x,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4" t="str">
        <f>'Audit Report'!F164</f>
        <v/>
      </c>
      <c r="S164" t="str">
        <f>'Audit Report'!Q164</f>
        <v/>
      </c>
    </row>
    <row r="165" spans="4:19">
      <c r="D165" t="str">
        <f>'Audit Report'!B165</f>
        <v>ITD-SHR-X164</v>
      </c>
      <c r="E165" t="str">
        <f>'Audit Report'!C165</f>
        <v/>
      </c>
      <c r="I165" t="str">
        <f>'Audit Report'!D165</f>
        <v/>
      </c>
      <c r="J165" t="str">
        <f>'Audit Report'!H165</f>
        <v/>
      </c>
      <c r="L165" t="str">
        <f>_xlfn.TEXTJOIN(", ", FALSE, 'Audit Report'!K165,'Audit Report'!L165,'Audit Report'!M165)</f>
        <v xml:space="preserve">, , </v>
      </c>
      <c r="M165" t="str">
        <f>'Audit Report'!O165</f>
        <v/>
      </c>
      <c r="N165" t="str" cm="1">
        <f t="array" ref="N165">IF(M165="","",
_xlfn.TEXTJOIN(", ",TRUE,
    _xlfn.MAP(_xlfn.TEXTSPLIT(M165,","),_xlfn.LAMBDA(_xlpm.x,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5" t="str">
        <f>'Audit Report'!F165</f>
        <v/>
      </c>
      <c r="S165" t="str">
        <f>'Audit Report'!Q165</f>
        <v/>
      </c>
    </row>
    <row r="166" spans="4:19">
      <c r="D166" t="str">
        <f>'Audit Report'!B166</f>
        <v>ITD-SHR-X165</v>
      </c>
      <c r="E166" t="str">
        <f>'Audit Report'!C166</f>
        <v/>
      </c>
      <c r="I166" t="str">
        <f>'Audit Report'!D166</f>
        <v/>
      </c>
      <c r="J166" t="str">
        <f>'Audit Report'!H166</f>
        <v/>
      </c>
      <c r="L166" t="str">
        <f>_xlfn.TEXTJOIN(", ", FALSE, 'Audit Report'!K166,'Audit Report'!L166,'Audit Report'!M166)</f>
        <v xml:space="preserve">, , </v>
      </c>
      <c r="M166" t="str">
        <f>'Audit Report'!O166</f>
        <v/>
      </c>
      <c r="N166" t="str" cm="1">
        <f t="array" ref="N166">IF(M166="","",
_xlfn.TEXTJOIN(", ",TRUE,
    _xlfn.MAP(_xlfn.TEXTSPLIT(M166,","),_xlfn.LAMBDA(_xlpm.x,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6" t="str">
        <f>'Audit Report'!F166</f>
        <v/>
      </c>
      <c r="S166" t="str">
        <f>'Audit Report'!Q166</f>
        <v/>
      </c>
    </row>
    <row r="167" spans="4:19">
      <c r="D167" t="str">
        <f>'Audit Report'!B167</f>
        <v>ITD-SHR-X166</v>
      </c>
      <c r="E167" t="str">
        <f>'Audit Report'!C167</f>
        <v/>
      </c>
      <c r="I167" t="str">
        <f>'Audit Report'!D167</f>
        <v/>
      </c>
      <c r="J167" t="str">
        <f>'Audit Report'!H167</f>
        <v/>
      </c>
      <c r="L167" t="str">
        <f>_xlfn.TEXTJOIN(", ", FALSE, 'Audit Report'!K167,'Audit Report'!L167,'Audit Report'!M167)</f>
        <v xml:space="preserve">, , </v>
      </c>
      <c r="M167" t="str">
        <f>'Audit Report'!O167</f>
        <v/>
      </c>
      <c r="N167" t="str" cm="1">
        <f t="array" ref="N167">IF(M167="","",
_xlfn.TEXTJOIN(", ",TRUE,
    _xlfn.MAP(_xlfn.TEXTSPLIT(M167,","),_xlfn.LAMBDA(_xlpm.x,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7" t="str">
        <f>'Audit Report'!F167</f>
        <v/>
      </c>
      <c r="S167" t="str">
        <f>'Audit Report'!Q167</f>
        <v/>
      </c>
    </row>
    <row r="168" spans="4:19">
      <c r="D168" t="str">
        <f>'Audit Report'!B168</f>
        <v>ITD-SHR-X167</v>
      </c>
      <c r="E168" t="str">
        <f>'Audit Report'!C168</f>
        <v/>
      </c>
      <c r="I168" t="str">
        <f>'Audit Report'!D168</f>
        <v/>
      </c>
      <c r="J168" t="str">
        <f>'Audit Report'!H168</f>
        <v/>
      </c>
      <c r="L168" t="str">
        <f>_xlfn.TEXTJOIN(", ", FALSE, 'Audit Report'!K168,'Audit Report'!L168,'Audit Report'!M168)</f>
        <v xml:space="preserve">, , </v>
      </c>
      <c r="M168" t="str">
        <f>'Audit Report'!O168</f>
        <v/>
      </c>
      <c r="N168" t="str" cm="1">
        <f t="array" ref="N168">IF(M168="","",
_xlfn.TEXTJOIN(", ",TRUE,
    _xlfn.MAP(_xlfn.TEXTSPLIT(M168,","),_xlfn.LAMBDA(_xlpm.x,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8" t="str">
        <f>'Audit Report'!F168</f>
        <v/>
      </c>
      <c r="S168" t="str">
        <f>'Audit Report'!Q168</f>
        <v/>
      </c>
    </row>
    <row r="169" spans="4:19">
      <c r="D169" t="str">
        <f>'Audit Report'!B169</f>
        <v>ITD-SHR-X168</v>
      </c>
      <c r="E169" t="str">
        <f>'Audit Report'!C169</f>
        <v/>
      </c>
      <c r="I169" t="str">
        <f>'Audit Report'!D169</f>
        <v/>
      </c>
      <c r="J169" t="str">
        <f>'Audit Report'!H169</f>
        <v/>
      </c>
      <c r="L169" t="str">
        <f>_xlfn.TEXTJOIN(", ", FALSE, 'Audit Report'!K169,'Audit Report'!L169,'Audit Report'!M169)</f>
        <v xml:space="preserve">, , </v>
      </c>
      <c r="M169" t="str">
        <f>'Audit Report'!O169</f>
        <v/>
      </c>
      <c r="N169" t="str" cm="1">
        <f t="array" ref="N169">IF(M169="","",
_xlfn.TEXTJOIN(", ",TRUE,
    _xlfn.MAP(_xlfn.TEXTSPLIT(M169,","),_xlfn.LAMBDA(_xlpm.x,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9" t="str">
        <f>'Audit Report'!F169</f>
        <v/>
      </c>
      <c r="S169" t="str">
        <f>'Audit Report'!Q169</f>
        <v/>
      </c>
    </row>
    <row r="170" spans="4:19">
      <c r="D170">
        <f>'Audit Report'!B170</f>
        <v>0</v>
      </c>
      <c r="E170">
        <f>'Audit Report'!C170</f>
        <v>0</v>
      </c>
      <c r="I170">
        <f>'Audit Report'!D170</f>
        <v>0</v>
      </c>
      <c r="J170">
        <f>'Audit Report'!H170</f>
        <v>0</v>
      </c>
      <c r="L170" t="str">
        <f>_xlfn.TEXTJOIN(", ", FALSE, 'Audit Report'!K170,'Audit Report'!L170,'Audit Report'!M170)</f>
        <v xml:space="preserve">, , </v>
      </c>
      <c r="M170" t="str">
        <f>'Audit Report'!O170</f>
        <v/>
      </c>
      <c r="N170" t="str" cm="1">
        <f t="array" ref="N170">IF(M170="","",
_xlfn.TEXTJOIN(", ",TRUE,
    _xlfn.MAP(_xlfn.TEXTSPLIT(M170,","),_xlfn.LAMBDA(_xlpm.x,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0">
        <f>'Audit Report'!F170</f>
        <v>0</v>
      </c>
      <c r="S170">
        <f>'Audit Report'!Q170</f>
        <v>0</v>
      </c>
    </row>
    <row r="171" spans="4:19">
      <c r="D171">
        <f>'Audit Report'!B171</f>
        <v>0</v>
      </c>
      <c r="E171">
        <f>'Audit Report'!C171</f>
        <v>0</v>
      </c>
      <c r="I171">
        <f>'Audit Report'!D171</f>
        <v>0</v>
      </c>
      <c r="J171">
        <f>'Audit Report'!H171</f>
        <v>0</v>
      </c>
      <c r="L171" t="str">
        <f>_xlfn.TEXTJOIN(", ", FALSE, 'Audit Report'!K171,'Audit Report'!L171,'Audit Report'!M171)</f>
        <v xml:space="preserve">, , </v>
      </c>
      <c r="M171">
        <f>'Audit Report'!O171</f>
        <v>0</v>
      </c>
      <c r="N171" t="str" cm="1">
        <f t="array" ref="N171">IF(M171="","",
_xlfn.TEXTJOIN(", ",TRUE,
    _xlfn.MAP(_xlfn.TEXTSPLIT(M171,","),_xlfn.LAMBDA(_xlpm.x,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1">
        <f>'Audit Report'!F171</f>
        <v>0</v>
      </c>
      <c r="S171">
        <f>'Audit Report'!Q171</f>
        <v>0</v>
      </c>
    </row>
    <row r="172" spans="4:19">
      <c r="D172">
        <f>'Audit Report'!B172</f>
        <v>0</v>
      </c>
      <c r="E172">
        <f>'Audit Report'!C172</f>
        <v>0</v>
      </c>
      <c r="I172">
        <f>'Audit Report'!D172</f>
        <v>0</v>
      </c>
      <c r="J172">
        <f>'Audit Report'!H172</f>
        <v>0</v>
      </c>
      <c r="L172" t="str">
        <f>_xlfn.TEXTJOIN(", ", FALSE, 'Audit Report'!K172,'Audit Report'!L172,'Audit Report'!M172)</f>
        <v xml:space="preserve">, , </v>
      </c>
      <c r="M172">
        <f>'Audit Report'!O172</f>
        <v>0</v>
      </c>
      <c r="N172" t="str" cm="1">
        <f t="array" ref="N172">IF(M172="","",
_xlfn.TEXTJOIN(", ",TRUE,
    _xlfn.MAP(_xlfn.TEXTSPLIT(M172,","),_xlfn.LAMBDA(_xlpm.x,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2">
        <f>'Audit Report'!F172</f>
        <v>0</v>
      </c>
      <c r="S172">
        <f>'Audit Report'!Q172</f>
        <v>0</v>
      </c>
    </row>
    <row r="173" spans="4:19">
      <c r="D173">
        <f>'Audit Report'!B173</f>
        <v>0</v>
      </c>
      <c r="E173">
        <f>'Audit Report'!C173</f>
        <v>0</v>
      </c>
      <c r="I173">
        <f>'Audit Report'!D173</f>
        <v>0</v>
      </c>
      <c r="J173">
        <f>'Audit Report'!H173</f>
        <v>0</v>
      </c>
      <c r="L173" t="str">
        <f>_xlfn.TEXTJOIN(", ", FALSE, 'Audit Report'!K173,'Audit Report'!L173,'Audit Report'!M173)</f>
        <v xml:space="preserve">, , </v>
      </c>
      <c r="M173">
        <f>'Audit Report'!O173</f>
        <v>0</v>
      </c>
      <c r="N173" t="str" cm="1">
        <f t="array" ref="N173">IF(M173="","",
_xlfn.TEXTJOIN(", ",TRUE,
    _xlfn.MAP(_xlfn.TEXTSPLIT(M173,","),_xlfn.LAMBDA(_xlpm.x,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3">
        <f>'Audit Report'!F173</f>
        <v>0</v>
      </c>
      <c r="S173">
        <f>'Audit Report'!Q173</f>
        <v>0</v>
      </c>
    </row>
    <row r="174" spans="4:19">
      <c r="D174">
        <f>'Audit Report'!B174</f>
        <v>0</v>
      </c>
      <c r="E174">
        <f>'Audit Report'!C174</f>
        <v>0</v>
      </c>
      <c r="I174">
        <f>'Audit Report'!D174</f>
        <v>0</v>
      </c>
      <c r="J174">
        <f>'Audit Report'!H174</f>
        <v>0</v>
      </c>
      <c r="L174" t="str">
        <f>_xlfn.TEXTJOIN(", ", FALSE, 'Audit Report'!K174,'Audit Report'!L174,'Audit Report'!M174)</f>
        <v xml:space="preserve">, , </v>
      </c>
      <c r="M174">
        <f>'Audit Report'!O174</f>
        <v>0</v>
      </c>
      <c r="N174" t="str" cm="1">
        <f t="array" ref="N174">IF(M174="","",
_xlfn.TEXTJOIN(", ",TRUE,
    _xlfn.MAP(_xlfn.TEXTSPLIT(M174,","),_xlfn.LAMBDA(_xlpm.x,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4">
        <f>'Audit Report'!F174</f>
        <v>0</v>
      </c>
      <c r="S174">
        <f>'Audit Report'!Q174</f>
        <v>0</v>
      </c>
    </row>
    <row r="175" spans="4:19">
      <c r="D175">
        <f>'Audit Report'!B175</f>
        <v>0</v>
      </c>
      <c r="E175">
        <f>'Audit Report'!C175</f>
        <v>0</v>
      </c>
      <c r="I175">
        <f>'Audit Report'!D175</f>
        <v>0</v>
      </c>
      <c r="J175">
        <f>'Audit Report'!H175</f>
        <v>0</v>
      </c>
      <c r="L175" t="str">
        <f>_xlfn.TEXTJOIN(", ", FALSE, 'Audit Report'!K175,'Audit Report'!L175,'Audit Report'!M175)</f>
        <v xml:space="preserve">, , </v>
      </c>
      <c r="M175">
        <f>'Audit Report'!O175</f>
        <v>0</v>
      </c>
      <c r="N175" t="str" cm="1">
        <f t="array" ref="N175">IF(M175="","",
_xlfn.TEXTJOIN(", ",TRUE,
    _xlfn.MAP(_xlfn.TEXTSPLIT(M175,","),_xlfn.LAMBDA(_xlpm.x,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5">
        <f>'Audit Report'!F175</f>
        <v>0</v>
      </c>
      <c r="S175">
        <f>'Audit Report'!Q175</f>
        <v>0</v>
      </c>
    </row>
    <row r="176" spans="4:19">
      <c r="D176">
        <f>'Audit Report'!B176</f>
        <v>0</v>
      </c>
      <c r="E176">
        <f>'Audit Report'!C176</f>
        <v>0</v>
      </c>
      <c r="I176">
        <f>'Audit Report'!D176</f>
        <v>0</v>
      </c>
      <c r="J176">
        <f>'Audit Report'!H176</f>
        <v>0</v>
      </c>
      <c r="L176" t="str">
        <f>_xlfn.TEXTJOIN(", ", FALSE, 'Audit Report'!K176,'Audit Report'!L176,'Audit Report'!M176)</f>
        <v xml:space="preserve">, , </v>
      </c>
      <c r="M176">
        <f>'Audit Report'!O176</f>
        <v>0</v>
      </c>
      <c r="N176" t="str" cm="1">
        <f t="array" ref="N176">IF(M176="","",
_xlfn.TEXTJOIN(", ",TRUE,
    _xlfn.MAP(_xlfn.TEXTSPLIT(M176,","),_xlfn.LAMBDA(_xlpm.x,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6">
        <f>'Audit Report'!F176</f>
        <v>0</v>
      </c>
      <c r="S176">
        <f>'Audit Report'!Q176</f>
        <v>0</v>
      </c>
    </row>
    <row r="177" spans="4:19">
      <c r="D177">
        <f>'Audit Report'!B177</f>
        <v>0</v>
      </c>
      <c r="E177">
        <f>'Audit Report'!C177</f>
        <v>0</v>
      </c>
      <c r="I177">
        <f>'Audit Report'!D177</f>
        <v>0</v>
      </c>
      <c r="J177">
        <f>'Audit Report'!H177</f>
        <v>0</v>
      </c>
      <c r="L177" t="str">
        <f>_xlfn.TEXTJOIN(", ", FALSE, 'Audit Report'!K177,'Audit Report'!L177,'Audit Report'!M177)</f>
        <v xml:space="preserve">, , </v>
      </c>
      <c r="M177">
        <f>'Audit Report'!O177</f>
        <v>0</v>
      </c>
      <c r="N177" t="str" cm="1">
        <f t="array" ref="N177">IF(M177="","",
_xlfn.TEXTJOIN(", ",TRUE,
    _xlfn.MAP(_xlfn.TEXTSPLIT(M177,","),_xlfn.LAMBDA(_xlpm.x,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7">
        <f>'Audit Report'!F177</f>
        <v>0</v>
      </c>
      <c r="S177">
        <f>'Audit Report'!Q177</f>
        <v>0</v>
      </c>
    </row>
    <row r="178" spans="4:19">
      <c r="D178">
        <f>'Audit Report'!B178</f>
        <v>0</v>
      </c>
      <c r="E178">
        <f>'Audit Report'!C178</f>
        <v>0</v>
      </c>
      <c r="I178">
        <f>'Audit Report'!D178</f>
        <v>0</v>
      </c>
      <c r="J178">
        <f>'Audit Report'!H178</f>
        <v>0</v>
      </c>
      <c r="L178" t="str">
        <f>_xlfn.TEXTJOIN(", ", FALSE, 'Audit Report'!K178,'Audit Report'!L178,'Audit Report'!M178)</f>
        <v xml:space="preserve">, , </v>
      </c>
      <c r="M178">
        <f>'Audit Report'!O178</f>
        <v>0</v>
      </c>
      <c r="N178" t="str" cm="1">
        <f t="array" ref="N178">IF(M178="","",
_xlfn.TEXTJOIN(", ",TRUE,
    _xlfn.MAP(_xlfn.TEXTSPLIT(M178,","),_xlfn.LAMBDA(_xlpm.x,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8">
        <f>'Audit Report'!F178</f>
        <v>0</v>
      </c>
      <c r="S178">
        <f>'Audit Report'!Q178</f>
        <v>0</v>
      </c>
    </row>
    <row r="179" spans="4:19">
      <c r="D179">
        <f>'Audit Report'!B179</f>
        <v>0</v>
      </c>
      <c r="E179">
        <f>'Audit Report'!C179</f>
        <v>0</v>
      </c>
      <c r="I179">
        <f>'Audit Report'!D179</f>
        <v>0</v>
      </c>
      <c r="J179">
        <f>'Audit Report'!H179</f>
        <v>0</v>
      </c>
      <c r="L179" t="str">
        <f>_xlfn.TEXTJOIN(", ", FALSE, 'Audit Report'!K179,'Audit Report'!L179,'Audit Report'!M179)</f>
        <v xml:space="preserve">, , </v>
      </c>
      <c r="M179">
        <f>'Audit Report'!O179</f>
        <v>0</v>
      </c>
      <c r="N179" t="str" cm="1">
        <f t="array" ref="N179">IF(M179="","",
_xlfn.TEXTJOIN(", ",TRUE,
    _xlfn.MAP(_xlfn.TEXTSPLIT(M179,","),_xlfn.LAMBDA(_xlpm.x,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9">
        <f>'Audit Report'!F179</f>
        <v>0</v>
      </c>
      <c r="S179">
        <f>'Audit Report'!Q179</f>
        <v>0</v>
      </c>
    </row>
    <row r="180" spans="4:19">
      <c r="D180">
        <f>'Audit Report'!B180</f>
        <v>0</v>
      </c>
      <c r="E180">
        <f>'Audit Report'!C180</f>
        <v>0</v>
      </c>
      <c r="I180">
        <f>'Audit Report'!D180</f>
        <v>0</v>
      </c>
      <c r="J180">
        <f>'Audit Report'!H180</f>
        <v>0</v>
      </c>
      <c r="L180" t="str">
        <f>_xlfn.TEXTJOIN(", ", FALSE, 'Audit Report'!K180,'Audit Report'!L180,'Audit Report'!M180)</f>
        <v xml:space="preserve">, , </v>
      </c>
      <c r="M180">
        <f>'Audit Report'!O180</f>
        <v>0</v>
      </c>
      <c r="N180" t="str" cm="1">
        <f t="array" ref="N180">IF(M180="","",
_xlfn.TEXTJOIN(", ",TRUE,
    _xlfn.MAP(_xlfn.TEXTSPLIT(M180,","),_xlfn.LAMBDA(_xlpm.x,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0">
        <f>'Audit Report'!F180</f>
        <v>0</v>
      </c>
      <c r="S180">
        <f>'Audit Report'!Q180</f>
        <v>0</v>
      </c>
    </row>
    <row r="181" spans="4:19">
      <c r="D181">
        <f>'Audit Report'!B181</f>
        <v>0</v>
      </c>
      <c r="E181">
        <f>'Audit Report'!C181</f>
        <v>0</v>
      </c>
      <c r="I181">
        <f>'Audit Report'!D181</f>
        <v>0</v>
      </c>
      <c r="J181">
        <f>'Audit Report'!H181</f>
        <v>0</v>
      </c>
      <c r="L181" t="str">
        <f>_xlfn.TEXTJOIN(", ", FALSE, 'Audit Report'!K181,'Audit Report'!L181,'Audit Report'!M181)</f>
        <v xml:space="preserve">, , </v>
      </c>
      <c r="M181">
        <f>'Audit Report'!O181</f>
        <v>0</v>
      </c>
      <c r="N181" t="str" cm="1">
        <f t="array" ref="N181">IF(M181="","",
_xlfn.TEXTJOIN(", ",TRUE,
    _xlfn.MAP(_xlfn.TEXTSPLIT(M181,","),_xlfn.LAMBDA(_xlpm.x,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1">
        <f>'Audit Report'!F181</f>
        <v>0</v>
      </c>
      <c r="S181">
        <f>'Audit Report'!Q181</f>
        <v>0</v>
      </c>
    </row>
    <row r="182" spans="4:19">
      <c r="D182">
        <f>'Audit Report'!B182</f>
        <v>0</v>
      </c>
      <c r="E182">
        <f>'Audit Report'!C182</f>
        <v>0</v>
      </c>
      <c r="I182">
        <f>'Audit Report'!D182</f>
        <v>0</v>
      </c>
      <c r="J182">
        <f>'Audit Report'!H182</f>
        <v>0</v>
      </c>
      <c r="L182" t="str">
        <f>_xlfn.TEXTJOIN(", ", FALSE, 'Audit Report'!K182,'Audit Report'!L182,'Audit Report'!M182)</f>
        <v xml:space="preserve">, , </v>
      </c>
      <c r="M182">
        <f>'Audit Report'!O182</f>
        <v>0</v>
      </c>
      <c r="N182" t="str" cm="1">
        <f t="array" ref="N182">IF(M182="","",
_xlfn.TEXTJOIN(", ",TRUE,
    _xlfn.MAP(_xlfn.TEXTSPLIT(M182,","),_xlfn.LAMBDA(_xlpm.x,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2">
        <f>'Audit Report'!F182</f>
        <v>0</v>
      </c>
      <c r="S182">
        <f>'Audit Report'!Q182</f>
        <v>0</v>
      </c>
    </row>
    <row r="183" spans="4:19">
      <c r="D183">
        <f>'Audit Report'!B183</f>
        <v>0</v>
      </c>
      <c r="E183">
        <f>'Audit Report'!C183</f>
        <v>0</v>
      </c>
      <c r="I183">
        <f>'Audit Report'!D183</f>
        <v>0</v>
      </c>
      <c r="J183">
        <f>'Audit Report'!H183</f>
        <v>0</v>
      </c>
      <c r="L183" t="str">
        <f>_xlfn.TEXTJOIN(", ", FALSE, 'Audit Report'!K183,'Audit Report'!L183,'Audit Report'!M183)</f>
        <v xml:space="preserve">, , </v>
      </c>
      <c r="M183">
        <f>'Audit Report'!O183</f>
        <v>0</v>
      </c>
      <c r="N183" t="str" cm="1">
        <f t="array" ref="N183">IF(M183="","",
_xlfn.TEXTJOIN(", ",TRUE,
    _xlfn.MAP(_xlfn.TEXTSPLIT(M183,","),_xlfn.LAMBDA(_xlpm.x,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3">
        <f>'Audit Report'!F183</f>
        <v>0</v>
      </c>
      <c r="S183">
        <f>'Audit Report'!Q183</f>
        <v>0</v>
      </c>
    </row>
    <row r="184" spans="4:19">
      <c r="D184">
        <f>'Audit Report'!B184</f>
        <v>0</v>
      </c>
      <c r="E184">
        <f>'Audit Report'!C184</f>
        <v>0</v>
      </c>
      <c r="I184">
        <f>'Audit Report'!D184</f>
        <v>0</v>
      </c>
      <c r="J184">
        <f>'Audit Report'!H184</f>
        <v>0</v>
      </c>
      <c r="L184" t="str">
        <f>_xlfn.TEXTJOIN(", ", FALSE, 'Audit Report'!K184,'Audit Report'!L184,'Audit Report'!M184)</f>
        <v xml:space="preserve">, , </v>
      </c>
      <c r="M184">
        <f>'Audit Report'!O184</f>
        <v>0</v>
      </c>
      <c r="N184" t="str" cm="1">
        <f t="array" ref="N184">IF(M184="","",
_xlfn.TEXTJOIN(", ",TRUE,
    _xlfn.MAP(_xlfn.TEXTSPLIT(M184,","),_xlfn.LAMBDA(_xlpm.x,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4">
        <f>'Audit Report'!F184</f>
        <v>0</v>
      </c>
      <c r="S184">
        <f>'Audit Report'!Q184</f>
        <v>0</v>
      </c>
    </row>
    <row r="185" spans="4:19">
      <c r="D185">
        <f>'Audit Report'!B185</f>
        <v>0</v>
      </c>
      <c r="E185">
        <f>'Audit Report'!C185</f>
        <v>0</v>
      </c>
      <c r="I185">
        <f>'Audit Report'!D185</f>
        <v>0</v>
      </c>
      <c r="J185">
        <f>'Audit Report'!H185</f>
        <v>0</v>
      </c>
      <c r="L185" t="str">
        <f>_xlfn.TEXTJOIN(", ", FALSE, 'Audit Report'!K185,'Audit Report'!L185,'Audit Report'!M185)</f>
        <v xml:space="preserve">, , </v>
      </c>
      <c r="M185">
        <f>'Audit Report'!O185</f>
        <v>0</v>
      </c>
      <c r="N185" t="str" cm="1">
        <f t="array" ref="N185">IF(M185="","",
_xlfn.TEXTJOIN(", ",TRUE,
    _xlfn.MAP(_xlfn.TEXTSPLIT(M185,","),_xlfn.LAMBDA(_xlpm.x,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5">
        <f>'Audit Report'!F185</f>
        <v>0</v>
      </c>
      <c r="S185">
        <f>'Audit Report'!Q185</f>
        <v>0</v>
      </c>
    </row>
    <row r="186" spans="4:19">
      <c r="D186">
        <f>'Audit Report'!B186</f>
        <v>0</v>
      </c>
      <c r="E186">
        <f>'Audit Report'!C186</f>
        <v>0</v>
      </c>
      <c r="I186">
        <f>'Audit Report'!D186</f>
        <v>0</v>
      </c>
      <c r="J186">
        <f>'Audit Report'!H186</f>
        <v>0</v>
      </c>
      <c r="L186" t="str">
        <f>_xlfn.TEXTJOIN(", ", FALSE, 'Audit Report'!K186,'Audit Report'!L186,'Audit Report'!M186)</f>
        <v xml:space="preserve">, , </v>
      </c>
      <c r="M186">
        <f>'Audit Report'!O186</f>
        <v>0</v>
      </c>
      <c r="N186" t="str" cm="1">
        <f t="array" ref="N186">IF(M186="","",
_xlfn.TEXTJOIN(", ",TRUE,
    _xlfn.MAP(_xlfn.TEXTSPLIT(M186,","),_xlfn.LAMBDA(_xlpm.x,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6">
        <f>'Audit Report'!F186</f>
        <v>0</v>
      </c>
      <c r="S186">
        <f>'Audit Report'!Q186</f>
        <v>0</v>
      </c>
    </row>
    <row r="187" spans="4:19">
      <c r="D187">
        <f>'Audit Report'!B187</f>
        <v>0</v>
      </c>
      <c r="E187">
        <f>'Audit Report'!C187</f>
        <v>0</v>
      </c>
      <c r="I187">
        <f>'Audit Report'!D187</f>
        <v>0</v>
      </c>
      <c r="J187">
        <f>'Audit Report'!H187</f>
        <v>0</v>
      </c>
      <c r="L187" t="str">
        <f>_xlfn.TEXTJOIN(", ", FALSE, 'Audit Report'!K187,'Audit Report'!L187,'Audit Report'!M187)</f>
        <v xml:space="preserve">, , </v>
      </c>
      <c r="M187">
        <f>'Audit Report'!O187</f>
        <v>0</v>
      </c>
      <c r="N187" t="str" cm="1">
        <f t="array" ref="N187">IF(M187="","",
_xlfn.TEXTJOIN(", ",TRUE,
    _xlfn.MAP(_xlfn.TEXTSPLIT(M187,","),_xlfn.LAMBDA(_xlpm.x,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7">
        <f>'Audit Report'!F187</f>
        <v>0</v>
      </c>
      <c r="S187">
        <f>'Audit Report'!Q187</f>
        <v>0</v>
      </c>
    </row>
    <row r="188" spans="4:19">
      <c r="D188">
        <f>'Audit Report'!B188</f>
        <v>0</v>
      </c>
      <c r="E188">
        <f>'Audit Report'!C188</f>
        <v>0</v>
      </c>
      <c r="I188">
        <f>'Audit Report'!D188</f>
        <v>0</v>
      </c>
      <c r="J188">
        <f>'Audit Report'!H188</f>
        <v>0</v>
      </c>
      <c r="L188" t="str">
        <f>_xlfn.TEXTJOIN(", ", FALSE, 'Audit Report'!K188,'Audit Report'!L188,'Audit Report'!M188)</f>
        <v xml:space="preserve">, , </v>
      </c>
      <c r="M188">
        <f>'Audit Report'!O188</f>
        <v>0</v>
      </c>
      <c r="N188" t="str" cm="1">
        <f t="array" ref="N188">IF(M188="","",
_xlfn.TEXTJOIN(", ",TRUE,
    _xlfn.MAP(_xlfn.TEXTSPLIT(M188,","),_xlfn.LAMBDA(_xlpm.x,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8">
        <f>'Audit Report'!F188</f>
        <v>0</v>
      </c>
      <c r="S188">
        <f>'Audit Report'!Q188</f>
        <v>0</v>
      </c>
    </row>
    <row r="189" spans="4:19">
      <c r="D189">
        <f>'Audit Report'!B189</f>
        <v>0</v>
      </c>
      <c r="E189">
        <f>'Audit Report'!C189</f>
        <v>0</v>
      </c>
      <c r="I189">
        <f>'Audit Report'!D189</f>
        <v>0</v>
      </c>
      <c r="J189">
        <f>'Audit Report'!H189</f>
        <v>0</v>
      </c>
      <c r="L189" t="str">
        <f>_xlfn.TEXTJOIN(", ", FALSE, 'Audit Report'!K189,'Audit Report'!L189,'Audit Report'!M189)</f>
        <v xml:space="preserve">, , </v>
      </c>
      <c r="M189">
        <f>'Audit Report'!O189</f>
        <v>0</v>
      </c>
      <c r="N189" t="str" cm="1">
        <f t="array" ref="N189">IF(M189="","",
_xlfn.TEXTJOIN(", ",TRUE,
    _xlfn.MAP(_xlfn.TEXTSPLIT(M189,","),_xlfn.LAMBDA(_xlpm.x,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9">
        <f>'Audit Report'!F189</f>
        <v>0</v>
      </c>
      <c r="S189">
        <f>'Audit Report'!Q189</f>
        <v>0</v>
      </c>
    </row>
    <row r="190" spans="4:19">
      <c r="D190">
        <f>'Audit Report'!B190</f>
        <v>0</v>
      </c>
      <c r="E190">
        <f>'Audit Report'!C190</f>
        <v>0</v>
      </c>
      <c r="I190">
        <f>'Audit Report'!D190</f>
        <v>0</v>
      </c>
      <c r="J190">
        <f>'Audit Report'!H190</f>
        <v>0</v>
      </c>
      <c r="L190" t="str">
        <f>_xlfn.TEXTJOIN(", ", FALSE, 'Audit Report'!K190,'Audit Report'!L190,'Audit Report'!M190)</f>
        <v xml:space="preserve">, , </v>
      </c>
      <c r="M190">
        <f>'Audit Report'!O190</f>
        <v>0</v>
      </c>
      <c r="N190" t="str" cm="1">
        <f t="array" ref="N190">IF(M190="","",
_xlfn.TEXTJOIN(", ",TRUE,
    _xlfn.MAP(_xlfn.TEXTSPLIT(M190,","),_xlfn.LAMBDA(_xlpm.x,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0">
        <f>'Audit Report'!F190</f>
        <v>0</v>
      </c>
      <c r="S190">
        <f>'Audit Report'!Q190</f>
        <v>0</v>
      </c>
    </row>
    <row r="191" spans="4:19">
      <c r="D191">
        <f>'Audit Report'!B191</f>
        <v>0</v>
      </c>
      <c r="E191">
        <f>'Audit Report'!C191</f>
        <v>0</v>
      </c>
      <c r="I191">
        <f>'Audit Report'!D191</f>
        <v>0</v>
      </c>
      <c r="J191">
        <f>'Audit Report'!H191</f>
        <v>0</v>
      </c>
      <c r="L191" t="str">
        <f>_xlfn.TEXTJOIN(", ", FALSE, 'Audit Report'!K191,'Audit Report'!L191,'Audit Report'!M191)</f>
        <v xml:space="preserve">, , </v>
      </c>
      <c r="M191">
        <f>'Audit Report'!O191</f>
        <v>0</v>
      </c>
      <c r="N191" t="str" cm="1">
        <f t="array" ref="N191">IF(M191="","",
_xlfn.TEXTJOIN(", ",TRUE,
    _xlfn.MAP(_xlfn.TEXTSPLIT(M191,","),_xlfn.LAMBDA(_xlpm.x,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1">
        <f>'Audit Report'!F191</f>
        <v>0</v>
      </c>
      <c r="S191">
        <f>'Audit Report'!Q191</f>
        <v>0</v>
      </c>
    </row>
    <row r="192" spans="4:19">
      <c r="D192">
        <f>'Audit Report'!B192</f>
        <v>0</v>
      </c>
      <c r="E192">
        <f>'Audit Report'!C192</f>
        <v>0</v>
      </c>
      <c r="I192">
        <f>'Audit Report'!D192</f>
        <v>0</v>
      </c>
      <c r="J192">
        <f>'Audit Report'!H192</f>
        <v>0</v>
      </c>
      <c r="L192" t="str">
        <f>_xlfn.TEXTJOIN(", ", FALSE, 'Audit Report'!K192,'Audit Report'!L192,'Audit Report'!M192)</f>
        <v xml:space="preserve">, , </v>
      </c>
      <c r="M192">
        <f>'Audit Report'!O192</f>
        <v>0</v>
      </c>
      <c r="N192" t="str" cm="1">
        <f t="array" ref="N192">IF(M192="","",
_xlfn.TEXTJOIN(", ",TRUE,
    _xlfn.MAP(_xlfn.TEXTSPLIT(M192,","),_xlfn.LAMBDA(_xlpm.x,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2">
        <f>'Audit Report'!F192</f>
        <v>0</v>
      </c>
      <c r="S192">
        <f>'Audit Report'!Q192</f>
        <v>0</v>
      </c>
    </row>
    <row r="193" spans="4:19">
      <c r="D193">
        <f>'Audit Report'!B193</f>
        <v>0</v>
      </c>
      <c r="E193">
        <f>'Audit Report'!C193</f>
        <v>0</v>
      </c>
      <c r="I193">
        <f>'Audit Report'!D193</f>
        <v>0</v>
      </c>
      <c r="J193">
        <f>'Audit Report'!H193</f>
        <v>0</v>
      </c>
      <c r="L193" t="str">
        <f>_xlfn.TEXTJOIN(", ", FALSE, 'Audit Report'!K193,'Audit Report'!L193,'Audit Report'!M193)</f>
        <v xml:space="preserve">, , </v>
      </c>
      <c r="M193">
        <f>'Audit Report'!O193</f>
        <v>0</v>
      </c>
      <c r="N193" t="str" cm="1">
        <f t="array" ref="N193">IF(M193="","",
_xlfn.TEXTJOIN(", ",TRUE,
    _xlfn.MAP(_xlfn.TEXTSPLIT(M193,","),_xlfn.LAMBDA(_xlpm.x,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3">
        <f>'Audit Report'!F193</f>
        <v>0</v>
      </c>
      <c r="S193">
        <f>'Audit Report'!Q193</f>
        <v>0</v>
      </c>
    </row>
    <row r="194" spans="4:19">
      <c r="D194">
        <f>'Audit Report'!B194</f>
        <v>0</v>
      </c>
      <c r="E194">
        <f>'Audit Report'!C194</f>
        <v>0</v>
      </c>
      <c r="I194">
        <f>'Audit Report'!D194</f>
        <v>0</v>
      </c>
      <c r="J194">
        <f>'Audit Report'!H194</f>
        <v>0</v>
      </c>
      <c r="L194" t="str">
        <f>_xlfn.TEXTJOIN(", ", FALSE, 'Audit Report'!K194,'Audit Report'!L194,'Audit Report'!M194)</f>
        <v xml:space="preserve">, , </v>
      </c>
      <c r="M194">
        <f>'Audit Report'!O194</f>
        <v>0</v>
      </c>
      <c r="N194" t="str" cm="1">
        <f t="array" ref="N194">IF(M194="","",
_xlfn.TEXTJOIN(", ",TRUE,
    _xlfn.MAP(_xlfn.TEXTSPLIT(M194,","),_xlfn.LAMBDA(_xlpm.x,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4">
        <f>'Audit Report'!F194</f>
        <v>0</v>
      </c>
      <c r="S194">
        <f>'Audit Report'!Q194</f>
        <v>0</v>
      </c>
    </row>
    <row r="195" spans="4:19">
      <c r="D195">
        <f>'Audit Report'!B195</f>
        <v>0</v>
      </c>
      <c r="E195">
        <f>'Audit Report'!C195</f>
        <v>0</v>
      </c>
      <c r="I195">
        <f>'Audit Report'!D195</f>
        <v>0</v>
      </c>
      <c r="J195">
        <f>'Audit Report'!H195</f>
        <v>0</v>
      </c>
      <c r="L195" t="str">
        <f>_xlfn.TEXTJOIN(", ", FALSE, 'Audit Report'!K195,'Audit Report'!L195,'Audit Report'!M195)</f>
        <v xml:space="preserve">, , </v>
      </c>
      <c r="M195">
        <f>'Audit Report'!O195</f>
        <v>0</v>
      </c>
      <c r="N195" t="str" cm="1">
        <f t="array" ref="N195">IF(M195="","",
_xlfn.TEXTJOIN(", ",TRUE,
    _xlfn.MAP(_xlfn.TEXTSPLIT(M195,","),_xlfn.LAMBDA(_xlpm.x,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5">
        <f>'Audit Report'!F195</f>
        <v>0</v>
      </c>
      <c r="S195">
        <f>'Audit Report'!Q195</f>
        <v>0</v>
      </c>
    </row>
    <row r="196" spans="4:19">
      <c r="D196">
        <f>'Audit Report'!B196</f>
        <v>0</v>
      </c>
      <c r="E196">
        <f>'Audit Report'!C196</f>
        <v>0</v>
      </c>
      <c r="I196">
        <f>'Audit Report'!D196</f>
        <v>0</v>
      </c>
      <c r="J196">
        <f>'Audit Report'!H196</f>
        <v>0</v>
      </c>
      <c r="L196" t="str">
        <f>_xlfn.TEXTJOIN(", ", FALSE, 'Audit Report'!K196,'Audit Report'!L196,'Audit Report'!M196)</f>
        <v xml:space="preserve">, , </v>
      </c>
      <c r="M196">
        <f>'Audit Report'!O196</f>
        <v>0</v>
      </c>
      <c r="N196" t="str" cm="1">
        <f t="array" ref="N196">IF(M196="","",
_xlfn.TEXTJOIN(", ",TRUE,
    _xlfn.MAP(_xlfn.TEXTSPLIT(M196,","),_xlfn.LAMBDA(_xlpm.x,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6">
        <f>'Audit Report'!F196</f>
        <v>0</v>
      </c>
      <c r="S196">
        <f>'Audit Report'!Q196</f>
        <v>0</v>
      </c>
    </row>
    <row r="197" spans="4:19">
      <c r="D197">
        <f>'Audit Report'!B197</f>
        <v>0</v>
      </c>
      <c r="E197">
        <f>'Audit Report'!C197</f>
        <v>0</v>
      </c>
      <c r="I197">
        <f>'Audit Report'!D197</f>
        <v>0</v>
      </c>
      <c r="J197">
        <f>'Audit Report'!H197</f>
        <v>0</v>
      </c>
      <c r="L197" t="str">
        <f>_xlfn.TEXTJOIN(", ", FALSE, 'Audit Report'!K197,'Audit Report'!L197,'Audit Report'!M197)</f>
        <v xml:space="preserve">, , </v>
      </c>
      <c r="M197">
        <f>'Audit Report'!O197</f>
        <v>0</v>
      </c>
      <c r="N197" t="str" cm="1">
        <f t="array" ref="N197">IF(M197="","",
_xlfn.TEXTJOIN(", ",TRUE,
    _xlfn.MAP(_xlfn.TEXTSPLIT(M197,","),_xlfn.LAMBDA(_xlpm.x,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7">
        <f>'Audit Report'!F197</f>
        <v>0</v>
      </c>
      <c r="S197">
        <f>'Audit Report'!Q197</f>
        <v>0</v>
      </c>
    </row>
    <row r="198" spans="4:19">
      <c r="D198">
        <f>'Audit Report'!B198</f>
        <v>0</v>
      </c>
      <c r="E198">
        <f>'Audit Report'!C198</f>
        <v>0</v>
      </c>
      <c r="I198">
        <f>'Audit Report'!D198</f>
        <v>0</v>
      </c>
      <c r="J198">
        <f>'Audit Report'!H198</f>
        <v>0</v>
      </c>
      <c r="L198" t="str">
        <f>_xlfn.TEXTJOIN(", ", FALSE, 'Audit Report'!K198,'Audit Report'!L198,'Audit Report'!M198)</f>
        <v xml:space="preserve">, , </v>
      </c>
      <c r="M198">
        <f>'Audit Report'!O198</f>
        <v>0</v>
      </c>
      <c r="N198" t="str" cm="1">
        <f t="array" ref="N198">IF(M198="","",
_xlfn.TEXTJOIN(", ",TRUE,
    _xlfn.MAP(_xlfn.TEXTSPLIT(M198,","),_xlfn.LAMBDA(_xlpm.x,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8">
        <f>'Audit Report'!F198</f>
        <v>0</v>
      </c>
      <c r="S198">
        <f>'Audit Report'!Q198</f>
        <v>0</v>
      </c>
    </row>
    <row r="199" spans="4:19">
      <c r="D199">
        <f>'Audit Report'!B199</f>
        <v>0</v>
      </c>
      <c r="E199">
        <f>'Audit Report'!C199</f>
        <v>0</v>
      </c>
      <c r="I199">
        <f>'Audit Report'!D199</f>
        <v>0</v>
      </c>
      <c r="J199">
        <f>'Audit Report'!H199</f>
        <v>0</v>
      </c>
      <c r="L199" t="str">
        <f>_xlfn.TEXTJOIN(", ", FALSE, 'Audit Report'!K199,'Audit Report'!L199,'Audit Report'!M199)</f>
        <v xml:space="preserve">, , </v>
      </c>
      <c r="M199">
        <f>'Audit Report'!O199</f>
        <v>0</v>
      </c>
      <c r="N199" t="str" cm="1">
        <f t="array" ref="N199">IF(M199="","",
_xlfn.TEXTJOIN(", ",TRUE,
    _xlfn.MAP(_xlfn.TEXTSPLIT(M199,","),_xlfn.LAMBDA(_xlpm.x,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9">
        <f>'Audit Report'!F199</f>
        <v>0</v>
      </c>
      <c r="S199">
        <f>'Audit Report'!Q199</f>
        <v>0</v>
      </c>
    </row>
    <row r="200" spans="4:19">
      <c r="D200">
        <f>'Audit Report'!B200</f>
        <v>0</v>
      </c>
      <c r="E200">
        <f>'Audit Report'!C200</f>
        <v>0</v>
      </c>
      <c r="I200">
        <f>'Audit Report'!D200</f>
        <v>0</v>
      </c>
      <c r="J200">
        <f>'Audit Report'!H200</f>
        <v>0</v>
      </c>
      <c r="L200" t="str">
        <f>_xlfn.TEXTJOIN(", ", FALSE, 'Audit Report'!K200,'Audit Report'!L200,'Audit Report'!M200)</f>
        <v xml:space="preserve">, , </v>
      </c>
      <c r="M200">
        <f>'Audit Report'!O200</f>
        <v>0</v>
      </c>
      <c r="N200" t="str" cm="1">
        <f t="array" ref="N200">IF(M200="","",
_xlfn.TEXTJOIN(", ",TRUE,
    _xlfn.MAP(_xlfn.TEXTSPLIT(M200,","),_xlfn.LAMBDA(_xlpm.x,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0">
        <f>'Audit Report'!F200</f>
        <v>0</v>
      </c>
      <c r="S200">
        <f>'Audit Report'!Q200</f>
        <v>0</v>
      </c>
    </row>
    <row r="201" spans="4:19">
      <c r="D201">
        <f>'Audit Report'!B201</f>
        <v>0</v>
      </c>
      <c r="E201">
        <f>'Audit Report'!C201</f>
        <v>0</v>
      </c>
      <c r="I201">
        <f>'Audit Report'!D201</f>
        <v>0</v>
      </c>
      <c r="J201">
        <f>'Audit Report'!H201</f>
        <v>0</v>
      </c>
      <c r="L201" t="str">
        <f>_xlfn.TEXTJOIN(", ", FALSE, 'Audit Report'!K201,'Audit Report'!L201,'Audit Report'!M201)</f>
        <v xml:space="preserve">, , </v>
      </c>
      <c r="M201">
        <f>'Audit Report'!O201</f>
        <v>0</v>
      </c>
      <c r="N201" t="str" cm="1">
        <f t="array" ref="N201">IF(M201="","",
_xlfn.TEXTJOIN(", ",TRUE,
    _xlfn.MAP(_xlfn.TEXTSPLIT(M201,","),_xlfn.LAMBDA(_xlpm.x,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1">
        <f>'Audit Report'!F201</f>
        <v>0</v>
      </c>
      <c r="S201">
        <f>'Audit Report'!Q201</f>
        <v>0</v>
      </c>
    </row>
    <row r="202" spans="4:19">
      <c r="D202">
        <f>'Audit Report'!B202</f>
        <v>0</v>
      </c>
      <c r="E202">
        <f>'Audit Report'!C202</f>
        <v>0</v>
      </c>
      <c r="I202">
        <f>'Audit Report'!D202</f>
        <v>0</v>
      </c>
      <c r="J202">
        <f>'Audit Report'!H202</f>
        <v>0</v>
      </c>
      <c r="L202" t="str">
        <f>_xlfn.TEXTJOIN(", ", FALSE, 'Audit Report'!K202,'Audit Report'!L202,'Audit Report'!M202)</f>
        <v xml:space="preserve">, , </v>
      </c>
      <c r="M202">
        <f>'Audit Report'!O202</f>
        <v>0</v>
      </c>
      <c r="N202" t="str" cm="1">
        <f t="array" ref="N202">IF(M202="","",
_xlfn.TEXTJOIN(", ",TRUE,
    _xlfn.MAP(_xlfn.TEXTSPLIT(M202,","),_xlfn.LAMBDA(_xlpm.x,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2">
        <f>'Audit Report'!F202</f>
        <v>0</v>
      </c>
      <c r="S202">
        <f>'Audit Report'!Q202</f>
        <v>0</v>
      </c>
    </row>
    <row r="203" spans="4:19">
      <c r="D203">
        <f>'Audit Report'!B203</f>
        <v>0</v>
      </c>
      <c r="E203">
        <f>'Audit Report'!C203</f>
        <v>0</v>
      </c>
      <c r="I203">
        <f>'Audit Report'!D203</f>
        <v>0</v>
      </c>
      <c r="J203">
        <f>'Audit Report'!H203</f>
        <v>0</v>
      </c>
      <c r="L203" t="str">
        <f>_xlfn.TEXTJOIN(", ", FALSE, 'Audit Report'!K203,'Audit Report'!L203,'Audit Report'!M203)</f>
        <v xml:space="preserve">, , </v>
      </c>
      <c r="M203">
        <f>'Audit Report'!O203</f>
        <v>0</v>
      </c>
      <c r="N203" t="str" cm="1">
        <f t="array" ref="N203">IF(M203="","",
_xlfn.TEXTJOIN(", ",TRUE,
    _xlfn.MAP(_xlfn.TEXTSPLIT(M203,","),_xlfn.LAMBDA(_xlpm.x,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3">
        <f>'Audit Report'!F203</f>
        <v>0</v>
      </c>
      <c r="S203">
        <f>'Audit Report'!Q203</f>
        <v>0</v>
      </c>
    </row>
    <row r="204" spans="4:19">
      <c r="D204">
        <f>'Audit Report'!B204</f>
        <v>0</v>
      </c>
      <c r="E204">
        <f>'Audit Report'!C204</f>
        <v>0</v>
      </c>
      <c r="I204">
        <f>'Audit Report'!D204</f>
        <v>0</v>
      </c>
      <c r="J204">
        <f>'Audit Report'!H204</f>
        <v>0</v>
      </c>
      <c r="L204" t="str">
        <f>_xlfn.TEXTJOIN(", ", FALSE, 'Audit Report'!K204,'Audit Report'!L204,'Audit Report'!M204)</f>
        <v xml:space="preserve">, , </v>
      </c>
      <c r="M204">
        <f>'Audit Report'!O204</f>
        <v>0</v>
      </c>
      <c r="N204" t="str" cm="1">
        <f t="array" ref="N204">IF(M204="","",
_xlfn.TEXTJOIN(", ",TRUE,
    _xlfn.MAP(_xlfn.TEXTSPLIT(M204,","),_xlfn.LAMBDA(_xlpm.x,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4">
        <f>'Audit Report'!F204</f>
        <v>0</v>
      </c>
      <c r="S204">
        <f>'Audit Report'!Q204</f>
        <v>0</v>
      </c>
    </row>
    <row r="205" spans="4:19">
      <c r="D205">
        <f>'Audit Report'!B205</f>
        <v>0</v>
      </c>
      <c r="E205">
        <f>'Audit Report'!C205</f>
        <v>0</v>
      </c>
      <c r="I205">
        <f>'Audit Report'!D205</f>
        <v>0</v>
      </c>
      <c r="J205">
        <f>'Audit Report'!H205</f>
        <v>0</v>
      </c>
      <c r="L205" t="str">
        <f>_xlfn.TEXTJOIN(", ", FALSE, 'Audit Report'!K205,'Audit Report'!L205,'Audit Report'!M205)</f>
        <v xml:space="preserve">, , </v>
      </c>
      <c r="M205">
        <f>'Audit Report'!O205</f>
        <v>0</v>
      </c>
      <c r="N205" t="str" cm="1">
        <f t="array" ref="N205">IF(M205="","",
_xlfn.TEXTJOIN(", ",TRUE,
    _xlfn.MAP(_xlfn.TEXTSPLIT(M205,","),_xlfn.LAMBDA(_xlpm.x,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5">
        <f>'Audit Report'!F205</f>
        <v>0</v>
      </c>
      <c r="S205">
        <f>'Audit Report'!Q205</f>
        <v>0</v>
      </c>
    </row>
    <row r="206" spans="4:19">
      <c r="D206">
        <f>'Audit Report'!B206</f>
        <v>0</v>
      </c>
      <c r="E206">
        <f>'Audit Report'!C206</f>
        <v>0</v>
      </c>
      <c r="I206">
        <f>'Audit Report'!D206</f>
        <v>0</v>
      </c>
      <c r="J206">
        <f>'Audit Report'!H206</f>
        <v>0</v>
      </c>
      <c r="L206" t="str">
        <f>_xlfn.TEXTJOIN(", ", FALSE, 'Audit Report'!K206,'Audit Report'!L206,'Audit Report'!M206)</f>
        <v xml:space="preserve">, , </v>
      </c>
      <c r="M206">
        <f>'Audit Report'!O206</f>
        <v>0</v>
      </c>
      <c r="N206" t="str" cm="1">
        <f t="array" ref="N206">IF(M206="","",
_xlfn.TEXTJOIN(", ",TRUE,
    _xlfn.MAP(_xlfn.TEXTSPLIT(M206,","),_xlfn.LAMBDA(_xlpm.x,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6">
        <f>'Audit Report'!F206</f>
        <v>0</v>
      </c>
      <c r="S206">
        <f>'Audit Report'!Q206</f>
        <v>0</v>
      </c>
    </row>
    <row r="207" spans="4:19">
      <c r="D207">
        <f>'Audit Report'!B207</f>
        <v>0</v>
      </c>
      <c r="E207">
        <f>'Audit Report'!C207</f>
        <v>0</v>
      </c>
      <c r="I207">
        <f>'Audit Report'!D207</f>
        <v>0</v>
      </c>
      <c r="J207">
        <f>'Audit Report'!H207</f>
        <v>0</v>
      </c>
      <c r="L207" t="str">
        <f>_xlfn.TEXTJOIN(", ", FALSE, 'Audit Report'!K207,'Audit Report'!L207,'Audit Report'!M207)</f>
        <v xml:space="preserve">, , </v>
      </c>
      <c r="M207">
        <f>'Audit Report'!O207</f>
        <v>0</v>
      </c>
      <c r="N207" t="str" cm="1">
        <f t="array" ref="N207">IF(M207="","",
_xlfn.TEXTJOIN(", ",TRUE,
    _xlfn.MAP(_xlfn.TEXTSPLIT(M207,","),_xlfn.LAMBDA(_xlpm.x,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7">
        <f>'Audit Report'!F207</f>
        <v>0</v>
      </c>
      <c r="S207">
        <f>'Audit Report'!Q207</f>
        <v>0</v>
      </c>
    </row>
    <row r="208" spans="4:19">
      <c r="D208">
        <f>'Audit Report'!B208</f>
        <v>0</v>
      </c>
      <c r="E208">
        <f>'Audit Report'!C208</f>
        <v>0</v>
      </c>
      <c r="I208">
        <f>'Audit Report'!D208</f>
        <v>0</v>
      </c>
      <c r="J208">
        <f>'Audit Report'!H208</f>
        <v>0</v>
      </c>
      <c r="L208" t="str">
        <f>_xlfn.TEXTJOIN(", ", FALSE, 'Audit Report'!K208,'Audit Report'!L208,'Audit Report'!M208)</f>
        <v xml:space="preserve">, , </v>
      </c>
      <c r="M208">
        <f>'Audit Report'!O208</f>
        <v>0</v>
      </c>
      <c r="N208" t="str" cm="1">
        <f t="array" ref="N208">IF(M208="","",
_xlfn.TEXTJOIN(", ",TRUE,
    _xlfn.MAP(_xlfn.TEXTSPLIT(M208,","),_xlfn.LAMBDA(_xlpm.x,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8">
        <f>'Audit Report'!F208</f>
        <v>0</v>
      </c>
      <c r="S208">
        <f>'Audit Report'!Q208</f>
        <v>0</v>
      </c>
    </row>
    <row r="209" spans="4:19">
      <c r="D209">
        <f>'Audit Report'!B209</f>
        <v>0</v>
      </c>
      <c r="E209">
        <f>'Audit Report'!C209</f>
        <v>0</v>
      </c>
      <c r="I209">
        <f>'Audit Report'!D209</f>
        <v>0</v>
      </c>
      <c r="J209">
        <f>'Audit Report'!H209</f>
        <v>0</v>
      </c>
      <c r="L209" t="str">
        <f>_xlfn.TEXTJOIN(", ", FALSE, 'Audit Report'!K209,'Audit Report'!L209,'Audit Report'!M209)</f>
        <v xml:space="preserve">, , </v>
      </c>
      <c r="M209">
        <f>'Audit Report'!O209</f>
        <v>0</v>
      </c>
      <c r="N209" t="str" cm="1">
        <f t="array" ref="N209">IF(M209="","",
_xlfn.TEXTJOIN(", ",TRUE,
    _xlfn.MAP(_xlfn.TEXTSPLIT(M209,","),_xlfn.LAMBDA(_xlpm.x,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9">
        <f>'Audit Report'!F209</f>
        <v>0</v>
      </c>
      <c r="S209">
        <f>'Audit Report'!Q209</f>
        <v>0</v>
      </c>
    </row>
    <row r="210" spans="4:19">
      <c r="D210">
        <f>'Audit Report'!B210</f>
        <v>0</v>
      </c>
      <c r="E210">
        <f>'Audit Report'!C210</f>
        <v>0</v>
      </c>
      <c r="I210">
        <f>'Audit Report'!D210</f>
        <v>0</v>
      </c>
      <c r="J210">
        <f>'Audit Report'!H210</f>
        <v>0</v>
      </c>
      <c r="L210" t="str">
        <f>_xlfn.TEXTJOIN(", ", FALSE, 'Audit Report'!K210,'Audit Report'!L210,'Audit Report'!M210)</f>
        <v xml:space="preserve">, , </v>
      </c>
      <c r="M210">
        <f>'Audit Report'!O210</f>
        <v>0</v>
      </c>
      <c r="N210" t="str" cm="1">
        <f t="array" ref="N210">IF(M210="","",
_xlfn.TEXTJOIN(", ",TRUE,
    _xlfn.MAP(_xlfn.TEXTSPLIT(M210,","),_xlfn.LAMBDA(_xlpm.x,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0">
        <f>'Audit Report'!F210</f>
        <v>0</v>
      </c>
      <c r="S210">
        <f>'Audit Report'!Q210</f>
        <v>0</v>
      </c>
    </row>
    <row r="211" spans="4:19">
      <c r="D211">
        <f>'Audit Report'!B211</f>
        <v>0</v>
      </c>
      <c r="E211">
        <f>'Audit Report'!C211</f>
        <v>0</v>
      </c>
      <c r="I211">
        <f>'Audit Report'!D211</f>
        <v>0</v>
      </c>
      <c r="J211">
        <f>'Audit Report'!H211</f>
        <v>0</v>
      </c>
      <c r="L211" t="str">
        <f>_xlfn.TEXTJOIN(", ", FALSE, 'Audit Report'!K211,'Audit Report'!L211,'Audit Report'!M211)</f>
        <v xml:space="preserve">, , </v>
      </c>
      <c r="M211">
        <f>'Audit Report'!O211</f>
        <v>0</v>
      </c>
      <c r="N211" t="str" cm="1">
        <f t="array" ref="N211">IF(M211="","",
_xlfn.TEXTJOIN(", ",TRUE,
    _xlfn.MAP(_xlfn.TEXTSPLIT(M211,","),_xlfn.LAMBDA(_xlpm.x,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1">
        <f>'Audit Report'!F211</f>
        <v>0</v>
      </c>
      <c r="S211">
        <f>'Audit Report'!Q211</f>
        <v>0</v>
      </c>
    </row>
    <row r="212" spans="4:19">
      <c r="D212">
        <f>'Audit Report'!B212</f>
        <v>0</v>
      </c>
      <c r="E212">
        <f>'Audit Report'!C212</f>
        <v>0</v>
      </c>
      <c r="I212">
        <f>'Audit Report'!D212</f>
        <v>0</v>
      </c>
      <c r="J212">
        <f>'Audit Report'!H212</f>
        <v>0</v>
      </c>
      <c r="L212" t="str">
        <f>_xlfn.TEXTJOIN(", ", FALSE, 'Audit Report'!K212,'Audit Report'!L212,'Audit Report'!M212)</f>
        <v xml:space="preserve">, , </v>
      </c>
      <c r="M212">
        <f>'Audit Report'!O212</f>
        <v>0</v>
      </c>
      <c r="N212" t="str" cm="1">
        <f t="array" ref="N212">IF(M212="","",
_xlfn.TEXTJOIN(", ",TRUE,
    _xlfn.MAP(_xlfn.TEXTSPLIT(M212,","),_xlfn.LAMBDA(_xlpm.x,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2">
        <f>'Audit Report'!F212</f>
        <v>0</v>
      </c>
      <c r="S212">
        <f>'Audit Report'!Q212</f>
        <v>0</v>
      </c>
    </row>
    <row r="213" spans="4:19">
      <c r="D213">
        <f>'Audit Report'!B213</f>
        <v>0</v>
      </c>
      <c r="E213">
        <f>'Audit Report'!C213</f>
        <v>0</v>
      </c>
      <c r="I213">
        <f>'Audit Report'!D213</f>
        <v>0</v>
      </c>
      <c r="J213">
        <f>'Audit Report'!H213</f>
        <v>0</v>
      </c>
      <c r="L213" t="str">
        <f>_xlfn.TEXTJOIN(", ", FALSE, 'Audit Report'!K213,'Audit Report'!L213,'Audit Report'!M213)</f>
        <v xml:space="preserve">, , </v>
      </c>
      <c r="M213">
        <f>'Audit Report'!O213</f>
        <v>0</v>
      </c>
      <c r="N213" t="str" cm="1">
        <f t="array" ref="N213">IF(M213="","",
_xlfn.TEXTJOIN(", ",TRUE,
    _xlfn.MAP(_xlfn.TEXTSPLIT(M213,","),_xlfn.LAMBDA(_xlpm.x,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3">
        <f>'Audit Report'!F213</f>
        <v>0</v>
      </c>
      <c r="S213">
        <f>'Audit Report'!Q213</f>
        <v>0</v>
      </c>
    </row>
    <row r="214" spans="4:19">
      <c r="D214">
        <f>'Audit Report'!B214</f>
        <v>0</v>
      </c>
      <c r="E214">
        <f>'Audit Report'!C214</f>
        <v>0</v>
      </c>
      <c r="I214">
        <f>'Audit Report'!D214</f>
        <v>0</v>
      </c>
      <c r="J214">
        <f>'Audit Report'!H214</f>
        <v>0</v>
      </c>
      <c r="L214" t="str">
        <f>_xlfn.TEXTJOIN(", ", FALSE, 'Audit Report'!K214,'Audit Report'!L214,'Audit Report'!M214)</f>
        <v xml:space="preserve">, , </v>
      </c>
      <c r="M214">
        <f>'Audit Report'!O214</f>
        <v>0</v>
      </c>
      <c r="N214" t="str" cm="1">
        <f t="array" ref="N214">IF(M214="","",
_xlfn.TEXTJOIN(", ",TRUE,
    _xlfn.MAP(_xlfn.TEXTSPLIT(M214,","),_xlfn.LAMBDA(_xlpm.x,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4">
        <f>'Audit Report'!F214</f>
        <v>0</v>
      </c>
      <c r="S214">
        <f>'Audit Report'!Q214</f>
        <v>0</v>
      </c>
    </row>
    <row r="215" spans="4:19">
      <c r="D215">
        <f>'Audit Report'!B215</f>
        <v>0</v>
      </c>
      <c r="E215">
        <f>'Audit Report'!C215</f>
        <v>0</v>
      </c>
      <c r="I215">
        <f>'Audit Report'!D215</f>
        <v>0</v>
      </c>
      <c r="J215">
        <f>'Audit Report'!H215</f>
        <v>0</v>
      </c>
      <c r="L215" t="str">
        <f>_xlfn.TEXTJOIN(", ", FALSE, 'Audit Report'!K215,'Audit Report'!L215,'Audit Report'!M215)</f>
        <v xml:space="preserve">, , </v>
      </c>
      <c r="M215">
        <f>'Audit Report'!O215</f>
        <v>0</v>
      </c>
      <c r="N215" t="str" cm="1">
        <f t="array" ref="N215">IF(M215="","",
_xlfn.TEXTJOIN(", ",TRUE,
    _xlfn.MAP(_xlfn.TEXTSPLIT(M215,","),_xlfn.LAMBDA(_xlpm.x,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5">
        <f>'Audit Report'!F215</f>
        <v>0</v>
      </c>
      <c r="S215">
        <f>'Audit Report'!Q215</f>
        <v>0</v>
      </c>
    </row>
    <row r="216" spans="4:19">
      <c r="D216">
        <f>'Audit Report'!B216</f>
        <v>0</v>
      </c>
      <c r="E216">
        <f>'Audit Report'!C216</f>
        <v>0</v>
      </c>
      <c r="I216">
        <f>'Audit Report'!D216</f>
        <v>0</v>
      </c>
      <c r="J216">
        <f>'Audit Report'!H216</f>
        <v>0</v>
      </c>
      <c r="L216" t="str">
        <f>_xlfn.TEXTJOIN(", ", FALSE, 'Audit Report'!K216,'Audit Report'!L216,'Audit Report'!M216)</f>
        <v xml:space="preserve">, , </v>
      </c>
      <c r="M216">
        <f>'Audit Report'!O216</f>
        <v>0</v>
      </c>
      <c r="N216" t="str" cm="1">
        <f t="array" ref="N216">IF(M216="","",
_xlfn.TEXTJOIN(", ",TRUE,
    _xlfn.MAP(_xlfn.TEXTSPLIT(M216,","),_xlfn.LAMBDA(_xlpm.x,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6">
        <f>'Audit Report'!F216</f>
        <v>0</v>
      </c>
      <c r="S216">
        <f>'Audit Report'!Q216</f>
        <v>0</v>
      </c>
    </row>
    <row r="217" spans="4:19">
      <c r="D217">
        <f>'Audit Report'!B217</f>
        <v>0</v>
      </c>
      <c r="E217">
        <f>'Audit Report'!C217</f>
        <v>0</v>
      </c>
      <c r="I217">
        <f>'Audit Report'!D217</f>
        <v>0</v>
      </c>
      <c r="J217">
        <f>'Audit Report'!H217</f>
        <v>0</v>
      </c>
      <c r="L217" t="str">
        <f>_xlfn.TEXTJOIN(", ", FALSE, 'Audit Report'!K217,'Audit Report'!L217,'Audit Report'!M217)</f>
        <v xml:space="preserve">, , </v>
      </c>
      <c r="M217">
        <f>'Audit Report'!O217</f>
        <v>0</v>
      </c>
      <c r="N217" t="str" cm="1">
        <f t="array" ref="N217">IF(M217="","",
_xlfn.TEXTJOIN(", ",TRUE,
    _xlfn.MAP(_xlfn.TEXTSPLIT(M217,","),_xlfn.LAMBDA(_xlpm.x,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7">
        <f>'Audit Report'!F217</f>
        <v>0</v>
      </c>
      <c r="S217">
        <f>'Audit Report'!Q217</f>
        <v>0</v>
      </c>
    </row>
    <row r="218" spans="4:19">
      <c r="D218">
        <f>'Audit Report'!B218</f>
        <v>0</v>
      </c>
      <c r="E218">
        <f>'Audit Report'!C218</f>
        <v>0</v>
      </c>
      <c r="I218">
        <f>'Audit Report'!D218</f>
        <v>0</v>
      </c>
      <c r="J218">
        <f>'Audit Report'!H218</f>
        <v>0</v>
      </c>
      <c r="L218" t="str">
        <f>_xlfn.TEXTJOIN(", ", FALSE, 'Audit Report'!K218,'Audit Report'!L218,'Audit Report'!M218)</f>
        <v xml:space="preserve">, , </v>
      </c>
      <c r="M218">
        <f>'Audit Report'!O218</f>
        <v>0</v>
      </c>
      <c r="N218" t="str" cm="1">
        <f t="array" ref="N218">IF(M218="","",
_xlfn.TEXTJOIN(", ",TRUE,
    _xlfn.MAP(_xlfn.TEXTSPLIT(M218,","),_xlfn.LAMBDA(_xlpm.x,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8">
        <f>'Audit Report'!F218</f>
        <v>0</v>
      </c>
      <c r="S218">
        <f>'Audit Report'!Q218</f>
        <v>0</v>
      </c>
    </row>
    <row r="219" spans="4:19">
      <c r="D219">
        <f>'Audit Report'!B219</f>
        <v>0</v>
      </c>
      <c r="E219">
        <f>'Audit Report'!C219</f>
        <v>0</v>
      </c>
      <c r="I219">
        <f>'Audit Report'!D219</f>
        <v>0</v>
      </c>
      <c r="J219">
        <f>'Audit Report'!H219</f>
        <v>0</v>
      </c>
      <c r="L219" t="str">
        <f>_xlfn.TEXTJOIN(", ", FALSE, 'Audit Report'!K219,'Audit Report'!L219,'Audit Report'!M219)</f>
        <v xml:space="preserve">, , </v>
      </c>
      <c r="M219">
        <f>'Audit Report'!O219</f>
        <v>0</v>
      </c>
      <c r="N219" t="str" cm="1">
        <f t="array" ref="N219">IF(M219="","",
_xlfn.TEXTJOIN(", ",TRUE,
    _xlfn.MAP(_xlfn.TEXTSPLIT(M219,","),_xlfn.LAMBDA(_xlpm.x,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9">
        <f>'Audit Report'!F219</f>
        <v>0</v>
      </c>
      <c r="S219">
        <f>'Audit Report'!Q219</f>
        <v>0</v>
      </c>
    </row>
    <row r="220" spans="4:19">
      <c r="D220">
        <f>'Audit Report'!B220</f>
        <v>0</v>
      </c>
      <c r="E220">
        <f>'Audit Report'!C220</f>
        <v>0</v>
      </c>
      <c r="I220">
        <f>'Audit Report'!D220</f>
        <v>0</v>
      </c>
      <c r="J220">
        <f>'Audit Report'!H220</f>
        <v>0</v>
      </c>
      <c r="L220" t="str">
        <f>_xlfn.TEXTJOIN(", ", FALSE, 'Audit Report'!K220,'Audit Report'!L220,'Audit Report'!M220)</f>
        <v xml:space="preserve">, , </v>
      </c>
      <c r="M220">
        <f>'Audit Report'!O220</f>
        <v>0</v>
      </c>
      <c r="N220" t="str" cm="1">
        <f t="array" ref="N220">IF(M220="","",
_xlfn.TEXTJOIN(", ",TRUE,
    _xlfn.MAP(_xlfn.TEXTSPLIT(M220,","),_xlfn.LAMBDA(_xlpm.x,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0">
        <f>'Audit Report'!F220</f>
        <v>0</v>
      </c>
      <c r="S220">
        <f>'Audit Report'!Q220</f>
        <v>0</v>
      </c>
    </row>
    <row r="221" spans="4:19">
      <c r="D221">
        <f>'Audit Report'!B221</f>
        <v>0</v>
      </c>
      <c r="E221">
        <f>'Audit Report'!C221</f>
        <v>0</v>
      </c>
      <c r="I221">
        <f>'Audit Report'!D221</f>
        <v>0</v>
      </c>
      <c r="J221">
        <f>'Audit Report'!H221</f>
        <v>0</v>
      </c>
      <c r="L221" t="str">
        <f>_xlfn.TEXTJOIN(", ", FALSE, 'Audit Report'!K221,'Audit Report'!L221,'Audit Report'!M221)</f>
        <v xml:space="preserve">, , </v>
      </c>
      <c r="M221">
        <f>'Audit Report'!O221</f>
        <v>0</v>
      </c>
      <c r="N221" t="str" cm="1">
        <f t="array" ref="N221">IF(M221="","",
_xlfn.TEXTJOIN(", ",TRUE,
    _xlfn.MAP(_xlfn.TEXTSPLIT(M221,","),_xlfn.LAMBDA(_xlpm.x,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1">
        <f>'Audit Report'!F221</f>
        <v>0</v>
      </c>
      <c r="S221">
        <f>'Audit Report'!Q221</f>
        <v>0</v>
      </c>
    </row>
    <row r="222" spans="4:19">
      <c r="D222">
        <f>'Audit Report'!B222</f>
        <v>0</v>
      </c>
      <c r="E222">
        <f>'Audit Report'!C222</f>
        <v>0</v>
      </c>
      <c r="I222">
        <f>'Audit Report'!D222</f>
        <v>0</v>
      </c>
      <c r="J222">
        <f>'Audit Report'!H222</f>
        <v>0</v>
      </c>
      <c r="L222" t="str">
        <f>_xlfn.TEXTJOIN(", ", FALSE, 'Audit Report'!K222,'Audit Report'!L222,'Audit Report'!M222)</f>
        <v xml:space="preserve">, , </v>
      </c>
      <c r="M222">
        <f>'Audit Report'!O222</f>
        <v>0</v>
      </c>
      <c r="N222" t="str" cm="1">
        <f t="array" ref="N222">IF(M222="","",
_xlfn.TEXTJOIN(", ",TRUE,
    _xlfn.MAP(_xlfn.TEXTSPLIT(M222,","),_xlfn.LAMBDA(_xlpm.x,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2">
        <f>'Audit Report'!F222</f>
        <v>0</v>
      </c>
      <c r="S222">
        <f>'Audit Report'!Q222</f>
        <v>0</v>
      </c>
    </row>
    <row r="223" spans="4:19">
      <c r="D223">
        <f>'Audit Report'!B223</f>
        <v>0</v>
      </c>
      <c r="E223">
        <f>'Audit Report'!C223</f>
        <v>0</v>
      </c>
      <c r="I223">
        <f>'Audit Report'!D223</f>
        <v>0</v>
      </c>
      <c r="J223">
        <f>'Audit Report'!H223</f>
        <v>0</v>
      </c>
      <c r="L223" t="str">
        <f>_xlfn.TEXTJOIN(", ", FALSE, 'Audit Report'!K223,'Audit Report'!L223,'Audit Report'!M223)</f>
        <v xml:space="preserve">, , </v>
      </c>
      <c r="M223">
        <f>'Audit Report'!O223</f>
        <v>0</v>
      </c>
      <c r="N223" t="str" cm="1">
        <f t="array" ref="N223">IF(M223="","",
_xlfn.TEXTJOIN(", ",TRUE,
    _xlfn.MAP(_xlfn.TEXTSPLIT(M223,","),_xlfn.LAMBDA(_xlpm.x,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3">
        <f>'Audit Report'!F223</f>
        <v>0</v>
      </c>
      <c r="S223">
        <f>'Audit Report'!Q223</f>
        <v>0</v>
      </c>
    </row>
    <row r="224" spans="4:19">
      <c r="D224">
        <f>'Audit Report'!B224</f>
        <v>0</v>
      </c>
      <c r="E224">
        <f>'Audit Report'!C224</f>
        <v>0</v>
      </c>
      <c r="I224">
        <f>'Audit Report'!D224</f>
        <v>0</v>
      </c>
      <c r="J224">
        <f>'Audit Report'!H224</f>
        <v>0</v>
      </c>
      <c r="L224" t="str">
        <f>_xlfn.TEXTJOIN(", ", FALSE, 'Audit Report'!K224,'Audit Report'!L224,'Audit Report'!M224)</f>
        <v xml:space="preserve">, , </v>
      </c>
      <c r="M224">
        <f>'Audit Report'!O224</f>
        <v>0</v>
      </c>
      <c r="N224" t="str" cm="1">
        <f t="array" ref="N224">IF(M224="","",
_xlfn.TEXTJOIN(", ",TRUE,
    _xlfn.MAP(_xlfn.TEXTSPLIT(M224,","),_xlfn.LAMBDA(_xlpm.x,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4">
        <f>'Audit Report'!F224</f>
        <v>0</v>
      </c>
      <c r="S224">
        <f>'Audit Report'!Q224</f>
        <v>0</v>
      </c>
    </row>
    <row r="225" spans="4:19">
      <c r="D225">
        <f>'Audit Report'!B225</f>
        <v>0</v>
      </c>
      <c r="E225">
        <f>'Audit Report'!C225</f>
        <v>0</v>
      </c>
      <c r="I225">
        <f>'Audit Report'!D225</f>
        <v>0</v>
      </c>
      <c r="J225">
        <f>'Audit Report'!H225</f>
        <v>0</v>
      </c>
      <c r="L225" t="str">
        <f>_xlfn.TEXTJOIN(", ", FALSE, 'Audit Report'!K225,'Audit Report'!L225,'Audit Report'!M225)</f>
        <v xml:space="preserve">, , </v>
      </c>
      <c r="M225">
        <f>'Audit Report'!O225</f>
        <v>0</v>
      </c>
      <c r="N225" t="str" cm="1">
        <f t="array" ref="N225">IF(M225="","",
_xlfn.TEXTJOIN(", ",TRUE,
    _xlfn.MAP(_xlfn.TEXTSPLIT(M225,","),_xlfn.LAMBDA(_xlpm.x,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5">
        <f>'Audit Report'!F225</f>
        <v>0</v>
      </c>
      <c r="S225">
        <f>'Audit Report'!Q225</f>
        <v>0</v>
      </c>
    </row>
    <row r="226" spans="4:19">
      <c r="D226">
        <f>'Audit Report'!B226</f>
        <v>0</v>
      </c>
      <c r="E226">
        <f>'Audit Report'!C226</f>
        <v>0</v>
      </c>
      <c r="I226">
        <f>'Audit Report'!D226</f>
        <v>0</v>
      </c>
      <c r="J226">
        <f>'Audit Report'!H226</f>
        <v>0</v>
      </c>
      <c r="L226" t="str">
        <f>_xlfn.TEXTJOIN(", ", FALSE, 'Audit Report'!K226,'Audit Report'!L226,'Audit Report'!M226)</f>
        <v xml:space="preserve">, , </v>
      </c>
      <c r="M226">
        <f>'Audit Report'!O226</f>
        <v>0</v>
      </c>
      <c r="N226" t="str" cm="1">
        <f t="array" ref="N226">IF(M226="","",
_xlfn.TEXTJOIN(", ",TRUE,
    _xlfn.MAP(_xlfn.TEXTSPLIT(M226,","),_xlfn.LAMBDA(_xlpm.x,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6">
        <f>'Audit Report'!F226</f>
        <v>0</v>
      </c>
      <c r="S226">
        <f>'Audit Report'!Q226</f>
        <v>0</v>
      </c>
    </row>
    <row r="227" spans="4:19">
      <c r="D227">
        <f>'Audit Report'!B227</f>
        <v>0</v>
      </c>
      <c r="E227">
        <f>'Audit Report'!C227</f>
        <v>0</v>
      </c>
      <c r="I227">
        <f>'Audit Report'!D227</f>
        <v>0</v>
      </c>
      <c r="J227">
        <f>'Audit Report'!H227</f>
        <v>0</v>
      </c>
      <c r="L227" t="str">
        <f>_xlfn.TEXTJOIN(", ", FALSE, 'Audit Report'!K227,'Audit Report'!L227,'Audit Report'!M227)</f>
        <v xml:space="preserve">, , </v>
      </c>
      <c r="M227">
        <f>'Audit Report'!O227</f>
        <v>0</v>
      </c>
      <c r="N227" t="str" cm="1">
        <f t="array" ref="N227">IF(M227="","",
_xlfn.TEXTJOIN(", ",TRUE,
    _xlfn.MAP(_xlfn.TEXTSPLIT(M227,","),_xlfn.LAMBDA(_xlpm.x,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7">
        <f>'Audit Report'!F227</f>
        <v>0</v>
      </c>
      <c r="S227">
        <f>'Audit Report'!Q227</f>
        <v>0</v>
      </c>
    </row>
    <row r="228" spans="4:19">
      <c r="D228">
        <f>'Audit Report'!B228</f>
        <v>0</v>
      </c>
      <c r="E228">
        <f>'Audit Report'!C228</f>
        <v>0</v>
      </c>
      <c r="I228">
        <f>'Audit Report'!D228</f>
        <v>0</v>
      </c>
      <c r="J228">
        <f>'Audit Report'!H228</f>
        <v>0</v>
      </c>
      <c r="L228" t="str">
        <f>_xlfn.TEXTJOIN(", ", FALSE, 'Audit Report'!K228,'Audit Report'!L228,'Audit Report'!M228)</f>
        <v xml:space="preserve">, , </v>
      </c>
      <c r="M228">
        <f>'Audit Report'!O228</f>
        <v>0</v>
      </c>
      <c r="N228" t="str" cm="1">
        <f t="array" ref="N228">IF(M228="","",
_xlfn.TEXTJOIN(", ",TRUE,
    _xlfn.MAP(_xlfn.TEXTSPLIT(M228,","),_xlfn.LAMBDA(_xlpm.x,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8">
        <f>'Audit Report'!F228</f>
        <v>0</v>
      </c>
      <c r="S228">
        <f>'Audit Report'!Q228</f>
        <v>0</v>
      </c>
    </row>
    <row r="229" spans="4:19">
      <c r="D229">
        <f>'Audit Report'!B229</f>
        <v>0</v>
      </c>
      <c r="E229">
        <f>'Audit Report'!C229</f>
        <v>0</v>
      </c>
      <c r="I229">
        <f>'Audit Report'!D229</f>
        <v>0</v>
      </c>
      <c r="J229">
        <f>'Audit Report'!H229</f>
        <v>0</v>
      </c>
      <c r="L229" t="str">
        <f>_xlfn.TEXTJOIN(", ", FALSE, 'Audit Report'!K229,'Audit Report'!L229,'Audit Report'!M229)</f>
        <v xml:space="preserve">, , </v>
      </c>
      <c r="M229">
        <f>'Audit Report'!O229</f>
        <v>0</v>
      </c>
      <c r="N229" t="str" cm="1">
        <f t="array" ref="N229">IF(M229="","",
_xlfn.TEXTJOIN(", ",TRUE,
    _xlfn.MAP(_xlfn.TEXTSPLIT(M229,","),_xlfn.LAMBDA(_xlpm.x,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9">
        <f>'Audit Report'!F229</f>
        <v>0</v>
      </c>
      <c r="S229">
        <f>'Audit Report'!Q229</f>
        <v>0</v>
      </c>
    </row>
    <row r="230" spans="4:19">
      <c r="D230">
        <f>'Audit Report'!B230</f>
        <v>0</v>
      </c>
      <c r="E230">
        <f>'Audit Report'!C230</f>
        <v>0</v>
      </c>
      <c r="I230">
        <f>'Audit Report'!D230</f>
        <v>0</v>
      </c>
      <c r="J230">
        <f>'Audit Report'!H230</f>
        <v>0</v>
      </c>
      <c r="L230" t="str">
        <f>_xlfn.TEXTJOIN(", ", FALSE, 'Audit Report'!K230,'Audit Report'!L230,'Audit Report'!M230)</f>
        <v xml:space="preserve">, , </v>
      </c>
      <c r="M230">
        <f>'Audit Report'!O230</f>
        <v>0</v>
      </c>
      <c r="N230" t="str" cm="1">
        <f t="array" ref="N230">IF(M230="","",
_xlfn.TEXTJOIN(", ",TRUE,
    _xlfn.MAP(_xlfn.TEXTSPLIT(M230,","),_xlfn.LAMBDA(_xlpm.x,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0">
        <f>'Audit Report'!F230</f>
        <v>0</v>
      </c>
      <c r="S230">
        <f>'Audit Report'!Q230</f>
        <v>0</v>
      </c>
    </row>
    <row r="231" spans="4:19">
      <c r="D231">
        <f>'Audit Report'!B231</f>
        <v>0</v>
      </c>
      <c r="E231">
        <f>'Audit Report'!C231</f>
        <v>0</v>
      </c>
      <c r="I231">
        <f>'Audit Report'!D231</f>
        <v>0</v>
      </c>
      <c r="J231">
        <f>'Audit Report'!H231</f>
        <v>0</v>
      </c>
      <c r="L231" t="str">
        <f>_xlfn.TEXTJOIN(", ", FALSE, 'Audit Report'!K231,'Audit Report'!L231,'Audit Report'!M231)</f>
        <v xml:space="preserve">, , </v>
      </c>
      <c r="M231">
        <f>'Audit Report'!O231</f>
        <v>0</v>
      </c>
      <c r="N231" t="str" cm="1">
        <f t="array" ref="N231">IF(M231="","",
_xlfn.TEXTJOIN(", ",TRUE,
    _xlfn.MAP(_xlfn.TEXTSPLIT(M231,","),_xlfn.LAMBDA(_xlpm.x,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1">
        <f>'Audit Report'!F231</f>
        <v>0</v>
      </c>
      <c r="S231">
        <f>'Audit Report'!Q231</f>
        <v>0</v>
      </c>
    </row>
    <row r="232" spans="4:19">
      <c r="D232">
        <f>'Audit Report'!B232</f>
        <v>0</v>
      </c>
      <c r="E232">
        <f>'Audit Report'!C232</f>
        <v>0</v>
      </c>
      <c r="I232">
        <f>'Audit Report'!D232</f>
        <v>0</v>
      </c>
      <c r="J232">
        <f>'Audit Report'!H232</f>
        <v>0</v>
      </c>
      <c r="L232" t="str">
        <f>_xlfn.TEXTJOIN(", ", FALSE, 'Audit Report'!K232,'Audit Report'!L232,'Audit Report'!M232)</f>
        <v xml:space="preserve">, , </v>
      </c>
      <c r="M232">
        <f>'Audit Report'!O232</f>
        <v>0</v>
      </c>
      <c r="N232" t="str" cm="1">
        <f t="array" ref="N232">IF(M232="","",
_xlfn.TEXTJOIN(", ",TRUE,
    _xlfn.MAP(_xlfn.TEXTSPLIT(M232,","),_xlfn.LAMBDA(_xlpm.x,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2">
        <f>'Audit Report'!F232</f>
        <v>0</v>
      </c>
      <c r="S232">
        <f>'Audit Report'!Q232</f>
        <v>0</v>
      </c>
    </row>
    <row r="233" spans="4:19">
      <c r="D233">
        <f>'Audit Report'!B233</f>
        <v>0</v>
      </c>
      <c r="E233">
        <f>'Audit Report'!C233</f>
        <v>0</v>
      </c>
      <c r="I233">
        <f>'Audit Report'!D233</f>
        <v>0</v>
      </c>
      <c r="J233">
        <f>'Audit Report'!H233</f>
        <v>0</v>
      </c>
      <c r="L233" t="str">
        <f>_xlfn.TEXTJOIN(", ", FALSE, 'Audit Report'!K233,'Audit Report'!L233,'Audit Report'!M233)</f>
        <v xml:space="preserve">, , </v>
      </c>
      <c r="M233">
        <f>'Audit Report'!O233</f>
        <v>0</v>
      </c>
      <c r="N233" t="str" cm="1">
        <f t="array" ref="N233">IF(M233="","",
_xlfn.TEXTJOIN(", ",TRUE,
    _xlfn.MAP(_xlfn.TEXTSPLIT(M233,","),_xlfn.LAMBDA(_xlpm.x,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3">
        <f>'Audit Report'!F233</f>
        <v>0</v>
      </c>
      <c r="S233">
        <f>'Audit Report'!Q233</f>
        <v>0</v>
      </c>
    </row>
    <row r="234" spans="4:19">
      <c r="D234">
        <f>'Audit Report'!B234</f>
        <v>0</v>
      </c>
      <c r="E234">
        <f>'Audit Report'!C234</f>
        <v>0</v>
      </c>
      <c r="I234">
        <f>'Audit Report'!D234</f>
        <v>0</v>
      </c>
      <c r="J234">
        <f>'Audit Report'!H234</f>
        <v>0</v>
      </c>
      <c r="L234" t="str">
        <f>_xlfn.TEXTJOIN(", ", FALSE, 'Audit Report'!K234,'Audit Report'!L234,'Audit Report'!M234)</f>
        <v xml:space="preserve">, , </v>
      </c>
      <c r="M234">
        <f>'Audit Report'!O234</f>
        <v>0</v>
      </c>
      <c r="N234" t="str" cm="1">
        <f t="array" ref="N234">IF(M234="","",
_xlfn.TEXTJOIN(", ",TRUE,
    _xlfn.MAP(_xlfn.TEXTSPLIT(M234,","),_xlfn.LAMBDA(_xlpm.x,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4">
        <f>'Audit Report'!F234</f>
        <v>0</v>
      </c>
      <c r="S234">
        <f>'Audit Report'!Q234</f>
        <v>0</v>
      </c>
    </row>
    <row r="235" spans="4:19">
      <c r="D235">
        <f>'Audit Report'!B235</f>
        <v>0</v>
      </c>
      <c r="E235">
        <f>'Audit Report'!C235</f>
        <v>0</v>
      </c>
      <c r="I235">
        <f>'Audit Report'!D235</f>
        <v>0</v>
      </c>
      <c r="J235">
        <f>'Audit Report'!H235</f>
        <v>0</v>
      </c>
      <c r="L235" t="str">
        <f>_xlfn.TEXTJOIN(", ", FALSE, 'Audit Report'!K235,'Audit Report'!L235,'Audit Report'!M235)</f>
        <v xml:space="preserve">, , </v>
      </c>
      <c r="M235">
        <f>'Audit Report'!O235</f>
        <v>0</v>
      </c>
      <c r="N235" t="str" cm="1">
        <f t="array" ref="N235">IF(M235="","",
_xlfn.TEXTJOIN(", ",TRUE,
    _xlfn.MAP(_xlfn.TEXTSPLIT(M235,","),_xlfn.LAMBDA(_xlpm.x,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5">
        <f>'Audit Report'!F235</f>
        <v>0</v>
      </c>
      <c r="S235">
        <f>'Audit Report'!Q235</f>
        <v>0</v>
      </c>
    </row>
    <row r="236" spans="4:19">
      <c r="D236">
        <f>'Audit Report'!B236</f>
        <v>0</v>
      </c>
      <c r="E236">
        <f>'Audit Report'!C236</f>
        <v>0</v>
      </c>
      <c r="I236">
        <f>'Audit Report'!D236</f>
        <v>0</v>
      </c>
      <c r="J236">
        <f>'Audit Report'!H236</f>
        <v>0</v>
      </c>
      <c r="L236" t="str">
        <f>_xlfn.TEXTJOIN(", ", FALSE, 'Audit Report'!K236,'Audit Report'!L236,'Audit Report'!M236)</f>
        <v xml:space="preserve">, , </v>
      </c>
      <c r="M236">
        <f>'Audit Report'!O236</f>
        <v>0</v>
      </c>
      <c r="N236" t="str" cm="1">
        <f t="array" ref="N236">IF(M236="","",
_xlfn.TEXTJOIN(", ",TRUE,
    _xlfn.MAP(_xlfn.TEXTSPLIT(M236,","),_xlfn.LAMBDA(_xlpm.x,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6">
        <f>'Audit Report'!F236</f>
        <v>0</v>
      </c>
      <c r="S236">
        <f>'Audit Report'!Q236</f>
        <v>0</v>
      </c>
    </row>
    <row r="237" spans="4:19">
      <c r="D237">
        <f>'Audit Report'!B237</f>
        <v>0</v>
      </c>
      <c r="E237">
        <f>'Audit Report'!C237</f>
        <v>0</v>
      </c>
      <c r="I237">
        <f>'Audit Report'!D237</f>
        <v>0</v>
      </c>
      <c r="J237">
        <f>'Audit Report'!H237</f>
        <v>0</v>
      </c>
      <c r="L237" t="str">
        <f>_xlfn.TEXTJOIN(", ", FALSE, 'Audit Report'!K237,'Audit Report'!L237,'Audit Report'!M237)</f>
        <v xml:space="preserve">, , </v>
      </c>
      <c r="M237">
        <f>'Audit Report'!O237</f>
        <v>0</v>
      </c>
      <c r="N237" t="str" cm="1">
        <f t="array" ref="N237">IF(M237="","",
_xlfn.TEXTJOIN(", ",TRUE,
    _xlfn.MAP(_xlfn.TEXTSPLIT(M237,","),_xlfn.LAMBDA(_xlpm.x,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7">
        <f>'Audit Report'!F237</f>
        <v>0</v>
      </c>
      <c r="S237">
        <f>'Audit Report'!Q237</f>
        <v>0</v>
      </c>
    </row>
    <row r="238" spans="4:19">
      <c r="D238">
        <f>'Audit Report'!B238</f>
        <v>0</v>
      </c>
      <c r="E238">
        <f>'Audit Report'!C238</f>
        <v>0</v>
      </c>
      <c r="I238">
        <f>'Audit Report'!D238</f>
        <v>0</v>
      </c>
      <c r="J238">
        <f>'Audit Report'!H238</f>
        <v>0</v>
      </c>
      <c r="L238" t="str">
        <f>_xlfn.TEXTJOIN(", ", FALSE, 'Audit Report'!K238,'Audit Report'!L238,'Audit Report'!M238)</f>
        <v xml:space="preserve">, , </v>
      </c>
      <c r="M238">
        <f>'Audit Report'!O238</f>
        <v>0</v>
      </c>
      <c r="N238" t="str" cm="1">
        <f t="array" ref="N238">IF(M238="","",
_xlfn.TEXTJOIN(", ",TRUE,
    _xlfn.MAP(_xlfn.TEXTSPLIT(M238,","),_xlfn.LAMBDA(_xlpm.x,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8">
        <f>'Audit Report'!F238</f>
        <v>0</v>
      </c>
      <c r="S238">
        <f>'Audit Report'!Q238</f>
        <v>0</v>
      </c>
    </row>
    <row r="239" spans="4:19">
      <c r="D239">
        <f>'Audit Report'!B239</f>
        <v>0</v>
      </c>
      <c r="E239">
        <f>'Audit Report'!C239</f>
        <v>0</v>
      </c>
      <c r="I239">
        <f>'Audit Report'!D239</f>
        <v>0</v>
      </c>
      <c r="J239">
        <f>'Audit Report'!H239</f>
        <v>0</v>
      </c>
      <c r="L239" t="str">
        <f>_xlfn.TEXTJOIN(", ", FALSE, 'Audit Report'!K239,'Audit Report'!L239,'Audit Report'!M239)</f>
        <v xml:space="preserve">, , </v>
      </c>
      <c r="M239">
        <f>'Audit Report'!O239</f>
        <v>0</v>
      </c>
      <c r="N239" t="str" cm="1">
        <f t="array" ref="N239">IF(M239="","",
_xlfn.TEXTJOIN(", ",TRUE,
    _xlfn.MAP(_xlfn.TEXTSPLIT(M239,","),_xlfn.LAMBDA(_xlpm.x,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9">
        <f>'Audit Report'!F239</f>
        <v>0</v>
      </c>
      <c r="S239">
        <f>'Audit Report'!Q239</f>
        <v>0</v>
      </c>
    </row>
    <row r="240" spans="4:19">
      <c r="D240">
        <f>'Audit Report'!B240</f>
        <v>0</v>
      </c>
      <c r="E240">
        <f>'Audit Report'!C240</f>
        <v>0</v>
      </c>
      <c r="I240">
        <f>'Audit Report'!D240</f>
        <v>0</v>
      </c>
      <c r="J240">
        <f>'Audit Report'!H240</f>
        <v>0</v>
      </c>
      <c r="L240" t="str">
        <f>_xlfn.TEXTJOIN(", ", FALSE, 'Audit Report'!K240,'Audit Report'!L240,'Audit Report'!M240)</f>
        <v xml:space="preserve">, , </v>
      </c>
      <c r="M240">
        <f>'Audit Report'!O240</f>
        <v>0</v>
      </c>
      <c r="N240" t="str" cm="1">
        <f t="array" ref="N240">IF(M240="","",
_xlfn.TEXTJOIN(", ",TRUE,
    _xlfn.MAP(_xlfn.TEXTSPLIT(M240,","),_xlfn.LAMBDA(_xlpm.x,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0">
        <f>'Audit Report'!F240</f>
        <v>0</v>
      </c>
      <c r="S240">
        <f>'Audit Report'!Q240</f>
        <v>0</v>
      </c>
    </row>
    <row r="241" spans="4:19">
      <c r="D241">
        <f>'Audit Report'!B241</f>
        <v>0</v>
      </c>
      <c r="E241">
        <f>'Audit Report'!C241</f>
        <v>0</v>
      </c>
      <c r="I241">
        <f>'Audit Report'!D241</f>
        <v>0</v>
      </c>
      <c r="J241">
        <f>'Audit Report'!H241</f>
        <v>0</v>
      </c>
      <c r="L241" t="str">
        <f>_xlfn.TEXTJOIN(", ", FALSE, 'Audit Report'!K241,'Audit Report'!L241,'Audit Report'!M241)</f>
        <v xml:space="preserve">, , </v>
      </c>
      <c r="M241">
        <f>'Audit Report'!O241</f>
        <v>0</v>
      </c>
      <c r="N241" t="str" cm="1">
        <f t="array" ref="N241">IF(M241="","",
_xlfn.TEXTJOIN(", ",TRUE,
    _xlfn.MAP(_xlfn.TEXTSPLIT(M241,","),_xlfn.LAMBDA(_xlpm.x,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1">
        <f>'Audit Report'!F241</f>
        <v>0</v>
      </c>
      <c r="S241">
        <f>'Audit Report'!Q241</f>
        <v>0</v>
      </c>
    </row>
    <row r="242" spans="4:19">
      <c r="D242">
        <f>'Audit Report'!B242</f>
        <v>0</v>
      </c>
      <c r="E242">
        <f>'Audit Report'!C242</f>
        <v>0</v>
      </c>
      <c r="I242">
        <f>'Audit Report'!D242</f>
        <v>0</v>
      </c>
      <c r="J242">
        <f>'Audit Report'!H242</f>
        <v>0</v>
      </c>
      <c r="L242" t="str">
        <f>_xlfn.TEXTJOIN(", ", FALSE, 'Audit Report'!K242,'Audit Report'!L242,'Audit Report'!M242)</f>
        <v xml:space="preserve">, , </v>
      </c>
      <c r="M242">
        <f>'Audit Report'!O242</f>
        <v>0</v>
      </c>
      <c r="N242" t="str" cm="1">
        <f t="array" ref="N242">IF(M242="","",
_xlfn.TEXTJOIN(", ",TRUE,
    _xlfn.MAP(_xlfn.TEXTSPLIT(M242,","),_xlfn.LAMBDA(_xlpm.x,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2">
        <f>'Audit Report'!F242</f>
        <v>0</v>
      </c>
      <c r="S242">
        <f>'Audit Report'!Q242</f>
        <v>0</v>
      </c>
    </row>
    <row r="243" spans="4:19">
      <c r="D243">
        <f>'Audit Report'!B243</f>
        <v>0</v>
      </c>
      <c r="E243">
        <f>'Audit Report'!C243</f>
        <v>0</v>
      </c>
      <c r="I243">
        <f>'Audit Report'!D243</f>
        <v>0</v>
      </c>
      <c r="J243">
        <f>'Audit Report'!H243</f>
        <v>0</v>
      </c>
      <c r="L243" t="str">
        <f>_xlfn.TEXTJOIN(", ", FALSE, 'Audit Report'!K243,'Audit Report'!L243,'Audit Report'!M243)</f>
        <v xml:space="preserve">, , </v>
      </c>
      <c r="M243">
        <f>'Audit Report'!O243</f>
        <v>0</v>
      </c>
      <c r="N243" t="str" cm="1">
        <f t="array" ref="N243">IF(M243="","",
_xlfn.TEXTJOIN(", ",TRUE,
    _xlfn.MAP(_xlfn.TEXTSPLIT(M243,","),_xlfn.LAMBDA(_xlpm.x,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3">
        <f>'Audit Report'!F243</f>
        <v>0</v>
      </c>
      <c r="S243">
        <f>'Audit Report'!Q243</f>
        <v>0</v>
      </c>
    </row>
    <row r="244" spans="4:19">
      <c r="D244">
        <f>'Audit Report'!B244</f>
        <v>0</v>
      </c>
      <c r="E244">
        <f>'Audit Report'!C244</f>
        <v>0</v>
      </c>
      <c r="I244">
        <f>'Audit Report'!D244</f>
        <v>0</v>
      </c>
      <c r="J244">
        <f>'Audit Report'!H244</f>
        <v>0</v>
      </c>
      <c r="L244" t="str">
        <f>_xlfn.TEXTJOIN(", ", FALSE, 'Audit Report'!K244,'Audit Report'!L244,'Audit Report'!M244)</f>
        <v xml:space="preserve">, , </v>
      </c>
      <c r="M244">
        <f>'Audit Report'!O244</f>
        <v>0</v>
      </c>
      <c r="N244" t="str" cm="1">
        <f t="array" ref="N244">IF(M244="","",
_xlfn.TEXTJOIN(", ",TRUE,
    _xlfn.MAP(_xlfn.TEXTSPLIT(M244,","),_xlfn.LAMBDA(_xlpm.x,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4">
        <f>'Audit Report'!F244</f>
        <v>0</v>
      </c>
      <c r="S244">
        <f>'Audit Report'!Q244</f>
        <v>0</v>
      </c>
    </row>
    <row r="245" spans="4:19">
      <c r="D245">
        <f>'Audit Report'!B245</f>
        <v>0</v>
      </c>
      <c r="E245">
        <f>'Audit Report'!C245</f>
        <v>0</v>
      </c>
      <c r="I245">
        <f>'Audit Report'!D245</f>
        <v>0</v>
      </c>
      <c r="J245">
        <f>'Audit Report'!H245</f>
        <v>0</v>
      </c>
      <c r="L245" t="str">
        <f>_xlfn.TEXTJOIN(", ", FALSE, 'Audit Report'!K245,'Audit Report'!L245,'Audit Report'!M245)</f>
        <v xml:space="preserve">, , </v>
      </c>
      <c r="M245">
        <f>'Audit Report'!O245</f>
        <v>0</v>
      </c>
      <c r="N245" t="str" cm="1">
        <f t="array" ref="N245">IF(M245="","",
_xlfn.TEXTJOIN(", ",TRUE,
    _xlfn.MAP(_xlfn.TEXTSPLIT(M245,","),_xlfn.LAMBDA(_xlpm.x,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5">
        <f>'Audit Report'!F245</f>
        <v>0</v>
      </c>
      <c r="S245">
        <f>'Audit Report'!Q245</f>
        <v>0</v>
      </c>
    </row>
    <row r="246" spans="4:19">
      <c r="D246">
        <f>'Audit Report'!B246</f>
        <v>0</v>
      </c>
      <c r="E246">
        <f>'Audit Report'!C246</f>
        <v>0</v>
      </c>
      <c r="I246">
        <f>'Audit Report'!D246</f>
        <v>0</v>
      </c>
      <c r="J246">
        <f>'Audit Report'!H246</f>
        <v>0</v>
      </c>
      <c r="L246" t="str">
        <f>_xlfn.TEXTJOIN(", ", FALSE, 'Audit Report'!K246,'Audit Report'!L246,'Audit Report'!M246)</f>
        <v xml:space="preserve">, , </v>
      </c>
      <c r="M246">
        <f>'Audit Report'!O246</f>
        <v>0</v>
      </c>
      <c r="N246" t="str" cm="1">
        <f t="array" ref="N246">IF(M246="","",
_xlfn.TEXTJOIN(", ",TRUE,
    _xlfn.MAP(_xlfn.TEXTSPLIT(M246,","),_xlfn.LAMBDA(_xlpm.x,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6">
        <f>'Audit Report'!F246</f>
        <v>0</v>
      </c>
      <c r="S246">
        <f>'Audit Report'!Q246</f>
        <v>0</v>
      </c>
    </row>
    <row r="247" spans="4:19">
      <c r="D247">
        <f>'Audit Report'!B247</f>
        <v>0</v>
      </c>
      <c r="E247">
        <f>'Audit Report'!C247</f>
        <v>0</v>
      </c>
      <c r="I247">
        <f>'Audit Report'!D247</f>
        <v>0</v>
      </c>
      <c r="J247">
        <f>'Audit Report'!H247</f>
        <v>0</v>
      </c>
      <c r="L247" t="str">
        <f>_xlfn.TEXTJOIN(", ", FALSE, 'Audit Report'!K247,'Audit Report'!L247,'Audit Report'!M247)</f>
        <v xml:space="preserve">, , </v>
      </c>
      <c r="M247">
        <f>'Audit Report'!O247</f>
        <v>0</v>
      </c>
      <c r="N247" t="str" cm="1">
        <f t="array" ref="N247">IF(M247="","",
_xlfn.TEXTJOIN(", ",TRUE,
    _xlfn.MAP(_xlfn.TEXTSPLIT(M247,","),_xlfn.LAMBDA(_xlpm.x,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7">
        <f>'Audit Report'!F247</f>
        <v>0</v>
      </c>
      <c r="S247">
        <f>'Audit Report'!Q247</f>
        <v>0</v>
      </c>
    </row>
    <row r="248" spans="4:19">
      <c r="D248">
        <f>'Audit Report'!B248</f>
        <v>0</v>
      </c>
      <c r="E248">
        <f>'Audit Report'!C248</f>
        <v>0</v>
      </c>
      <c r="I248">
        <f>'Audit Report'!D248</f>
        <v>0</v>
      </c>
      <c r="J248">
        <f>'Audit Report'!H248</f>
        <v>0</v>
      </c>
      <c r="L248" t="str">
        <f>_xlfn.TEXTJOIN(", ", FALSE, 'Audit Report'!K248,'Audit Report'!L248,'Audit Report'!M248)</f>
        <v xml:space="preserve">, , </v>
      </c>
      <c r="M248">
        <f>'Audit Report'!O248</f>
        <v>0</v>
      </c>
      <c r="N248" t="str" cm="1">
        <f t="array" ref="N248">IF(M248="","",
_xlfn.TEXTJOIN(", ",TRUE,
    _xlfn.MAP(_xlfn.TEXTSPLIT(M248,","),_xlfn.LAMBDA(_xlpm.x,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8">
        <f>'Audit Report'!F248</f>
        <v>0</v>
      </c>
      <c r="S248">
        <f>'Audit Report'!Q248</f>
        <v>0</v>
      </c>
    </row>
    <row r="249" spans="4:19">
      <c r="D249">
        <f>'Audit Report'!B249</f>
        <v>0</v>
      </c>
      <c r="E249">
        <f>'Audit Report'!C249</f>
        <v>0</v>
      </c>
      <c r="I249">
        <f>'Audit Report'!D249</f>
        <v>0</v>
      </c>
      <c r="J249">
        <f>'Audit Report'!H249</f>
        <v>0</v>
      </c>
      <c r="L249" t="str">
        <f>_xlfn.TEXTJOIN(", ", FALSE, 'Audit Report'!K249,'Audit Report'!L249,'Audit Report'!M249)</f>
        <v xml:space="preserve">, , </v>
      </c>
      <c r="M249">
        <f>'Audit Report'!O249</f>
        <v>0</v>
      </c>
      <c r="N249" t="str" cm="1">
        <f t="array" ref="N249">IF(M249="","",
_xlfn.TEXTJOIN(", ",TRUE,
    _xlfn.MAP(_xlfn.TEXTSPLIT(M249,","),_xlfn.LAMBDA(_xlpm.x,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9">
        <f>'Audit Report'!F249</f>
        <v>0</v>
      </c>
      <c r="S249">
        <f>'Audit Report'!Q249</f>
        <v>0</v>
      </c>
    </row>
    <row r="250" spans="4:19">
      <c r="D250">
        <f>'Audit Report'!B250</f>
        <v>0</v>
      </c>
      <c r="E250">
        <f>'Audit Report'!C250</f>
        <v>0</v>
      </c>
      <c r="I250">
        <f>'Audit Report'!D250</f>
        <v>0</v>
      </c>
      <c r="J250">
        <f>'Audit Report'!H250</f>
        <v>0</v>
      </c>
      <c r="L250" t="str">
        <f>_xlfn.TEXTJOIN(", ", FALSE, 'Audit Report'!K250,'Audit Report'!L250,'Audit Report'!M250)</f>
        <v xml:space="preserve">, , </v>
      </c>
      <c r="M250">
        <f>'Audit Report'!O250</f>
        <v>0</v>
      </c>
      <c r="N250" t="str" cm="1">
        <f t="array" ref="N250">IF(M250="","",
_xlfn.TEXTJOIN(", ",TRUE,
    _xlfn.MAP(_xlfn.TEXTSPLIT(M250,","),_xlfn.LAMBDA(_xlpm.x,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0">
        <f>'Audit Report'!F250</f>
        <v>0</v>
      </c>
      <c r="S250">
        <f>'Audit Report'!Q250</f>
        <v>0</v>
      </c>
    </row>
    <row r="251" spans="4:19">
      <c r="D251">
        <f>'Audit Report'!B251</f>
        <v>0</v>
      </c>
      <c r="E251">
        <f>'Audit Report'!C251</f>
        <v>0</v>
      </c>
      <c r="I251">
        <f>'Audit Report'!D251</f>
        <v>0</v>
      </c>
      <c r="J251">
        <f>'Audit Report'!H251</f>
        <v>0</v>
      </c>
      <c r="L251" t="str">
        <f>_xlfn.TEXTJOIN(", ", FALSE, 'Audit Report'!K251,'Audit Report'!L251,'Audit Report'!M251)</f>
        <v xml:space="preserve">, , </v>
      </c>
      <c r="M251">
        <f>'Audit Report'!O251</f>
        <v>0</v>
      </c>
      <c r="N251" t="str" cm="1">
        <f t="array" ref="N251">IF(M251="","",
_xlfn.TEXTJOIN(", ",TRUE,
    _xlfn.MAP(_xlfn.TEXTSPLIT(M251,","),_xlfn.LAMBDA(_xlpm.x,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1">
        <f>'Audit Report'!F251</f>
        <v>0</v>
      </c>
      <c r="S251">
        <f>'Audit Report'!Q251</f>
        <v>0</v>
      </c>
    </row>
    <row r="252" spans="4:19">
      <c r="D252">
        <f>'Audit Report'!B252</f>
        <v>0</v>
      </c>
      <c r="E252">
        <f>'Audit Report'!C252</f>
        <v>0</v>
      </c>
      <c r="I252">
        <f>'Audit Report'!D252</f>
        <v>0</v>
      </c>
      <c r="J252">
        <f>'Audit Report'!H252</f>
        <v>0</v>
      </c>
      <c r="L252" t="str">
        <f>_xlfn.TEXTJOIN(", ", FALSE, 'Audit Report'!K252,'Audit Report'!L252,'Audit Report'!M252)</f>
        <v xml:space="preserve">, , </v>
      </c>
      <c r="M252">
        <f>'Audit Report'!O252</f>
        <v>0</v>
      </c>
      <c r="N252" t="str" cm="1">
        <f t="array" ref="N252">IF(M252="","",
_xlfn.TEXTJOIN(", ",TRUE,
    _xlfn.MAP(_xlfn.TEXTSPLIT(M252,","),_xlfn.LAMBDA(_xlpm.x,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2">
        <f>'Audit Report'!F252</f>
        <v>0</v>
      </c>
      <c r="S252">
        <f>'Audit Report'!Q252</f>
        <v>0</v>
      </c>
    </row>
    <row r="253" spans="4:19">
      <c r="D253">
        <f>'Audit Report'!B253</f>
        <v>0</v>
      </c>
      <c r="E253">
        <f>'Audit Report'!C253</f>
        <v>0</v>
      </c>
      <c r="I253">
        <f>'Audit Report'!D253</f>
        <v>0</v>
      </c>
      <c r="J253">
        <f>'Audit Report'!H253</f>
        <v>0</v>
      </c>
      <c r="L253" t="str">
        <f>_xlfn.TEXTJOIN(", ", FALSE, 'Audit Report'!K253,'Audit Report'!L253,'Audit Report'!M253)</f>
        <v xml:space="preserve">, , </v>
      </c>
      <c r="M253">
        <f>'Audit Report'!O253</f>
        <v>0</v>
      </c>
      <c r="N253" t="str" cm="1">
        <f t="array" ref="N253">IF(M253="","",
_xlfn.TEXTJOIN(", ",TRUE,
    _xlfn.MAP(_xlfn.TEXTSPLIT(M253,","),_xlfn.LAMBDA(_xlpm.x,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3">
        <f>'Audit Report'!F253</f>
        <v>0</v>
      </c>
      <c r="S253">
        <f>'Audit Report'!Q253</f>
        <v>0</v>
      </c>
    </row>
    <row r="254" spans="4:19">
      <c r="D254">
        <f>'Audit Report'!B254</f>
        <v>0</v>
      </c>
      <c r="E254">
        <f>'Audit Report'!C254</f>
        <v>0</v>
      </c>
      <c r="I254">
        <f>'Audit Report'!D254</f>
        <v>0</v>
      </c>
      <c r="J254">
        <f>'Audit Report'!H254</f>
        <v>0</v>
      </c>
      <c r="L254" t="str">
        <f>_xlfn.TEXTJOIN(", ", FALSE, 'Audit Report'!K254,'Audit Report'!L254,'Audit Report'!M254)</f>
        <v xml:space="preserve">, , </v>
      </c>
      <c r="M254">
        <f>'Audit Report'!O254</f>
        <v>0</v>
      </c>
      <c r="N254" t="str" cm="1">
        <f t="array" ref="N254">IF(M254="","",
_xlfn.TEXTJOIN(", ",TRUE,
    _xlfn.MAP(_xlfn.TEXTSPLIT(M254,","),_xlfn.LAMBDA(_xlpm.x,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4">
        <f>'Audit Report'!F254</f>
        <v>0</v>
      </c>
      <c r="S254">
        <f>'Audit Report'!Q254</f>
        <v>0</v>
      </c>
    </row>
    <row r="255" spans="4:19">
      <c r="D255">
        <f>'Audit Report'!B255</f>
        <v>0</v>
      </c>
      <c r="E255">
        <f>'Audit Report'!C255</f>
        <v>0</v>
      </c>
      <c r="I255">
        <f>'Audit Report'!D255</f>
        <v>0</v>
      </c>
      <c r="J255">
        <f>'Audit Report'!H255</f>
        <v>0</v>
      </c>
      <c r="L255" t="str">
        <f>_xlfn.TEXTJOIN(", ", FALSE, 'Audit Report'!K255,'Audit Report'!L255,'Audit Report'!M255)</f>
        <v xml:space="preserve">, , </v>
      </c>
      <c r="M255">
        <f>'Audit Report'!O255</f>
        <v>0</v>
      </c>
      <c r="N255" t="str" cm="1">
        <f t="array" ref="N255">IF(M255="","",
_xlfn.TEXTJOIN(", ",TRUE,
    _xlfn.MAP(_xlfn.TEXTSPLIT(M255,","),_xlfn.LAMBDA(_xlpm.x,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5">
        <f>'Audit Report'!F255</f>
        <v>0</v>
      </c>
      <c r="S255">
        <f>'Audit Report'!Q255</f>
        <v>0</v>
      </c>
    </row>
    <row r="256" spans="4:19">
      <c r="D256">
        <f>'Audit Report'!B256</f>
        <v>0</v>
      </c>
      <c r="E256">
        <f>'Audit Report'!C256</f>
        <v>0</v>
      </c>
      <c r="I256">
        <f>'Audit Report'!D256</f>
        <v>0</v>
      </c>
      <c r="J256">
        <f>'Audit Report'!H256</f>
        <v>0</v>
      </c>
      <c r="L256" t="str">
        <f>_xlfn.TEXTJOIN(", ", FALSE, 'Audit Report'!K256,'Audit Report'!L256,'Audit Report'!M256)</f>
        <v xml:space="preserve">, , </v>
      </c>
      <c r="M256">
        <f>'Audit Report'!O256</f>
        <v>0</v>
      </c>
      <c r="N256" t="str" cm="1">
        <f t="array" ref="N256">IF(M256="","",
_xlfn.TEXTJOIN(", ",TRUE,
    _xlfn.MAP(_xlfn.TEXTSPLIT(M256,","),_xlfn.LAMBDA(_xlpm.x,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6">
        <f>'Audit Report'!F256</f>
        <v>0</v>
      </c>
      <c r="S256">
        <f>'Audit Report'!Q256</f>
        <v>0</v>
      </c>
    </row>
    <row r="257" spans="4:19">
      <c r="D257">
        <f>'Audit Report'!B257</f>
        <v>0</v>
      </c>
      <c r="E257">
        <f>'Audit Report'!C257</f>
        <v>0</v>
      </c>
      <c r="I257">
        <f>'Audit Report'!D257</f>
        <v>0</v>
      </c>
      <c r="J257">
        <f>'Audit Report'!H257</f>
        <v>0</v>
      </c>
      <c r="L257" t="str">
        <f>_xlfn.TEXTJOIN(", ", FALSE, 'Audit Report'!K257,'Audit Report'!L257,'Audit Report'!M257)</f>
        <v xml:space="preserve">, , </v>
      </c>
      <c r="M257">
        <f>'Audit Report'!O257</f>
        <v>0</v>
      </c>
      <c r="N257" t="str" cm="1">
        <f t="array" ref="N257">IF(M257="","",
_xlfn.TEXTJOIN(", ",TRUE,
    _xlfn.MAP(_xlfn.TEXTSPLIT(M257,","),_xlfn.LAMBDA(_xlpm.x,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7">
        <f>'Audit Report'!F257</f>
        <v>0</v>
      </c>
      <c r="S257">
        <f>'Audit Report'!Q257</f>
        <v>0</v>
      </c>
    </row>
    <row r="258" spans="4:19">
      <c r="D258">
        <f>'Audit Report'!B258</f>
        <v>0</v>
      </c>
      <c r="E258">
        <f>'Audit Report'!C258</f>
        <v>0</v>
      </c>
      <c r="I258">
        <f>'Audit Report'!D258</f>
        <v>0</v>
      </c>
      <c r="J258">
        <f>'Audit Report'!H258</f>
        <v>0</v>
      </c>
      <c r="L258" t="str">
        <f>_xlfn.TEXTJOIN(", ", FALSE, 'Audit Report'!K258,'Audit Report'!L258,'Audit Report'!M258)</f>
        <v xml:space="preserve">, , </v>
      </c>
      <c r="M258">
        <f>'Audit Report'!O258</f>
        <v>0</v>
      </c>
      <c r="N258" t="str" cm="1">
        <f t="array" ref="N258">IF(M258="","",
_xlfn.TEXTJOIN(", ",TRUE,
    _xlfn.MAP(_xlfn.TEXTSPLIT(M258,","),_xlfn.LAMBDA(_xlpm.x,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8">
        <f>'Audit Report'!F258</f>
        <v>0</v>
      </c>
      <c r="S258">
        <f>'Audit Report'!Q258</f>
        <v>0</v>
      </c>
    </row>
    <row r="259" spans="4:19">
      <c r="D259">
        <f>'Audit Report'!B259</f>
        <v>0</v>
      </c>
      <c r="E259">
        <f>'Audit Report'!C259</f>
        <v>0</v>
      </c>
      <c r="I259">
        <f>'Audit Report'!D259</f>
        <v>0</v>
      </c>
      <c r="J259">
        <f>'Audit Report'!H259</f>
        <v>0</v>
      </c>
      <c r="L259" t="str">
        <f>_xlfn.TEXTJOIN(", ", FALSE, 'Audit Report'!K259,'Audit Report'!L259,'Audit Report'!M259)</f>
        <v xml:space="preserve">, , </v>
      </c>
      <c r="M259">
        <f>'Audit Report'!O259</f>
        <v>0</v>
      </c>
      <c r="N259" t="str" cm="1">
        <f t="array" ref="N259">IF(M259="","",
_xlfn.TEXTJOIN(", ",TRUE,
    _xlfn.MAP(_xlfn.TEXTSPLIT(M259,","),_xlfn.LAMBDA(_xlpm.x,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9">
        <f>'Audit Report'!F259</f>
        <v>0</v>
      </c>
      <c r="S259">
        <f>'Audit Report'!Q259</f>
        <v>0</v>
      </c>
    </row>
    <row r="260" spans="4:19">
      <c r="D260">
        <f>'Audit Report'!B260</f>
        <v>0</v>
      </c>
      <c r="E260">
        <f>'Audit Report'!C260</f>
        <v>0</v>
      </c>
      <c r="I260">
        <f>'Audit Report'!D260</f>
        <v>0</v>
      </c>
      <c r="J260">
        <f>'Audit Report'!H260</f>
        <v>0</v>
      </c>
      <c r="L260" t="str">
        <f>_xlfn.TEXTJOIN(", ", FALSE, 'Audit Report'!K260,'Audit Report'!L260,'Audit Report'!M260)</f>
        <v xml:space="preserve">, , </v>
      </c>
      <c r="M260">
        <f>'Audit Report'!O260</f>
        <v>0</v>
      </c>
      <c r="N260" t="str" cm="1">
        <f t="array" ref="N260">IF(M260="","",
_xlfn.TEXTJOIN(", ",TRUE,
    _xlfn.MAP(_xlfn.TEXTSPLIT(M260,","),_xlfn.LAMBDA(_xlpm.x,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0">
        <f>'Audit Report'!F260</f>
        <v>0</v>
      </c>
      <c r="S260">
        <f>'Audit Report'!Q260</f>
        <v>0</v>
      </c>
    </row>
    <row r="261" spans="4:19">
      <c r="D261">
        <f>'Audit Report'!B261</f>
        <v>0</v>
      </c>
      <c r="E261">
        <f>'Audit Report'!C261</f>
        <v>0</v>
      </c>
      <c r="I261">
        <f>'Audit Report'!D261</f>
        <v>0</v>
      </c>
      <c r="J261">
        <f>'Audit Report'!H261</f>
        <v>0</v>
      </c>
      <c r="L261" t="str">
        <f>_xlfn.TEXTJOIN(", ", FALSE, 'Audit Report'!K261,'Audit Report'!L261,'Audit Report'!M261)</f>
        <v xml:space="preserve">, , </v>
      </c>
      <c r="M261">
        <f>'Audit Report'!O261</f>
        <v>0</v>
      </c>
      <c r="N261" t="str" cm="1">
        <f t="array" ref="N261">IF(M261="","",
_xlfn.TEXTJOIN(", ",TRUE,
    _xlfn.MAP(_xlfn.TEXTSPLIT(M261,","),_xlfn.LAMBDA(_xlpm.x,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1">
        <f>'Audit Report'!F261</f>
        <v>0</v>
      </c>
      <c r="S261">
        <f>'Audit Report'!Q261</f>
        <v>0</v>
      </c>
    </row>
    <row r="262" spans="4:19">
      <c r="D262">
        <f>'Audit Report'!B262</f>
        <v>0</v>
      </c>
      <c r="E262">
        <f>'Audit Report'!C262</f>
        <v>0</v>
      </c>
      <c r="I262">
        <f>'Audit Report'!D262</f>
        <v>0</v>
      </c>
      <c r="J262">
        <f>'Audit Report'!H262</f>
        <v>0</v>
      </c>
      <c r="L262" t="str">
        <f>_xlfn.TEXTJOIN(", ", FALSE, 'Audit Report'!K262,'Audit Report'!L262,'Audit Report'!M262)</f>
        <v xml:space="preserve">, , </v>
      </c>
      <c r="M262">
        <f>'Audit Report'!O262</f>
        <v>0</v>
      </c>
      <c r="N262" t="str" cm="1">
        <f t="array" ref="N262">IF(M262="","",
_xlfn.TEXTJOIN(", ",TRUE,
    _xlfn.MAP(_xlfn.TEXTSPLIT(M262,","),_xlfn.LAMBDA(_xlpm.x,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2">
        <f>'Audit Report'!F262</f>
        <v>0</v>
      </c>
      <c r="S262">
        <f>'Audit Report'!Q262</f>
        <v>0</v>
      </c>
    </row>
    <row r="263" spans="4:19">
      <c r="D263">
        <f>'Audit Report'!B263</f>
        <v>0</v>
      </c>
      <c r="E263">
        <f>'Audit Report'!C263</f>
        <v>0</v>
      </c>
      <c r="I263">
        <f>'Audit Report'!D263</f>
        <v>0</v>
      </c>
      <c r="J263">
        <f>'Audit Report'!H263</f>
        <v>0</v>
      </c>
      <c r="L263" t="str">
        <f>_xlfn.TEXTJOIN(", ", FALSE, 'Audit Report'!K263,'Audit Report'!L263,'Audit Report'!M263)</f>
        <v xml:space="preserve">, , </v>
      </c>
      <c r="M263">
        <f>'Audit Report'!O263</f>
        <v>0</v>
      </c>
      <c r="N263" t="str" cm="1">
        <f t="array" ref="N263">IF(M263="","",
_xlfn.TEXTJOIN(", ",TRUE,
    _xlfn.MAP(_xlfn.TEXTSPLIT(M263,","),_xlfn.LAMBDA(_xlpm.x,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3">
        <f>'Audit Report'!F263</f>
        <v>0</v>
      </c>
      <c r="S263">
        <f>'Audit Report'!Q263</f>
        <v>0</v>
      </c>
    </row>
    <row r="264" spans="4:19">
      <c r="D264">
        <f>'Audit Report'!B264</f>
        <v>0</v>
      </c>
      <c r="E264">
        <f>'Audit Report'!C264</f>
        <v>0</v>
      </c>
      <c r="I264">
        <f>'Audit Report'!D264</f>
        <v>0</v>
      </c>
      <c r="J264">
        <f>'Audit Report'!H264</f>
        <v>0</v>
      </c>
      <c r="L264" t="str">
        <f>_xlfn.TEXTJOIN(", ", FALSE, 'Audit Report'!K264,'Audit Report'!L264,'Audit Report'!M264)</f>
        <v xml:space="preserve">, , </v>
      </c>
      <c r="M264">
        <f>'Audit Report'!O264</f>
        <v>0</v>
      </c>
      <c r="N264" t="str" cm="1">
        <f t="array" ref="N264">IF(M264="","",
_xlfn.TEXTJOIN(", ",TRUE,
    _xlfn.MAP(_xlfn.TEXTSPLIT(M264,","),_xlfn.LAMBDA(_xlpm.x,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4">
        <f>'Audit Report'!F264</f>
        <v>0</v>
      </c>
      <c r="S264">
        <f>'Audit Report'!Q264</f>
        <v>0</v>
      </c>
    </row>
    <row r="265" spans="4:19">
      <c r="D265">
        <f>'Audit Report'!B265</f>
        <v>0</v>
      </c>
      <c r="E265">
        <f>'Audit Report'!C265</f>
        <v>0</v>
      </c>
      <c r="I265">
        <f>'Audit Report'!D265</f>
        <v>0</v>
      </c>
      <c r="J265">
        <f>'Audit Report'!H265</f>
        <v>0</v>
      </c>
      <c r="L265" t="str">
        <f>_xlfn.TEXTJOIN(", ", FALSE, 'Audit Report'!K265,'Audit Report'!L265,'Audit Report'!M265)</f>
        <v xml:space="preserve">, , </v>
      </c>
      <c r="M265">
        <f>'Audit Report'!O265</f>
        <v>0</v>
      </c>
      <c r="N265" t="str" cm="1">
        <f t="array" ref="N265">IF(M265="","",
_xlfn.TEXTJOIN(", ",TRUE,
    _xlfn.MAP(_xlfn.TEXTSPLIT(M265,","),_xlfn.LAMBDA(_xlpm.x,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5">
        <f>'Audit Report'!F265</f>
        <v>0</v>
      </c>
      <c r="S265">
        <f>'Audit Report'!Q265</f>
        <v>0</v>
      </c>
    </row>
    <row r="266" spans="4:19">
      <c r="D266">
        <f>'Audit Report'!B266</f>
        <v>0</v>
      </c>
      <c r="E266">
        <f>'Audit Report'!C266</f>
        <v>0</v>
      </c>
      <c r="I266">
        <f>'Audit Report'!D266</f>
        <v>0</v>
      </c>
      <c r="J266">
        <f>'Audit Report'!H266</f>
        <v>0</v>
      </c>
      <c r="L266" t="str">
        <f>_xlfn.TEXTJOIN(", ", FALSE, 'Audit Report'!K266,'Audit Report'!L266,'Audit Report'!M266)</f>
        <v xml:space="preserve">, , </v>
      </c>
      <c r="M266">
        <f>'Audit Report'!O266</f>
        <v>0</v>
      </c>
      <c r="N266" t="str" cm="1">
        <f t="array" ref="N266">IF(M266="","",
_xlfn.TEXTJOIN(", ",TRUE,
    _xlfn.MAP(_xlfn.TEXTSPLIT(M266,","),_xlfn.LAMBDA(_xlpm.x,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6">
        <f>'Audit Report'!F266</f>
        <v>0</v>
      </c>
      <c r="S266">
        <f>'Audit Report'!Q266</f>
        <v>0</v>
      </c>
    </row>
    <row r="267" spans="4:19">
      <c r="D267">
        <f>'Audit Report'!B267</f>
        <v>0</v>
      </c>
      <c r="E267">
        <f>'Audit Report'!C267</f>
        <v>0</v>
      </c>
      <c r="I267">
        <f>'Audit Report'!D267</f>
        <v>0</v>
      </c>
      <c r="J267">
        <f>'Audit Report'!H267</f>
        <v>0</v>
      </c>
      <c r="L267" t="str">
        <f>_xlfn.TEXTJOIN(", ", FALSE, 'Audit Report'!K267,'Audit Report'!L267,'Audit Report'!M267)</f>
        <v xml:space="preserve">, , </v>
      </c>
      <c r="M267">
        <f>'Audit Report'!O267</f>
        <v>0</v>
      </c>
      <c r="N267" t="str" cm="1">
        <f t="array" ref="N267">IF(M267="","",
_xlfn.TEXTJOIN(", ",TRUE,
    _xlfn.MAP(_xlfn.TEXTSPLIT(M267,","),_xlfn.LAMBDA(_xlpm.x,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7">
        <f>'Audit Report'!F267</f>
        <v>0</v>
      </c>
      <c r="S267">
        <f>'Audit Report'!Q267</f>
        <v>0</v>
      </c>
    </row>
    <row r="268" spans="4:19">
      <c r="D268">
        <f>'Audit Report'!B268</f>
        <v>0</v>
      </c>
      <c r="E268">
        <f>'Audit Report'!C268</f>
        <v>0</v>
      </c>
      <c r="I268">
        <f>'Audit Report'!D268</f>
        <v>0</v>
      </c>
      <c r="J268">
        <f>'Audit Report'!H268</f>
        <v>0</v>
      </c>
      <c r="L268" t="str">
        <f>_xlfn.TEXTJOIN(", ", FALSE, 'Audit Report'!K268,'Audit Report'!L268,'Audit Report'!M268)</f>
        <v xml:space="preserve">, , </v>
      </c>
      <c r="M268">
        <f>'Audit Report'!O268</f>
        <v>0</v>
      </c>
      <c r="N268" t="str" cm="1">
        <f t="array" ref="N268">IF(M268="","",
_xlfn.TEXTJOIN(", ",TRUE,
    _xlfn.MAP(_xlfn.TEXTSPLIT(M268,","),_xlfn.LAMBDA(_xlpm.x,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8">
        <f>'Audit Report'!F268</f>
        <v>0</v>
      </c>
      <c r="S268">
        <f>'Audit Report'!Q268</f>
        <v>0</v>
      </c>
    </row>
    <row r="269" spans="4:19">
      <c r="D269">
        <f>'Audit Report'!B269</f>
        <v>0</v>
      </c>
      <c r="E269">
        <f>'Audit Report'!C269</f>
        <v>0</v>
      </c>
      <c r="I269">
        <f>'Audit Report'!D269</f>
        <v>0</v>
      </c>
      <c r="J269">
        <f>'Audit Report'!H269</f>
        <v>0</v>
      </c>
      <c r="L269" t="str">
        <f>_xlfn.TEXTJOIN(", ", FALSE, 'Audit Report'!K269,'Audit Report'!L269,'Audit Report'!M269)</f>
        <v xml:space="preserve">, , </v>
      </c>
      <c r="M269">
        <f>'Audit Report'!O269</f>
        <v>0</v>
      </c>
      <c r="N269" t="str" cm="1">
        <f t="array" ref="N269">IF(M269="","",
_xlfn.TEXTJOIN(", ",TRUE,
    _xlfn.MAP(_xlfn.TEXTSPLIT(M269,","),_xlfn.LAMBDA(_xlpm.x,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9">
        <f>'Audit Report'!F269</f>
        <v>0</v>
      </c>
      <c r="S269">
        <f>'Audit Report'!Q269</f>
        <v>0</v>
      </c>
    </row>
    <row r="270" spans="4:19">
      <c r="D270">
        <f>'Audit Report'!B270</f>
        <v>0</v>
      </c>
      <c r="E270">
        <f>'Audit Report'!C270</f>
        <v>0</v>
      </c>
      <c r="I270">
        <f>'Audit Report'!D270</f>
        <v>0</v>
      </c>
      <c r="J270">
        <f>'Audit Report'!H270</f>
        <v>0</v>
      </c>
      <c r="L270" t="str">
        <f>_xlfn.TEXTJOIN(", ", FALSE, 'Audit Report'!K270,'Audit Report'!L270,'Audit Report'!M270)</f>
        <v xml:space="preserve">, , </v>
      </c>
      <c r="M270">
        <f>'Audit Report'!O270</f>
        <v>0</v>
      </c>
      <c r="N270" t="str" cm="1">
        <f t="array" ref="N270">IF(M270="","",
_xlfn.TEXTJOIN(", ",TRUE,
    _xlfn.MAP(_xlfn.TEXTSPLIT(M270,","),_xlfn.LAMBDA(_xlpm.x,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0">
        <f>'Audit Report'!F270</f>
        <v>0</v>
      </c>
      <c r="S270">
        <f>'Audit Report'!Q270</f>
        <v>0</v>
      </c>
    </row>
    <row r="271" spans="4:19">
      <c r="D271">
        <f>'Audit Report'!B271</f>
        <v>0</v>
      </c>
      <c r="E271">
        <f>'Audit Report'!C271</f>
        <v>0</v>
      </c>
      <c r="I271">
        <f>'Audit Report'!D271</f>
        <v>0</v>
      </c>
      <c r="J271">
        <f>'Audit Report'!H271</f>
        <v>0</v>
      </c>
      <c r="L271" t="str">
        <f>_xlfn.TEXTJOIN(", ", FALSE, 'Audit Report'!K271,'Audit Report'!L271,'Audit Report'!M271)</f>
        <v xml:space="preserve">, , </v>
      </c>
      <c r="M271">
        <f>'Audit Report'!O271</f>
        <v>0</v>
      </c>
      <c r="N271" t="str" cm="1">
        <f t="array" ref="N271">IF(M271="","",
_xlfn.TEXTJOIN(", ",TRUE,
    _xlfn.MAP(_xlfn.TEXTSPLIT(M271,","),_xlfn.LAMBDA(_xlpm.x,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1">
        <f>'Audit Report'!F271</f>
        <v>0</v>
      </c>
      <c r="S271">
        <f>'Audit Report'!Q271</f>
        <v>0</v>
      </c>
    </row>
    <row r="272" spans="4:19">
      <c r="D272">
        <f>'Audit Report'!B272</f>
        <v>0</v>
      </c>
      <c r="E272">
        <f>'Audit Report'!C272</f>
        <v>0</v>
      </c>
      <c r="I272">
        <f>'Audit Report'!D272</f>
        <v>0</v>
      </c>
      <c r="J272">
        <f>'Audit Report'!H272</f>
        <v>0</v>
      </c>
      <c r="L272" t="str">
        <f>_xlfn.TEXTJOIN(", ", FALSE, 'Audit Report'!K272,'Audit Report'!L272,'Audit Report'!M272)</f>
        <v xml:space="preserve">, , </v>
      </c>
      <c r="M272">
        <f>'Audit Report'!O272</f>
        <v>0</v>
      </c>
      <c r="N272" t="str" cm="1">
        <f t="array" ref="N272">IF(M272="","",
_xlfn.TEXTJOIN(", ",TRUE,
    _xlfn.MAP(_xlfn.TEXTSPLIT(M272,","),_xlfn.LAMBDA(_xlpm.x,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2">
        <f>'Audit Report'!F272</f>
        <v>0</v>
      </c>
      <c r="S272">
        <f>'Audit Report'!Q272</f>
        <v>0</v>
      </c>
    </row>
    <row r="273" spans="4:19">
      <c r="D273">
        <f>'Audit Report'!B273</f>
        <v>0</v>
      </c>
      <c r="E273">
        <f>'Audit Report'!C273</f>
        <v>0</v>
      </c>
      <c r="I273">
        <f>'Audit Report'!D273</f>
        <v>0</v>
      </c>
      <c r="J273">
        <f>'Audit Report'!H273</f>
        <v>0</v>
      </c>
      <c r="L273" t="str">
        <f>_xlfn.TEXTJOIN(", ", FALSE, 'Audit Report'!K273,'Audit Report'!L273,'Audit Report'!M273)</f>
        <v xml:space="preserve">, , </v>
      </c>
      <c r="M273">
        <f>'Audit Report'!O273</f>
        <v>0</v>
      </c>
      <c r="N273" t="str" cm="1">
        <f t="array" ref="N273">IF(M273="","",
_xlfn.TEXTJOIN(", ",TRUE,
    _xlfn.MAP(_xlfn.TEXTSPLIT(M273,","),_xlfn.LAMBDA(_xlpm.x,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3">
        <f>'Audit Report'!F273</f>
        <v>0</v>
      </c>
      <c r="S273">
        <f>'Audit Report'!Q273</f>
        <v>0</v>
      </c>
    </row>
    <row r="274" spans="4:19">
      <c r="D274">
        <f>'Audit Report'!B274</f>
        <v>0</v>
      </c>
      <c r="E274">
        <f>'Audit Report'!C274</f>
        <v>0</v>
      </c>
      <c r="I274">
        <f>'Audit Report'!D274</f>
        <v>0</v>
      </c>
      <c r="J274">
        <f>'Audit Report'!H274</f>
        <v>0</v>
      </c>
      <c r="L274" t="str">
        <f>_xlfn.TEXTJOIN(", ", FALSE, 'Audit Report'!K274,'Audit Report'!L274,'Audit Report'!M274)</f>
        <v xml:space="preserve">, , </v>
      </c>
      <c r="M274">
        <f>'Audit Report'!O274</f>
        <v>0</v>
      </c>
      <c r="N274" t="str" cm="1">
        <f t="array" ref="N274">IF(M274="","",
_xlfn.TEXTJOIN(", ",TRUE,
    _xlfn.MAP(_xlfn.TEXTSPLIT(M274,","),_xlfn.LAMBDA(_xlpm.x,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4">
        <f>'Audit Report'!F274</f>
        <v>0</v>
      </c>
      <c r="S274">
        <f>'Audit Report'!Q274</f>
        <v>0</v>
      </c>
    </row>
    <row r="275" spans="4:19">
      <c r="D275">
        <f>'Audit Report'!B275</f>
        <v>0</v>
      </c>
      <c r="E275">
        <f>'Audit Report'!C275</f>
        <v>0</v>
      </c>
      <c r="I275">
        <f>'Audit Report'!D275</f>
        <v>0</v>
      </c>
      <c r="J275">
        <f>'Audit Report'!H275</f>
        <v>0</v>
      </c>
      <c r="L275" t="str">
        <f>_xlfn.TEXTJOIN(", ", FALSE, 'Audit Report'!K275,'Audit Report'!L275,'Audit Report'!M275)</f>
        <v xml:space="preserve">, , </v>
      </c>
      <c r="M275">
        <f>'Audit Report'!O275</f>
        <v>0</v>
      </c>
      <c r="N275" t="str" cm="1">
        <f t="array" ref="N275">IF(M275="","",
_xlfn.TEXTJOIN(", ",TRUE,
    _xlfn.MAP(_xlfn.TEXTSPLIT(M275,","),_xlfn.LAMBDA(_xlpm.x,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5">
        <f>'Audit Report'!F275</f>
        <v>0</v>
      </c>
      <c r="S275">
        <f>'Audit Report'!Q275</f>
        <v>0</v>
      </c>
    </row>
    <row r="276" spans="4:19">
      <c r="D276">
        <f>'Audit Report'!B276</f>
        <v>0</v>
      </c>
      <c r="E276">
        <f>'Audit Report'!C276</f>
        <v>0</v>
      </c>
      <c r="I276">
        <f>'Audit Report'!D276</f>
        <v>0</v>
      </c>
      <c r="J276">
        <f>'Audit Report'!H276</f>
        <v>0</v>
      </c>
      <c r="L276" t="str">
        <f>_xlfn.TEXTJOIN(", ", FALSE, 'Audit Report'!K276,'Audit Report'!L276,'Audit Report'!M276)</f>
        <v xml:space="preserve">, , </v>
      </c>
      <c r="M276">
        <f>'Audit Report'!O276</f>
        <v>0</v>
      </c>
      <c r="N276" t="str" cm="1">
        <f t="array" ref="N276">IF(M276="","",
_xlfn.TEXTJOIN(", ",TRUE,
    _xlfn.MAP(_xlfn.TEXTSPLIT(M276,","),_xlfn.LAMBDA(_xlpm.x,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6">
        <f>'Audit Report'!F276</f>
        <v>0</v>
      </c>
      <c r="S276">
        <f>'Audit Report'!Q276</f>
        <v>0</v>
      </c>
    </row>
    <row r="277" spans="4:19">
      <c r="D277">
        <f>'Audit Report'!B277</f>
        <v>0</v>
      </c>
      <c r="E277">
        <f>'Audit Report'!C277</f>
        <v>0</v>
      </c>
      <c r="I277">
        <f>'Audit Report'!D277</f>
        <v>0</v>
      </c>
      <c r="J277">
        <f>'Audit Report'!H277</f>
        <v>0</v>
      </c>
      <c r="L277" t="str">
        <f>_xlfn.TEXTJOIN(", ", FALSE, 'Audit Report'!K277,'Audit Report'!L277,'Audit Report'!M277)</f>
        <v xml:space="preserve">, , </v>
      </c>
      <c r="M277">
        <f>'Audit Report'!O277</f>
        <v>0</v>
      </c>
      <c r="N277" t="str" cm="1">
        <f t="array" ref="N277">IF(M277="","",
_xlfn.TEXTJOIN(", ",TRUE,
    _xlfn.MAP(_xlfn.TEXTSPLIT(M277,","),_xlfn.LAMBDA(_xlpm.x,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7">
        <f>'Audit Report'!F277</f>
        <v>0</v>
      </c>
      <c r="S277">
        <f>'Audit Report'!Q277</f>
        <v>0</v>
      </c>
    </row>
    <row r="278" spans="4:19">
      <c r="D278">
        <f>'Audit Report'!B278</f>
        <v>0</v>
      </c>
      <c r="E278">
        <f>'Audit Report'!C278</f>
        <v>0</v>
      </c>
      <c r="I278">
        <f>'Audit Report'!D278</f>
        <v>0</v>
      </c>
      <c r="J278">
        <f>'Audit Report'!H278</f>
        <v>0</v>
      </c>
      <c r="L278" t="str">
        <f>_xlfn.TEXTJOIN(", ", FALSE, 'Audit Report'!K278,'Audit Report'!L278,'Audit Report'!M278)</f>
        <v xml:space="preserve">, , </v>
      </c>
      <c r="M278">
        <f>'Audit Report'!O278</f>
        <v>0</v>
      </c>
      <c r="N278" t="str" cm="1">
        <f t="array" ref="N278">IF(M278="","",
_xlfn.TEXTJOIN(", ",TRUE,
    _xlfn.MAP(_xlfn.TEXTSPLIT(M278,","),_xlfn.LAMBDA(_xlpm.x,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8">
        <f>'Audit Report'!F278</f>
        <v>0</v>
      </c>
      <c r="S278">
        <f>'Audit Report'!Q278</f>
        <v>0</v>
      </c>
    </row>
    <row r="279" spans="4:19">
      <c r="D279">
        <f>'Audit Report'!B279</f>
        <v>0</v>
      </c>
      <c r="E279">
        <f>'Audit Report'!C279</f>
        <v>0</v>
      </c>
      <c r="I279">
        <f>'Audit Report'!D279</f>
        <v>0</v>
      </c>
      <c r="J279">
        <f>'Audit Report'!H279</f>
        <v>0</v>
      </c>
      <c r="L279" t="str">
        <f>_xlfn.TEXTJOIN(", ", FALSE, 'Audit Report'!K279,'Audit Report'!L279,'Audit Report'!M279)</f>
        <v xml:space="preserve">, , </v>
      </c>
      <c r="M279">
        <f>'Audit Report'!O279</f>
        <v>0</v>
      </c>
      <c r="N279" t="str" cm="1">
        <f t="array" ref="N279">IF(M279="","",
_xlfn.TEXTJOIN(", ",TRUE,
    _xlfn.MAP(_xlfn.TEXTSPLIT(M279,","),_xlfn.LAMBDA(_xlpm.x,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9">
        <f>'Audit Report'!F279</f>
        <v>0</v>
      </c>
      <c r="S279">
        <f>'Audit Report'!Q279</f>
        <v>0</v>
      </c>
    </row>
    <row r="280" spans="4:19">
      <c r="D280">
        <f>'Audit Report'!B280</f>
        <v>0</v>
      </c>
      <c r="E280">
        <f>'Audit Report'!C280</f>
        <v>0</v>
      </c>
      <c r="I280">
        <f>'Audit Report'!D280</f>
        <v>0</v>
      </c>
      <c r="J280">
        <f>'Audit Report'!H280</f>
        <v>0</v>
      </c>
      <c r="L280" t="str">
        <f>_xlfn.TEXTJOIN(", ", FALSE, 'Audit Report'!K280,'Audit Report'!L280,'Audit Report'!M280)</f>
        <v xml:space="preserve">, , </v>
      </c>
      <c r="M280">
        <f>'Audit Report'!O280</f>
        <v>0</v>
      </c>
      <c r="N280" t="str" cm="1">
        <f t="array" ref="N280">IF(M280="","",
_xlfn.TEXTJOIN(", ",TRUE,
    _xlfn.MAP(_xlfn.TEXTSPLIT(M280,","),_xlfn.LAMBDA(_xlpm.x,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0">
        <f>'Audit Report'!F280</f>
        <v>0</v>
      </c>
      <c r="S280">
        <f>'Audit Report'!Q280</f>
        <v>0</v>
      </c>
    </row>
    <row r="281" spans="4:19">
      <c r="D281">
        <f>'Audit Report'!B281</f>
        <v>0</v>
      </c>
      <c r="E281">
        <f>'Audit Report'!C281</f>
        <v>0</v>
      </c>
      <c r="I281">
        <f>'Audit Report'!D281</f>
        <v>0</v>
      </c>
      <c r="J281">
        <f>'Audit Report'!H281</f>
        <v>0</v>
      </c>
      <c r="L281" t="str">
        <f>_xlfn.TEXTJOIN(", ", FALSE, 'Audit Report'!K281,'Audit Report'!L281,'Audit Report'!M281)</f>
        <v xml:space="preserve">, , </v>
      </c>
      <c r="M281">
        <f>'Audit Report'!O281</f>
        <v>0</v>
      </c>
      <c r="N281" t="str" cm="1">
        <f t="array" ref="N281">IF(M281="","",
_xlfn.TEXTJOIN(", ",TRUE,
    _xlfn.MAP(_xlfn.TEXTSPLIT(M281,","),_xlfn.LAMBDA(_xlpm.x,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1">
        <f>'Audit Report'!F281</f>
        <v>0</v>
      </c>
      <c r="S281">
        <f>'Audit Report'!Q281</f>
        <v>0</v>
      </c>
    </row>
    <row r="282" spans="4:19">
      <c r="D282">
        <f>'Audit Report'!B282</f>
        <v>0</v>
      </c>
      <c r="E282">
        <f>'Audit Report'!C282</f>
        <v>0</v>
      </c>
      <c r="I282">
        <f>'Audit Report'!D282</f>
        <v>0</v>
      </c>
      <c r="J282">
        <f>'Audit Report'!H282</f>
        <v>0</v>
      </c>
      <c r="L282" t="str">
        <f>_xlfn.TEXTJOIN(", ", FALSE, 'Audit Report'!K282,'Audit Report'!L282,'Audit Report'!M282)</f>
        <v xml:space="preserve">, , </v>
      </c>
      <c r="M282">
        <f>'Audit Report'!O282</f>
        <v>0</v>
      </c>
      <c r="N282" t="str" cm="1">
        <f t="array" ref="N282">IF(M282="","",
_xlfn.TEXTJOIN(", ",TRUE,
    _xlfn.MAP(_xlfn.TEXTSPLIT(M282,","),_xlfn.LAMBDA(_xlpm.x,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2">
        <f>'Audit Report'!F282</f>
        <v>0</v>
      </c>
      <c r="S282">
        <f>'Audit Report'!Q282</f>
        <v>0</v>
      </c>
    </row>
    <row r="283" spans="4:19">
      <c r="D283">
        <f>'Audit Report'!B283</f>
        <v>0</v>
      </c>
      <c r="E283">
        <f>'Audit Report'!C283</f>
        <v>0</v>
      </c>
      <c r="I283">
        <f>'Audit Report'!D283</f>
        <v>0</v>
      </c>
      <c r="J283">
        <f>'Audit Report'!H283</f>
        <v>0</v>
      </c>
      <c r="L283" t="str">
        <f>_xlfn.TEXTJOIN(", ", FALSE, 'Audit Report'!K283,'Audit Report'!L283,'Audit Report'!M283)</f>
        <v xml:space="preserve">, , </v>
      </c>
      <c r="M283">
        <f>'Audit Report'!O283</f>
        <v>0</v>
      </c>
      <c r="N283" t="str" cm="1">
        <f t="array" ref="N283">IF(M283="","",
_xlfn.TEXTJOIN(", ",TRUE,
    _xlfn.MAP(_xlfn.TEXTSPLIT(M283,","),_xlfn.LAMBDA(_xlpm.x,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3">
        <f>'Audit Report'!F283</f>
        <v>0</v>
      </c>
      <c r="S283">
        <f>'Audit Report'!Q283</f>
        <v>0</v>
      </c>
    </row>
    <row r="284" spans="4:19">
      <c r="D284">
        <f>'Audit Report'!B284</f>
        <v>0</v>
      </c>
      <c r="E284">
        <f>'Audit Report'!C284</f>
        <v>0</v>
      </c>
      <c r="I284">
        <f>'Audit Report'!D284</f>
        <v>0</v>
      </c>
      <c r="J284">
        <f>'Audit Report'!H284</f>
        <v>0</v>
      </c>
      <c r="L284" t="str">
        <f>_xlfn.TEXTJOIN(", ", FALSE, 'Audit Report'!K284,'Audit Report'!L284,'Audit Report'!M284)</f>
        <v xml:space="preserve">, , </v>
      </c>
      <c r="M284">
        <f>'Audit Report'!O284</f>
        <v>0</v>
      </c>
      <c r="N284" t="str" cm="1">
        <f t="array" ref="N284">IF(M284="","",
_xlfn.TEXTJOIN(", ",TRUE,
    _xlfn.MAP(_xlfn.TEXTSPLIT(M284,","),_xlfn.LAMBDA(_xlpm.x,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4">
        <f>'Audit Report'!F284</f>
        <v>0</v>
      </c>
      <c r="S284">
        <f>'Audit Report'!Q284</f>
        <v>0</v>
      </c>
    </row>
    <row r="285" spans="4:19">
      <c r="D285">
        <f>'Audit Report'!B285</f>
        <v>0</v>
      </c>
      <c r="E285">
        <f>'Audit Report'!C285</f>
        <v>0</v>
      </c>
      <c r="I285">
        <f>'Audit Report'!D285</f>
        <v>0</v>
      </c>
      <c r="J285">
        <f>'Audit Report'!H285</f>
        <v>0</v>
      </c>
      <c r="L285" t="str">
        <f>_xlfn.TEXTJOIN(", ", FALSE, 'Audit Report'!K285,'Audit Report'!L285,'Audit Report'!M285)</f>
        <v xml:space="preserve">, , </v>
      </c>
      <c r="M285">
        <f>'Audit Report'!O285</f>
        <v>0</v>
      </c>
      <c r="N285" t="str" cm="1">
        <f t="array" ref="N285">IF(M285="","",
_xlfn.TEXTJOIN(", ",TRUE,
    _xlfn.MAP(_xlfn.TEXTSPLIT(M285,","),_xlfn.LAMBDA(_xlpm.x,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5">
        <f>'Audit Report'!F285</f>
        <v>0</v>
      </c>
      <c r="S285">
        <f>'Audit Report'!Q285</f>
        <v>0</v>
      </c>
    </row>
    <row r="286" spans="4:19">
      <c r="D286">
        <f>'Audit Report'!B286</f>
        <v>0</v>
      </c>
      <c r="E286">
        <f>'Audit Report'!C286</f>
        <v>0</v>
      </c>
      <c r="I286">
        <f>'Audit Report'!D286</f>
        <v>0</v>
      </c>
      <c r="J286">
        <f>'Audit Report'!H286</f>
        <v>0</v>
      </c>
      <c r="L286" t="str">
        <f>_xlfn.TEXTJOIN(", ", FALSE, 'Audit Report'!K286,'Audit Report'!L286,'Audit Report'!M286)</f>
        <v xml:space="preserve">, , </v>
      </c>
      <c r="M286">
        <f>'Audit Report'!O286</f>
        <v>0</v>
      </c>
      <c r="N286" t="str" cm="1">
        <f t="array" ref="N286">IF(M286="","",
_xlfn.TEXTJOIN(", ",TRUE,
    _xlfn.MAP(_xlfn.TEXTSPLIT(M286,","),_xlfn.LAMBDA(_xlpm.x,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6">
        <f>'Audit Report'!F286</f>
        <v>0</v>
      </c>
      <c r="S286">
        <f>'Audit Report'!Q286</f>
        <v>0</v>
      </c>
    </row>
    <row r="287" spans="4:19">
      <c r="D287">
        <f>'Audit Report'!B287</f>
        <v>0</v>
      </c>
      <c r="E287">
        <f>'Audit Report'!C287</f>
        <v>0</v>
      </c>
      <c r="I287">
        <f>'Audit Report'!D287</f>
        <v>0</v>
      </c>
      <c r="J287">
        <f>'Audit Report'!H287</f>
        <v>0</v>
      </c>
      <c r="L287" t="str">
        <f>_xlfn.TEXTJOIN(", ", FALSE, 'Audit Report'!K287,'Audit Report'!L287,'Audit Report'!M287)</f>
        <v xml:space="preserve">, , </v>
      </c>
      <c r="M287">
        <f>'Audit Report'!O287</f>
        <v>0</v>
      </c>
      <c r="N287" t="str" cm="1">
        <f t="array" ref="N287">IF(M287="","",
_xlfn.TEXTJOIN(", ",TRUE,
    _xlfn.MAP(_xlfn.TEXTSPLIT(M287,","),_xlfn.LAMBDA(_xlpm.x,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7">
        <f>'Audit Report'!F287</f>
        <v>0</v>
      </c>
      <c r="S287">
        <f>'Audit Report'!Q287</f>
        <v>0</v>
      </c>
    </row>
    <row r="288" spans="4:19">
      <c r="D288">
        <f>'Audit Report'!B288</f>
        <v>0</v>
      </c>
      <c r="E288">
        <f>'Audit Report'!C288</f>
        <v>0</v>
      </c>
      <c r="I288">
        <f>'Audit Report'!D288</f>
        <v>0</v>
      </c>
      <c r="J288">
        <f>'Audit Report'!H288</f>
        <v>0</v>
      </c>
      <c r="L288" t="str">
        <f>_xlfn.TEXTJOIN(", ", FALSE, 'Audit Report'!K288,'Audit Report'!L288,'Audit Report'!M288)</f>
        <v xml:space="preserve">, , </v>
      </c>
      <c r="M288">
        <f>'Audit Report'!O288</f>
        <v>0</v>
      </c>
      <c r="N288" t="str" cm="1">
        <f t="array" ref="N288">IF(M288="","",
_xlfn.TEXTJOIN(", ",TRUE,
    _xlfn.MAP(_xlfn.TEXTSPLIT(M288,","),_xlfn.LAMBDA(_xlpm.x,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8">
        <f>'Audit Report'!F288</f>
        <v>0</v>
      </c>
      <c r="S288">
        <f>'Audit Report'!Q288</f>
        <v>0</v>
      </c>
    </row>
    <row r="289" spans="4:19">
      <c r="D289">
        <f>'Audit Report'!B289</f>
        <v>0</v>
      </c>
      <c r="E289">
        <f>'Audit Report'!C289</f>
        <v>0</v>
      </c>
      <c r="I289">
        <f>'Audit Report'!D289</f>
        <v>0</v>
      </c>
      <c r="J289">
        <f>'Audit Report'!H289</f>
        <v>0</v>
      </c>
      <c r="L289" t="str">
        <f>_xlfn.TEXTJOIN(", ", FALSE, 'Audit Report'!K289,'Audit Report'!L289,'Audit Report'!M289)</f>
        <v xml:space="preserve">, , </v>
      </c>
      <c r="M289">
        <f>'Audit Report'!O289</f>
        <v>0</v>
      </c>
      <c r="N289" t="str" cm="1">
        <f t="array" ref="N289">IF(M289="","",
_xlfn.TEXTJOIN(", ",TRUE,
    _xlfn.MAP(_xlfn.TEXTSPLIT(M289,","),_xlfn.LAMBDA(_xlpm.x,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9">
        <f>'Audit Report'!F289</f>
        <v>0</v>
      </c>
      <c r="S289">
        <f>'Audit Report'!Q289</f>
        <v>0</v>
      </c>
    </row>
    <row r="290" spans="4:19">
      <c r="D290">
        <f>'Audit Report'!B290</f>
        <v>0</v>
      </c>
      <c r="E290">
        <f>'Audit Report'!C290</f>
        <v>0</v>
      </c>
      <c r="I290">
        <f>'Audit Report'!D290</f>
        <v>0</v>
      </c>
      <c r="J290">
        <f>'Audit Report'!H290</f>
        <v>0</v>
      </c>
      <c r="L290" t="str">
        <f>_xlfn.TEXTJOIN(", ", FALSE, 'Audit Report'!K290,'Audit Report'!L290,'Audit Report'!M290)</f>
        <v xml:space="preserve">, , </v>
      </c>
      <c r="M290">
        <f>'Audit Report'!O290</f>
        <v>0</v>
      </c>
      <c r="N290" t="str" cm="1">
        <f t="array" ref="N290">IF(M290="","",
_xlfn.TEXTJOIN(", ",TRUE,
    _xlfn.MAP(_xlfn.TEXTSPLIT(M290,","),_xlfn.LAMBDA(_xlpm.x,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0">
        <f>'Audit Report'!F290</f>
        <v>0</v>
      </c>
      <c r="S290">
        <f>'Audit Report'!Q290</f>
        <v>0</v>
      </c>
    </row>
    <row r="291" spans="4:19">
      <c r="D291">
        <f>'Audit Report'!B291</f>
        <v>0</v>
      </c>
      <c r="E291">
        <f>'Audit Report'!C291</f>
        <v>0</v>
      </c>
      <c r="I291">
        <f>'Audit Report'!D291</f>
        <v>0</v>
      </c>
      <c r="J291">
        <f>'Audit Report'!H291</f>
        <v>0</v>
      </c>
      <c r="L291" t="str">
        <f>_xlfn.TEXTJOIN(", ", FALSE, 'Audit Report'!K291,'Audit Report'!L291,'Audit Report'!M291)</f>
        <v xml:space="preserve">, , </v>
      </c>
      <c r="M291">
        <f>'Audit Report'!O291</f>
        <v>0</v>
      </c>
      <c r="N291" t="str" cm="1">
        <f t="array" ref="N291">IF(M291="","",
_xlfn.TEXTJOIN(", ",TRUE,
    _xlfn.MAP(_xlfn.TEXTSPLIT(M291,","),_xlfn.LAMBDA(_xlpm.x,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1">
        <f>'Audit Report'!F291</f>
        <v>0</v>
      </c>
      <c r="S291">
        <f>'Audit Report'!Q291</f>
        <v>0</v>
      </c>
    </row>
    <row r="292" spans="4:19">
      <c r="D292">
        <f>'Audit Report'!B292</f>
        <v>0</v>
      </c>
      <c r="E292">
        <f>'Audit Report'!C292</f>
        <v>0</v>
      </c>
      <c r="I292">
        <f>'Audit Report'!D292</f>
        <v>0</v>
      </c>
      <c r="J292">
        <f>'Audit Report'!H292</f>
        <v>0</v>
      </c>
      <c r="L292" t="str">
        <f>_xlfn.TEXTJOIN(", ", FALSE, 'Audit Report'!K292,'Audit Report'!L292,'Audit Report'!M292)</f>
        <v xml:space="preserve">, , </v>
      </c>
      <c r="M292">
        <f>'Audit Report'!O292</f>
        <v>0</v>
      </c>
      <c r="N292" t="str" cm="1">
        <f t="array" ref="N292">IF(M292="","",
_xlfn.TEXTJOIN(", ",TRUE,
    _xlfn.MAP(_xlfn.TEXTSPLIT(M292,","),_xlfn.LAMBDA(_xlpm.x,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2">
        <f>'Audit Report'!F292</f>
        <v>0</v>
      </c>
      <c r="S292">
        <f>'Audit Report'!Q292</f>
        <v>0</v>
      </c>
    </row>
    <row r="293" spans="4:19">
      <c r="D293">
        <f>'Audit Report'!B293</f>
        <v>0</v>
      </c>
      <c r="E293">
        <f>'Audit Report'!C293</f>
        <v>0</v>
      </c>
      <c r="I293">
        <f>'Audit Report'!D293</f>
        <v>0</v>
      </c>
      <c r="J293">
        <f>'Audit Report'!H293</f>
        <v>0</v>
      </c>
      <c r="L293" t="str">
        <f>_xlfn.TEXTJOIN(", ", FALSE, 'Audit Report'!K293,'Audit Report'!L293,'Audit Report'!M293)</f>
        <v xml:space="preserve">, , </v>
      </c>
      <c r="M293">
        <f>'Audit Report'!O293</f>
        <v>0</v>
      </c>
      <c r="N293" t="str" cm="1">
        <f t="array" ref="N293">IF(M293="","",
_xlfn.TEXTJOIN(", ",TRUE,
    _xlfn.MAP(_xlfn.TEXTSPLIT(M293,","),_xlfn.LAMBDA(_xlpm.x,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3">
        <f>'Audit Report'!F293</f>
        <v>0</v>
      </c>
      <c r="S293">
        <f>'Audit Report'!Q293</f>
        <v>0</v>
      </c>
    </row>
    <row r="294" spans="4:19">
      <c r="D294">
        <f>'Audit Report'!B294</f>
        <v>0</v>
      </c>
      <c r="E294">
        <f>'Audit Report'!C294</f>
        <v>0</v>
      </c>
      <c r="I294">
        <f>'Audit Report'!D294</f>
        <v>0</v>
      </c>
      <c r="J294">
        <f>'Audit Report'!H294</f>
        <v>0</v>
      </c>
      <c r="L294" t="str">
        <f>_xlfn.TEXTJOIN(", ", FALSE, 'Audit Report'!K294,'Audit Report'!L294,'Audit Report'!M294)</f>
        <v xml:space="preserve">, , </v>
      </c>
      <c r="M294">
        <f>'Audit Report'!O294</f>
        <v>0</v>
      </c>
      <c r="N294" t="str" cm="1">
        <f t="array" ref="N294">IF(M294="","",
_xlfn.TEXTJOIN(", ",TRUE,
    _xlfn.MAP(_xlfn.TEXTSPLIT(M294,","),_xlfn.LAMBDA(_xlpm.x,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4">
        <f>'Audit Report'!F294</f>
        <v>0</v>
      </c>
      <c r="S294">
        <f>'Audit Report'!Q294</f>
        <v>0</v>
      </c>
    </row>
    <row r="295" spans="4:19">
      <c r="D295">
        <f>'Audit Report'!B295</f>
        <v>0</v>
      </c>
      <c r="E295">
        <f>'Audit Report'!C295</f>
        <v>0</v>
      </c>
      <c r="I295">
        <f>'Audit Report'!D295</f>
        <v>0</v>
      </c>
      <c r="J295">
        <f>'Audit Report'!H295</f>
        <v>0</v>
      </c>
      <c r="L295" t="str">
        <f>_xlfn.TEXTJOIN(", ", FALSE, 'Audit Report'!K295,'Audit Report'!L295,'Audit Report'!M295)</f>
        <v xml:space="preserve">, , </v>
      </c>
      <c r="M295">
        <f>'Audit Report'!O295</f>
        <v>0</v>
      </c>
      <c r="N295" t="str" cm="1">
        <f t="array" ref="N295">IF(M295="","",
_xlfn.TEXTJOIN(", ",TRUE,
    _xlfn.MAP(_xlfn.TEXTSPLIT(M295,","),_xlfn.LAMBDA(_xlpm.x,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5">
        <f>'Audit Report'!F295</f>
        <v>0</v>
      </c>
      <c r="S295">
        <f>'Audit Report'!Q295</f>
        <v>0</v>
      </c>
    </row>
    <row r="296" spans="4:19">
      <c r="D296">
        <f>'Audit Report'!B296</f>
        <v>0</v>
      </c>
      <c r="E296">
        <f>'Audit Report'!C296</f>
        <v>0</v>
      </c>
      <c r="I296">
        <f>'Audit Report'!D296</f>
        <v>0</v>
      </c>
      <c r="J296">
        <f>'Audit Report'!H296</f>
        <v>0</v>
      </c>
      <c r="L296" t="str">
        <f>_xlfn.TEXTJOIN(", ", FALSE, 'Audit Report'!K296,'Audit Report'!L296,'Audit Report'!M296)</f>
        <v xml:space="preserve">, , </v>
      </c>
      <c r="M296">
        <f>'Audit Report'!O296</f>
        <v>0</v>
      </c>
      <c r="N296" t="str" cm="1">
        <f t="array" ref="N296">IF(M296="","",
_xlfn.TEXTJOIN(", ",TRUE,
    _xlfn.MAP(_xlfn.TEXTSPLIT(M296,","),_xlfn.LAMBDA(_xlpm.x,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6">
        <f>'Audit Report'!F296</f>
        <v>0</v>
      </c>
      <c r="S296">
        <f>'Audit Report'!Q296</f>
        <v>0</v>
      </c>
    </row>
    <row r="297" spans="4:19">
      <c r="D297">
        <f>'Audit Report'!B297</f>
        <v>0</v>
      </c>
      <c r="E297">
        <f>'Audit Report'!C297</f>
        <v>0</v>
      </c>
      <c r="I297">
        <f>'Audit Report'!D297</f>
        <v>0</v>
      </c>
      <c r="J297">
        <f>'Audit Report'!H297</f>
        <v>0</v>
      </c>
      <c r="L297" t="str">
        <f>_xlfn.TEXTJOIN(", ", FALSE, 'Audit Report'!K297,'Audit Report'!L297,'Audit Report'!M297)</f>
        <v xml:space="preserve">, , </v>
      </c>
      <c r="M297">
        <f>'Audit Report'!O297</f>
        <v>0</v>
      </c>
      <c r="N297" t="str" cm="1">
        <f t="array" ref="N297">IF(M297="","",
_xlfn.TEXTJOIN(", ",TRUE,
    _xlfn.MAP(_xlfn.TEXTSPLIT(M297,","),_xlfn.LAMBDA(_xlpm.x,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7">
        <f>'Audit Report'!F297</f>
        <v>0</v>
      </c>
      <c r="S297">
        <f>'Audit Report'!Q297</f>
        <v>0</v>
      </c>
    </row>
    <row r="298" spans="4:19">
      <c r="D298">
        <f>'Audit Report'!B298</f>
        <v>0</v>
      </c>
      <c r="E298">
        <f>'Audit Report'!C298</f>
        <v>0</v>
      </c>
      <c r="I298">
        <f>'Audit Report'!D298</f>
        <v>0</v>
      </c>
      <c r="J298">
        <f>'Audit Report'!H298</f>
        <v>0</v>
      </c>
      <c r="L298" t="str">
        <f>_xlfn.TEXTJOIN(", ", FALSE, 'Audit Report'!K298,'Audit Report'!L298,'Audit Report'!M298)</f>
        <v xml:space="preserve">, , </v>
      </c>
      <c r="M298">
        <f>'Audit Report'!O298</f>
        <v>0</v>
      </c>
      <c r="N298" t="str" cm="1">
        <f t="array" ref="N298">IF(M298="","",
_xlfn.TEXTJOIN(", ",TRUE,
    _xlfn.MAP(_xlfn.TEXTSPLIT(M298,","),_xlfn.LAMBDA(_xlpm.x,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8">
        <f>'Audit Report'!F298</f>
        <v>0</v>
      </c>
      <c r="S298">
        <f>'Audit Report'!Q298</f>
        <v>0</v>
      </c>
    </row>
    <row r="299" spans="4:19">
      <c r="D299">
        <f>'Audit Report'!B299</f>
        <v>0</v>
      </c>
      <c r="E299">
        <f>'Audit Report'!C299</f>
        <v>0</v>
      </c>
      <c r="I299">
        <f>'Audit Report'!D299</f>
        <v>0</v>
      </c>
      <c r="J299">
        <f>'Audit Report'!H299</f>
        <v>0</v>
      </c>
      <c r="L299" t="str">
        <f>_xlfn.TEXTJOIN(", ", FALSE, 'Audit Report'!K299,'Audit Report'!L299,'Audit Report'!M299)</f>
        <v xml:space="preserve">, , </v>
      </c>
      <c r="M299">
        <f>'Audit Report'!O299</f>
        <v>0</v>
      </c>
      <c r="N299" t="str" cm="1">
        <f t="array" ref="N299">IF(M299="","",
_xlfn.TEXTJOIN(", ",TRUE,
    _xlfn.MAP(_xlfn.TEXTSPLIT(M299,","),_xlfn.LAMBDA(_xlpm.x,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9">
        <f>'Audit Report'!F299</f>
        <v>0</v>
      </c>
      <c r="S299">
        <f>'Audit Report'!Q299</f>
        <v>0</v>
      </c>
    </row>
    <row r="300" spans="4:19">
      <c r="D300">
        <f>'Audit Report'!B300</f>
        <v>0</v>
      </c>
      <c r="E300">
        <f>'Audit Report'!C300</f>
        <v>0</v>
      </c>
      <c r="I300">
        <f>'Audit Report'!D300</f>
        <v>0</v>
      </c>
      <c r="J300">
        <f>'Audit Report'!H300</f>
        <v>0</v>
      </c>
      <c r="L300" t="str">
        <f>_xlfn.TEXTJOIN(", ", FALSE, 'Audit Report'!K300,'Audit Report'!L300,'Audit Report'!M300)</f>
        <v xml:space="preserve">, , </v>
      </c>
      <c r="M300">
        <f>'Audit Report'!O300</f>
        <v>0</v>
      </c>
      <c r="N300" t="str" cm="1">
        <f t="array" ref="N300">IF(M300="","",
_xlfn.TEXTJOIN(", ",TRUE,
    _xlfn.MAP(_xlfn.TEXTSPLIT(M300,","),_xlfn.LAMBDA(_xlpm.x,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0">
        <f>'Audit Report'!F300</f>
        <v>0</v>
      </c>
      <c r="S300">
        <f>'Audit Report'!Q300</f>
        <v>0</v>
      </c>
    </row>
    <row r="301" spans="4:19">
      <c r="D301">
        <f>'Audit Report'!B301</f>
        <v>0</v>
      </c>
      <c r="E301">
        <f>'Audit Report'!C301</f>
        <v>0</v>
      </c>
      <c r="I301">
        <f>'Audit Report'!D301</f>
        <v>0</v>
      </c>
      <c r="J301">
        <f>'Audit Report'!H301</f>
        <v>0</v>
      </c>
      <c r="L301" t="str">
        <f>_xlfn.TEXTJOIN(", ", FALSE, 'Audit Report'!K301,'Audit Report'!L301,'Audit Report'!M301)</f>
        <v xml:space="preserve">, , </v>
      </c>
      <c r="M301">
        <f>'Audit Report'!O301</f>
        <v>0</v>
      </c>
      <c r="N301" t="str" cm="1">
        <f t="array" ref="N301">IF(M301="","",
_xlfn.TEXTJOIN(", ",TRUE,
    _xlfn.MAP(_xlfn.TEXTSPLIT(M301,","),_xlfn.LAMBDA(_xlpm.x,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1">
        <f>'Audit Report'!F301</f>
        <v>0</v>
      </c>
      <c r="S301">
        <f>'Audit Report'!Q301</f>
        <v>0</v>
      </c>
    </row>
    <row r="302" spans="4:19">
      <c r="D302">
        <f>'Audit Report'!B302</f>
        <v>0</v>
      </c>
      <c r="E302">
        <f>'Audit Report'!C302</f>
        <v>0</v>
      </c>
      <c r="I302">
        <f>'Audit Report'!D302</f>
        <v>0</v>
      </c>
      <c r="J302">
        <f>'Audit Report'!H302</f>
        <v>0</v>
      </c>
      <c r="L302" t="str">
        <f>_xlfn.TEXTJOIN(", ", FALSE, 'Audit Report'!K302,'Audit Report'!L302,'Audit Report'!M302)</f>
        <v xml:space="preserve">, , </v>
      </c>
      <c r="M302">
        <f>'Audit Report'!O302</f>
        <v>0</v>
      </c>
      <c r="N302" t="str" cm="1">
        <f t="array" ref="N302">IF(M302="","",
_xlfn.TEXTJOIN(", ",TRUE,
    _xlfn.MAP(_xlfn.TEXTSPLIT(M302,","),_xlfn.LAMBDA(_xlpm.x,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2">
        <f>'Audit Report'!F302</f>
        <v>0</v>
      </c>
      <c r="S302">
        <f>'Audit Report'!Q302</f>
        <v>0</v>
      </c>
    </row>
    <row r="303" spans="4:19">
      <c r="D303">
        <f>'Audit Report'!B303</f>
        <v>0</v>
      </c>
      <c r="E303">
        <f>'Audit Report'!C303</f>
        <v>0</v>
      </c>
      <c r="I303">
        <f>'Audit Report'!D303</f>
        <v>0</v>
      </c>
      <c r="J303">
        <f>'Audit Report'!H303</f>
        <v>0</v>
      </c>
      <c r="L303" t="str">
        <f>_xlfn.TEXTJOIN(", ", FALSE, 'Audit Report'!K303,'Audit Report'!L303,'Audit Report'!M303)</f>
        <v xml:space="preserve">, , </v>
      </c>
      <c r="M303">
        <f>'Audit Report'!O303</f>
        <v>0</v>
      </c>
      <c r="N303" t="str" cm="1">
        <f t="array" ref="N303">IF(M303="","",
_xlfn.TEXTJOIN(", ",TRUE,
    _xlfn.MAP(_xlfn.TEXTSPLIT(M303,","),_xlfn.LAMBDA(_xlpm.x,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3">
        <f>'Audit Report'!F303</f>
        <v>0</v>
      </c>
      <c r="S303">
        <f>'Audit Report'!Q303</f>
        <v>0</v>
      </c>
    </row>
    <row r="304" spans="4:19">
      <c r="D304">
        <f>'Audit Report'!B304</f>
        <v>0</v>
      </c>
      <c r="E304">
        <f>'Audit Report'!C304</f>
        <v>0</v>
      </c>
      <c r="I304">
        <f>'Audit Report'!D304</f>
        <v>0</v>
      </c>
      <c r="J304">
        <f>'Audit Report'!H304</f>
        <v>0</v>
      </c>
      <c r="L304" t="str">
        <f>_xlfn.TEXTJOIN(", ", FALSE, 'Audit Report'!K304,'Audit Report'!L304,'Audit Report'!M304)</f>
        <v xml:space="preserve">, , </v>
      </c>
      <c r="M304">
        <f>'Audit Report'!O304</f>
        <v>0</v>
      </c>
      <c r="N304" t="str" cm="1">
        <f t="array" ref="N304">IF(M304="","",
_xlfn.TEXTJOIN(", ",TRUE,
    _xlfn.MAP(_xlfn.TEXTSPLIT(M304,","),_xlfn.LAMBDA(_xlpm.x,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4">
        <f>'Audit Report'!F304</f>
        <v>0</v>
      </c>
      <c r="S304">
        <f>'Audit Report'!Q304</f>
        <v>0</v>
      </c>
    </row>
    <row r="305" spans="4:19">
      <c r="D305">
        <f>'Audit Report'!B305</f>
        <v>0</v>
      </c>
      <c r="E305">
        <f>'Audit Report'!C305</f>
        <v>0</v>
      </c>
      <c r="I305">
        <f>'Audit Report'!D305</f>
        <v>0</v>
      </c>
      <c r="J305">
        <f>'Audit Report'!H305</f>
        <v>0</v>
      </c>
      <c r="L305" t="str">
        <f>_xlfn.TEXTJOIN(", ", FALSE, 'Audit Report'!K305,'Audit Report'!L305,'Audit Report'!M305)</f>
        <v xml:space="preserve">, , </v>
      </c>
      <c r="M305">
        <f>'Audit Report'!O305</f>
        <v>0</v>
      </c>
      <c r="N305" t="str" cm="1">
        <f t="array" ref="N305">IF(M305="","",
_xlfn.TEXTJOIN(", ",TRUE,
    _xlfn.MAP(_xlfn.TEXTSPLIT(M305,","),_xlfn.LAMBDA(_xlpm.x,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5">
        <f>'Audit Report'!F305</f>
        <v>0</v>
      </c>
      <c r="S305">
        <f>'Audit Report'!Q305</f>
        <v>0</v>
      </c>
    </row>
    <row r="306" spans="4:19">
      <c r="D306">
        <f>'Audit Report'!B306</f>
        <v>0</v>
      </c>
      <c r="E306">
        <f>'Audit Report'!C306</f>
        <v>0</v>
      </c>
      <c r="I306">
        <f>'Audit Report'!D306</f>
        <v>0</v>
      </c>
      <c r="J306">
        <f>'Audit Report'!H306</f>
        <v>0</v>
      </c>
      <c r="L306" t="str">
        <f>_xlfn.TEXTJOIN(", ", FALSE, 'Audit Report'!K306,'Audit Report'!L306,'Audit Report'!M306)</f>
        <v xml:space="preserve">, , </v>
      </c>
      <c r="M306">
        <f>'Audit Report'!O306</f>
        <v>0</v>
      </c>
      <c r="N306" t="str" cm="1">
        <f t="array" ref="N306">IF(M306="","",
_xlfn.TEXTJOIN(", ",TRUE,
    _xlfn.MAP(_xlfn.TEXTSPLIT(M306,","),_xlfn.LAMBDA(_xlpm.x,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6">
        <f>'Audit Report'!F306</f>
        <v>0</v>
      </c>
      <c r="S306">
        <f>'Audit Report'!Q306</f>
        <v>0</v>
      </c>
    </row>
    <row r="307" spans="4:19">
      <c r="D307">
        <f>'Audit Report'!B307</f>
        <v>0</v>
      </c>
      <c r="E307">
        <f>'Audit Report'!C307</f>
        <v>0</v>
      </c>
      <c r="I307">
        <f>'Audit Report'!D307</f>
        <v>0</v>
      </c>
      <c r="J307">
        <f>'Audit Report'!H307</f>
        <v>0</v>
      </c>
      <c r="L307" t="str">
        <f>_xlfn.TEXTJOIN(", ", FALSE, 'Audit Report'!K307,'Audit Report'!L307,'Audit Report'!M307)</f>
        <v xml:space="preserve">, , </v>
      </c>
      <c r="M307">
        <f>'Audit Report'!O307</f>
        <v>0</v>
      </c>
      <c r="N307" t="str" cm="1">
        <f t="array" ref="N307">IF(M307="","",
_xlfn.TEXTJOIN(", ",TRUE,
    _xlfn.MAP(_xlfn.TEXTSPLIT(M307,","),_xlfn.LAMBDA(_xlpm.x,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7">
        <f>'Audit Report'!F307</f>
        <v>0</v>
      </c>
      <c r="S307">
        <f>'Audit Report'!Q307</f>
        <v>0</v>
      </c>
    </row>
    <row r="308" spans="4:19">
      <c r="D308">
        <f>'Audit Report'!B308</f>
        <v>0</v>
      </c>
      <c r="E308">
        <f>'Audit Report'!C308</f>
        <v>0</v>
      </c>
      <c r="I308">
        <f>'Audit Report'!D308</f>
        <v>0</v>
      </c>
      <c r="J308">
        <f>'Audit Report'!H308</f>
        <v>0</v>
      </c>
      <c r="L308" t="str">
        <f>_xlfn.TEXTJOIN(", ", FALSE, 'Audit Report'!K308,'Audit Report'!L308,'Audit Report'!M308)</f>
        <v xml:space="preserve">, , </v>
      </c>
      <c r="M308">
        <f>'Audit Report'!O308</f>
        <v>0</v>
      </c>
      <c r="N308" t="str" cm="1">
        <f t="array" ref="N308">IF(M308="","",
_xlfn.TEXTJOIN(", ",TRUE,
    _xlfn.MAP(_xlfn.TEXTSPLIT(M308,","),_xlfn.LAMBDA(_xlpm.x,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8">
        <f>'Audit Report'!F308</f>
        <v>0</v>
      </c>
      <c r="S308">
        <f>'Audit Report'!Q308</f>
        <v>0</v>
      </c>
    </row>
    <row r="309" spans="4:19">
      <c r="D309">
        <f>'Audit Report'!B309</f>
        <v>0</v>
      </c>
      <c r="E309">
        <f>'Audit Report'!C309</f>
        <v>0</v>
      </c>
      <c r="I309">
        <f>'Audit Report'!D309</f>
        <v>0</v>
      </c>
      <c r="J309">
        <f>'Audit Report'!H309</f>
        <v>0</v>
      </c>
      <c r="L309" t="str">
        <f>_xlfn.TEXTJOIN(", ", FALSE, 'Audit Report'!K309,'Audit Report'!L309,'Audit Report'!M309)</f>
        <v xml:space="preserve">, , </v>
      </c>
      <c r="M309">
        <f>'Audit Report'!O309</f>
        <v>0</v>
      </c>
      <c r="N309" t="str" cm="1">
        <f t="array" ref="N309">IF(M309="","",
_xlfn.TEXTJOIN(", ",TRUE,
    _xlfn.MAP(_xlfn.TEXTSPLIT(M309,","),_xlfn.LAMBDA(_xlpm.x,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9">
        <f>'Audit Report'!F309</f>
        <v>0</v>
      </c>
      <c r="S309">
        <f>'Audit Report'!Q309</f>
        <v>0</v>
      </c>
    </row>
    <row r="310" spans="4:19">
      <c r="D310">
        <f>'Audit Report'!B310</f>
        <v>0</v>
      </c>
      <c r="E310">
        <f>'Audit Report'!C310</f>
        <v>0</v>
      </c>
      <c r="I310">
        <f>'Audit Report'!D310</f>
        <v>0</v>
      </c>
      <c r="J310">
        <f>'Audit Report'!H310</f>
        <v>0</v>
      </c>
      <c r="L310" t="str">
        <f>_xlfn.TEXTJOIN(", ", FALSE, 'Audit Report'!K310,'Audit Report'!L310,'Audit Report'!M310)</f>
        <v xml:space="preserve">, , </v>
      </c>
      <c r="M310">
        <f>'Audit Report'!O310</f>
        <v>0</v>
      </c>
      <c r="N310" t="str" cm="1">
        <f t="array" ref="N310">IF(M310="","",
_xlfn.TEXTJOIN(", ",TRUE,
    _xlfn.MAP(_xlfn.TEXTSPLIT(M310,","),_xlfn.LAMBDA(_xlpm.x,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0">
        <f>'Audit Report'!F310</f>
        <v>0</v>
      </c>
      <c r="S310">
        <f>'Audit Report'!Q310</f>
        <v>0</v>
      </c>
    </row>
    <row r="311" spans="4:19">
      <c r="D311">
        <f>'Audit Report'!B311</f>
        <v>0</v>
      </c>
      <c r="E311">
        <f>'Audit Report'!C311</f>
        <v>0</v>
      </c>
      <c r="I311">
        <f>'Audit Report'!D311</f>
        <v>0</v>
      </c>
      <c r="J311">
        <f>'Audit Report'!H311</f>
        <v>0</v>
      </c>
      <c r="L311" t="str">
        <f>_xlfn.TEXTJOIN(", ", FALSE, 'Audit Report'!K311,'Audit Report'!L311,'Audit Report'!M311)</f>
        <v xml:space="preserve">, , </v>
      </c>
      <c r="M311">
        <f>'Audit Report'!O311</f>
        <v>0</v>
      </c>
      <c r="N311" t="str" cm="1">
        <f t="array" ref="N311">IF(M311="","",
_xlfn.TEXTJOIN(", ",TRUE,
    _xlfn.MAP(_xlfn.TEXTSPLIT(M311,","),_xlfn.LAMBDA(_xlpm.x,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1">
        <f>'Audit Report'!F311</f>
        <v>0</v>
      </c>
      <c r="S311">
        <f>'Audit Report'!Q311</f>
        <v>0</v>
      </c>
    </row>
    <row r="312" spans="4:19">
      <c r="D312">
        <f>'Audit Report'!B312</f>
        <v>0</v>
      </c>
      <c r="E312">
        <f>'Audit Report'!C312</f>
        <v>0</v>
      </c>
      <c r="I312">
        <f>'Audit Report'!D312</f>
        <v>0</v>
      </c>
      <c r="J312">
        <f>'Audit Report'!H312</f>
        <v>0</v>
      </c>
      <c r="L312" t="str">
        <f>_xlfn.TEXTJOIN(", ", FALSE, 'Audit Report'!K312,'Audit Report'!L312,'Audit Report'!M312)</f>
        <v xml:space="preserve">, , </v>
      </c>
      <c r="M312">
        <f>'Audit Report'!O312</f>
        <v>0</v>
      </c>
      <c r="N312" t="str" cm="1">
        <f t="array" ref="N312">IF(M312="","",
_xlfn.TEXTJOIN(", ",TRUE,
    _xlfn.MAP(_xlfn.TEXTSPLIT(M312,","),_xlfn.LAMBDA(_xlpm.x,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2">
        <f>'Audit Report'!F312</f>
        <v>0</v>
      </c>
      <c r="S312">
        <f>'Audit Report'!Q312</f>
        <v>0</v>
      </c>
    </row>
    <row r="313" spans="4:19">
      <c r="D313">
        <f>'Audit Report'!B313</f>
        <v>0</v>
      </c>
      <c r="E313">
        <f>'Audit Report'!C313</f>
        <v>0</v>
      </c>
      <c r="I313">
        <f>'Audit Report'!D313</f>
        <v>0</v>
      </c>
      <c r="J313">
        <f>'Audit Report'!H313</f>
        <v>0</v>
      </c>
      <c r="L313" t="str">
        <f>_xlfn.TEXTJOIN(", ", FALSE, 'Audit Report'!K313,'Audit Report'!L313,'Audit Report'!M313)</f>
        <v xml:space="preserve">, , </v>
      </c>
      <c r="M313">
        <f>'Audit Report'!O313</f>
        <v>0</v>
      </c>
      <c r="N313" t="str" cm="1">
        <f t="array" ref="N313">IF(M313="","",
_xlfn.TEXTJOIN(", ",TRUE,
    _xlfn.MAP(_xlfn.TEXTSPLIT(M313,","),_xlfn.LAMBDA(_xlpm.x,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3">
        <f>'Audit Report'!F313</f>
        <v>0</v>
      </c>
      <c r="S313">
        <f>'Audit Report'!Q313</f>
        <v>0</v>
      </c>
    </row>
    <row r="314" spans="4:19">
      <c r="D314">
        <f>'Audit Report'!B314</f>
        <v>0</v>
      </c>
      <c r="E314">
        <f>'Audit Report'!C314</f>
        <v>0</v>
      </c>
      <c r="I314">
        <f>'Audit Report'!D314</f>
        <v>0</v>
      </c>
      <c r="J314">
        <f>'Audit Report'!H314</f>
        <v>0</v>
      </c>
      <c r="L314" t="str">
        <f>_xlfn.TEXTJOIN(", ", FALSE, 'Audit Report'!K314,'Audit Report'!L314,'Audit Report'!M314)</f>
        <v xml:space="preserve">, , </v>
      </c>
      <c r="M314">
        <f>'Audit Report'!O314</f>
        <v>0</v>
      </c>
      <c r="N314" t="str" cm="1">
        <f t="array" ref="N314">IF(M314="","",
_xlfn.TEXTJOIN(", ",TRUE,
    _xlfn.MAP(_xlfn.TEXTSPLIT(M314,","),_xlfn.LAMBDA(_xlpm.x,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4">
        <f>'Audit Report'!F314</f>
        <v>0</v>
      </c>
      <c r="S314">
        <f>'Audit Report'!Q314</f>
        <v>0</v>
      </c>
    </row>
    <row r="315" spans="4:19">
      <c r="D315">
        <f>'Audit Report'!B315</f>
        <v>0</v>
      </c>
      <c r="E315">
        <f>'Audit Report'!C315</f>
        <v>0</v>
      </c>
      <c r="I315">
        <f>'Audit Report'!D315</f>
        <v>0</v>
      </c>
      <c r="J315">
        <f>'Audit Report'!H315</f>
        <v>0</v>
      </c>
      <c r="L315" t="str">
        <f>_xlfn.TEXTJOIN(", ", FALSE, 'Audit Report'!K315,'Audit Report'!L315,'Audit Report'!M315)</f>
        <v xml:space="preserve">, , </v>
      </c>
      <c r="M315">
        <f>'Audit Report'!O315</f>
        <v>0</v>
      </c>
      <c r="N315" t="str" cm="1">
        <f t="array" ref="N315">IF(M315="","",
_xlfn.TEXTJOIN(", ",TRUE,
    _xlfn.MAP(_xlfn.TEXTSPLIT(M315,","),_xlfn.LAMBDA(_xlpm.x,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5">
        <f>'Audit Report'!F315</f>
        <v>0</v>
      </c>
      <c r="S315">
        <f>'Audit Report'!Q315</f>
        <v>0</v>
      </c>
    </row>
    <row r="316" spans="4:19">
      <c r="D316">
        <f>'Audit Report'!B316</f>
        <v>0</v>
      </c>
      <c r="E316">
        <f>'Audit Report'!C316</f>
        <v>0</v>
      </c>
      <c r="I316">
        <f>'Audit Report'!D316</f>
        <v>0</v>
      </c>
      <c r="J316">
        <f>'Audit Report'!H316</f>
        <v>0</v>
      </c>
      <c r="L316" t="str">
        <f>_xlfn.TEXTJOIN(", ", FALSE, 'Audit Report'!K316,'Audit Report'!L316,'Audit Report'!M316)</f>
        <v xml:space="preserve">, , </v>
      </c>
      <c r="M316">
        <f>'Audit Report'!O316</f>
        <v>0</v>
      </c>
      <c r="N316" t="str" cm="1">
        <f t="array" ref="N316">IF(M316="","",
_xlfn.TEXTJOIN(", ",TRUE,
    _xlfn.MAP(_xlfn.TEXTSPLIT(M316,","),_xlfn.LAMBDA(_xlpm.x,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6">
        <f>'Audit Report'!F316</f>
        <v>0</v>
      </c>
      <c r="S316">
        <f>'Audit Report'!Q316</f>
        <v>0</v>
      </c>
    </row>
    <row r="317" spans="4:19">
      <c r="D317">
        <f>'Audit Report'!B317</f>
        <v>0</v>
      </c>
      <c r="E317">
        <f>'Audit Report'!C317</f>
        <v>0</v>
      </c>
      <c r="I317">
        <f>'Audit Report'!D317</f>
        <v>0</v>
      </c>
      <c r="J317">
        <f>'Audit Report'!H317</f>
        <v>0</v>
      </c>
      <c r="L317" t="str">
        <f>_xlfn.TEXTJOIN(", ", FALSE, 'Audit Report'!K317,'Audit Report'!L317,'Audit Report'!M317)</f>
        <v xml:space="preserve">, , </v>
      </c>
      <c r="M317">
        <f>'Audit Report'!O317</f>
        <v>0</v>
      </c>
      <c r="N317" t="str" cm="1">
        <f t="array" ref="N317">IF(M317="","",
_xlfn.TEXTJOIN(", ",TRUE,
    _xlfn.MAP(_xlfn.TEXTSPLIT(M317,","),_xlfn.LAMBDA(_xlpm.x,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7">
        <f>'Audit Report'!F317</f>
        <v>0</v>
      </c>
      <c r="S317">
        <f>'Audit Report'!Q317</f>
        <v>0</v>
      </c>
    </row>
    <row r="318" spans="4:19">
      <c r="D318">
        <f>'Audit Report'!B318</f>
        <v>0</v>
      </c>
      <c r="E318">
        <f>'Audit Report'!C318</f>
        <v>0</v>
      </c>
      <c r="I318">
        <f>'Audit Report'!D318</f>
        <v>0</v>
      </c>
      <c r="J318">
        <f>'Audit Report'!H318</f>
        <v>0</v>
      </c>
      <c r="L318" t="str">
        <f>_xlfn.TEXTJOIN(", ", FALSE, 'Audit Report'!K318,'Audit Report'!L318,'Audit Report'!M318)</f>
        <v xml:space="preserve">, , </v>
      </c>
      <c r="M318">
        <f>'Audit Report'!O318</f>
        <v>0</v>
      </c>
      <c r="N318" t="str" cm="1">
        <f t="array" ref="N318">IF(M318="","",
_xlfn.TEXTJOIN(", ",TRUE,
    _xlfn.MAP(_xlfn.TEXTSPLIT(M318,","),_xlfn.LAMBDA(_xlpm.x,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8">
        <f>'Audit Report'!F318</f>
        <v>0</v>
      </c>
      <c r="S318">
        <f>'Audit Report'!Q318</f>
        <v>0</v>
      </c>
    </row>
    <row r="319" spans="4:19">
      <c r="D319">
        <f>'Audit Report'!B319</f>
        <v>0</v>
      </c>
      <c r="E319">
        <f>'Audit Report'!C319</f>
        <v>0</v>
      </c>
      <c r="I319">
        <f>'Audit Report'!D319</f>
        <v>0</v>
      </c>
      <c r="J319">
        <f>'Audit Report'!H319</f>
        <v>0</v>
      </c>
      <c r="L319" t="str">
        <f>_xlfn.TEXTJOIN(", ", FALSE, 'Audit Report'!K319,'Audit Report'!L319,'Audit Report'!M319)</f>
        <v xml:space="preserve">, , </v>
      </c>
      <c r="M319">
        <f>'Audit Report'!O319</f>
        <v>0</v>
      </c>
      <c r="N319" t="str" cm="1">
        <f t="array" ref="N319">IF(M319="","",
_xlfn.TEXTJOIN(", ",TRUE,
    _xlfn.MAP(_xlfn.TEXTSPLIT(M319,","),_xlfn.LAMBDA(_xlpm.x,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9">
        <f>'Audit Report'!F319</f>
        <v>0</v>
      </c>
      <c r="S319">
        <f>'Audit Report'!Q319</f>
        <v>0</v>
      </c>
    </row>
    <row r="320" spans="4:19">
      <c r="D320">
        <f>'Audit Report'!B320</f>
        <v>0</v>
      </c>
      <c r="E320">
        <f>'Audit Report'!C320</f>
        <v>0</v>
      </c>
      <c r="I320">
        <f>'Audit Report'!D320</f>
        <v>0</v>
      </c>
      <c r="J320">
        <f>'Audit Report'!H320</f>
        <v>0</v>
      </c>
      <c r="L320" t="str">
        <f>_xlfn.TEXTJOIN(", ", FALSE, 'Audit Report'!K320,'Audit Report'!L320,'Audit Report'!M320)</f>
        <v xml:space="preserve">, , </v>
      </c>
      <c r="M320">
        <f>'Audit Report'!O320</f>
        <v>0</v>
      </c>
      <c r="N320" t="str" cm="1">
        <f t="array" ref="N320">IF(M320="","",
_xlfn.TEXTJOIN(", ",TRUE,
    _xlfn.MAP(_xlfn.TEXTSPLIT(M320,","),_xlfn.LAMBDA(_xlpm.x,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0">
        <f>'Audit Report'!F320</f>
        <v>0</v>
      </c>
      <c r="S320">
        <f>'Audit Report'!Q320</f>
        <v>0</v>
      </c>
    </row>
    <row r="321" spans="4:19">
      <c r="D321">
        <f>'Audit Report'!B321</f>
        <v>0</v>
      </c>
      <c r="E321">
        <f>'Audit Report'!C321</f>
        <v>0</v>
      </c>
      <c r="I321">
        <f>'Audit Report'!D321</f>
        <v>0</v>
      </c>
      <c r="J321">
        <f>'Audit Report'!H321</f>
        <v>0</v>
      </c>
      <c r="L321" t="str">
        <f>_xlfn.TEXTJOIN(", ", FALSE, 'Audit Report'!K321,'Audit Report'!L321,'Audit Report'!M321)</f>
        <v xml:space="preserve">, , </v>
      </c>
      <c r="M321">
        <f>'Audit Report'!O321</f>
        <v>0</v>
      </c>
      <c r="N321" t="str" cm="1">
        <f t="array" ref="N321">IF(M321="","",
_xlfn.TEXTJOIN(", ",TRUE,
    _xlfn.MAP(_xlfn.TEXTSPLIT(M321,","),_xlfn.LAMBDA(_xlpm.x,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1">
        <f>'Audit Report'!F321</f>
        <v>0</v>
      </c>
      <c r="S321">
        <f>'Audit Report'!Q321</f>
        <v>0</v>
      </c>
    </row>
    <row r="322" spans="4:19">
      <c r="D322">
        <f>'Audit Report'!B322</f>
        <v>0</v>
      </c>
      <c r="E322">
        <f>'Audit Report'!C322</f>
        <v>0</v>
      </c>
      <c r="I322">
        <f>'Audit Report'!D322</f>
        <v>0</v>
      </c>
      <c r="J322">
        <f>'Audit Report'!H322</f>
        <v>0</v>
      </c>
      <c r="L322" t="str">
        <f>_xlfn.TEXTJOIN(", ", FALSE, 'Audit Report'!K322,'Audit Report'!L322,'Audit Report'!M322)</f>
        <v xml:space="preserve">, , </v>
      </c>
      <c r="M322">
        <f>'Audit Report'!O322</f>
        <v>0</v>
      </c>
      <c r="N322" t="str" cm="1">
        <f t="array" ref="N322">IF(M322="","",
_xlfn.TEXTJOIN(", ",TRUE,
    _xlfn.MAP(_xlfn.TEXTSPLIT(M322,","),_xlfn.LAMBDA(_xlpm.x,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2">
        <f>'Audit Report'!F322</f>
        <v>0</v>
      </c>
      <c r="S322">
        <f>'Audit Report'!Q322</f>
        <v>0</v>
      </c>
    </row>
    <row r="323" spans="4:19">
      <c r="D323">
        <f>'Audit Report'!B323</f>
        <v>0</v>
      </c>
      <c r="E323">
        <f>'Audit Report'!C323</f>
        <v>0</v>
      </c>
      <c r="I323">
        <f>'Audit Report'!D323</f>
        <v>0</v>
      </c>
      <c r="J323">
        <f>'Audit Report'!H323</f>
        <v>0</v>
      </c>
      <c r="L323" t="str">
        <f>_xlfn.TEXTJOIN(", ", FALSE, 'Audit Report'!K323,'Audit Report'!L323,'Audit Report'!M323)</f>
        <v xml:space="preserve">, , </v>
      </c>
      <c r="M323">
        <f>'Audit Report'!O323</f>
        <v>0</v>
      </c>
      <c r="N323" t="str" cm="1">
        <f t="array" ref="N323">IF(M323="","",
_xlfn.TEXTJOIN(", ",TRUE,
    _xlfn.MAP(_xlfn.TEXTSPLIT(M323,","),_xlfn.LAMBDA(_xlpm.x,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3">
        <f>'Audit Report'!F323</f>
        <v>0</v>
      </c>
      <c r="S323">
        <f>'Audit Report'!Q323</f>
        <v>0</v>
      </c>
    </row>
    <row r="324" spans="4:19">
      <c r="D324">
        <f>'Audit Report'!B324</f>
        <v>0</v>
      </c>
      <c r="E324">
        <f>'Audit Report'!C324</f>
        <v>0</v>
      </c>
      <c r="I324">
        <f>'Audit Report'!D324</f>
        <v>0</v>
      </c>
      <c r="J324">
        <f>'Audit Report'!H324</f>
        <v>0</v>
      </c>
      <c r="L324" t="str">
        <f>_xlfn.TEXTJOIN(", ", FALSE, 'Audit Report'!K324,'Audit Report'!L324,'Audit Report'!M324)</f>
        <v xml:space="preserve">, , </v>
      </c>
      <c r="M324">
        <f>'Audit Report'!O324</f>
        <v>0</v>
      </c>
      <c r="N324" t="str" cm="1">
        <f t="array" ref="N324">IF(M324="","",
_xlfn.TEXTJOIN(", ",TRUE,
    _xlfn.MAP(_xlfn.TEXTSPLIT(M324,","),_xlfn.LAMBDA(_xlpm.x,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4">
        <f>'Audit Report'!F324</f>
        <v>0</v>
      </c>
      <c r="S324">
        <f>'Audit Report'!Q324</f>
        <v>0</v>
      </c>
    </row>
    <row r="325" spans="4:19">
      <c r="D325">
        <f>'Audit Report'!B325</f>
        <v>0</v>
      </c>
      <c r="E325">
        <f>'Audit Report'!C325</f>
        <v>0</v>
      </c>
      <c r="I325">
        <f>'Audit Report'!D325</f>
        <v>0</v>
      </c>
      <c r="J325">
        <f>'Audit Report'!H325</f>
        <v>0</v>
      </c>
      <c r="L325" t="str">
        <f>_xlfn.TEXTJOIN(", ", FALSE, 'Audit Report'!K325,'Audit Report'!L325,'Audit Report'!M325)</f>
        <v xml:space="preserve">, , </v>
      </c>
      <c r="M325">
        <f>'Audit Report'!O325</f>
        <v>0</v>
      </c>
      <c r="N325" t="str" cm="1">
        <f t="array" ref="N325">IF(M325="","",
_xlfn.TEXTJOIN(", ",TRUE,
    _xlfn.MAP(_xlfn.TEXTSPLIT(M325,","),_xlfn.LAMBDA(_xlpm.x,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5">
        <f>'Audit Report'!F325</f>
        <v>0</v>
      </c>
      <c r="S325">
        <f>'Audit Report'!Q325</f>
        <v>0</v>
      </c>
    </row>
    <row r="326" spans="4:19">
      <c r="D326">
        <f>'Audit Report'!B326</f>
        <v>0</v>
      </c>
      <c r="E326">
        <f>'Audit Report'!C326</f>
        <v>0</v>
      </c>
      <c r="I326">
        <f>'Audit Report'!D326</f>
        <v>0</v>
      </c>
      <c r="J326">
        <f>'Audit Report'!H326</f>
        <v>0</v>
      </c>
      <c r="L326" t="str">
        <f>_xlfn.TEXTJOIN(", ", FALSE, 'Audit Report'!K326,'Audit Report'!L326,'Audit Report'!M326)</f>
        <v xml:space="preserve">, , </v>
      </c>
      <c r="M326">
        <f>'Audit Report'!O326</f>
        <v>0</v>
      </c>
      <c r="N326" t="str" cm="1">
        <f t="array" ref="N326">IF(M326="","",
_xlfn.TEXTJOIN(", ",TRUE,
    _xlfn.MAP(_xlfn.TEXTSPLIT(M326,","),_xlfn.LAMBDA(_xlpm.x,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6">
        <f>'Audit Report'!F326</f>
        <v>0</v>
      </c>
      <c r="S326">
        <f>'Audit Report'!Q326</f>
        <v>0</v>
      </c>
    </row>
    <row r="327" spans="4:19">
      <c r="D327">
        <f>'Audit Report'!B327</f>
        <v>0</v>
      </c>
      <c r="E327">
        <f>'Audit Report'!C327</f>
        <v>0</v>
      </c>
      <c r="I327">
        <f>'Audit Report'!D327</f>
        <v>0</v>
      </c>
      <c r="J327">
        <f>'Audit Report'!H327</f>
        <v>0</v>
      </c>
      <c r="L327" t="str">
        <f>_xlfn.TEXTJOIN(", ", FALSE, 'Audit Report'!K327,'Audit Report'!L327,'Audit Report'!M327)</f>
        <v xml:space="preserve">, , </v>
      </c>
      <c r="M327">
        <f>'Audit Report'!O327</f>
        <v>0</v>
      </c>
      <c r="N327" t="str" cm="1">
        <f t="array" ref="N327">IF(M327="","",
_xlfn.TEXTJOIN(", ",TRUE,
    _xlfn.MAP(_xlfn.TEXTSPLIT(M327,","),_xlfn.LAMBDA(_xlpm.x,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7">
        <f>'Audit Report'!F327</f>
        <v>0</v>
      </c>
      <c r="S327">
        <f>'Audit Report'!Q327</f>
        <v>0</v>
      </c>
    </row>
    <row r="328" spans="4:19">
      <c r="D328">
        <f>'Audit Report'!B328</f>
        <v>0</v>
      </c>
      <c r="E328">
        <f>'Audit Report'!C328</f>
        <v>0</v>
      </c>
      <c r="I328">
        <f>'Audit Report'!D328</f>
        <v>0</v>
      </c>
      <c r="J328">
        <f>'Audit Report'!H328</f>
        <v>0</v>
      </c>
      <c r="L328" t="str">
        <f>_xlfn.TEXTJOIN(", ", FALSE, 'Audit Report'!K328,'Audit Report'!L328,'Audit Report'!M328)</f>
        <v xml:space="preserve">, , </v>
      </c>
      <c r="M328">
        <f>'Audit Report'!O328</f>
        <v>0</v>
      </c>
      <c r="N328" t="str" cm="1">
        <f t="array" ref="N328">IF(M328="","",
_xlfn.TEXTJOIN(", ",TRUE,
    _xlfn.MAP(_xlfn.TEXTSPLIT(M328,","),_xlfn.LAMBDA(_xlpm.x,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8">
        <f>'Audit Report'!F328</f>
        <v>0</v>
      </c>
      <c r="S328">
        <f>'Audit Report'!Q328</f>
        <v>0</v>
      </c>
    </row>
    <row r="329" spans="4:19">
      <c r="D329">
        <f>'Audit Report'!B329</f>
        <v>0</v>
      </c>
      <c r="E329">
        <f>'Audit Report'!C329</f>
        <v>0</v>
      </c>
      <c r="I329">
        <f>'Audit Report'!D329</f>
        <v>0</v>
      </c>
      <c r="J329">
        <f>'Audit Report'!H329</f>
        <v>0</v>
      </c>
      <c r="L329" t="str">
        <f>_xlfn.TEXTJOIN(", ", FALSE, 'Audit Report'!K329,'Audit Report'!L329,'Audit Report'!M329)</f>
        <v xml:space="preserve">, , </v>
      </c>
      <c r="M329">
        <f>'Audit Report'!O329</f>
        <v>0</v>
      </c>
      <c r="N329" t="str" cm="1">
        <f t="array" ref="N329">IF(M329="","",
_xlfn.TEXTJOIN(", ",TRUE,
    _xlfn.MAP(_xlfn.TEXTSPLIT(M329,","),_xlfn.LAMBDA(_xlpm.x,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9">
        <f>'Audit Report'!F329</f>
        <v>0</v>
      </c>
      <c r="S329">
        <f>'Audit Report'!Q329</f>
        <v>0</v>
      </c>
    </row>
    <row r="330" spans="4:19">
      <c r="D330">
        <f>'Audit Report'!B330</f>
        <v>0</v>
      </c>
      <c r="E330">
        <f>'Audit Report'!C330</f>
        <v>0</v>
      </c>
      <c r="I330">
        <f>'Audit Report'!D330</f>
        <v>0</v>
      </c>
      <c r="J330">
        <f>'Audit Report'!H330</f>
        <v>0</v>
      </c>
      <c r="L330" t="str">
        <f>_xlfn.TEXTJOIN(", ", FALSE, 'Audit Report'!K330,'Audit Report'!L330,'Audit Report'!M330)</f>
        <v xml:space="preserve">, , </v>
      </c>
      <c r="M330">
        <f>'Audit Report'!O330</f>
        <v>0</v>
      </c>
      <c r="N330" t="str" cm="1">
        <f t="array" ref="N330">IF(M330="","",
_xlfn.TEXTJOIN(", ",TRUE,
    _xlfn.MAP(_xlfn.TEXTSPLIT(M330,","),_xlfn.LAMBDA(_xlpm.x,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0">
        <f>'Audit Report'!F330</f>
        <v>0</v>
      </c>
      <c r="S330">
        <f>'Audit Report'!Q330</f>
        <v>0</v>
      </c>
    </row>
    <row r="331" spans="4:19">
      <c r="D331">
        <f>'Audit Report'!B331</f>
        <v>0</v>
      </c>
      <c r="E331">
        <f>'Audit Report'!C331</f>
        <v>0</v>
      </c>
      <c r="I331">
        <f>'Audit Report'!D331</f>
        <v>0</v>
      </c>
      <c r="J331">
        <f>'Audit Report'!H331</f>
        <v>0</v>
      </c>
      <c r="L331" t="str">
        <f>_xlfn.TEXTJOIN(", ", FALSE, 'Audit Report'!K331,'Audit Report'!L331,'Audit Report'!M331)</f>
        <v xml:space="preserve">, , </v>
      </c>
      <c r="M331">
        <f>'Audit Report'!O331</f>
        <v>0</v>
      </c>
      <c r="N331" t="str" cm="1">
        <f t="array" ref="N331">IF(M331="","",
_xlfn.TEXTJOIN(", ",TRUE,
    _xlfn.MAP(_xlfn.TEXTSPLIT(M331,","),_xlfn.LAMBDA(_xlpm.x,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1">
        <f>'Audit Report'!F331</f>
        <v>0</v>
      </c>
      <c r="S331">
        <f>'Audit Report'!Q331</f>
        <v>0</v>
      </c>
    </row>
    <row r="332" spans="4:19">
      <c r="D332">
        <f>'Audit Report'!B332</f>
        <v>0</v>
      </c>
      <c r="E332">
        <f>'Audit Report'!C332</f>
        <v>0</v>
      </c>
      <c r="I332">
        <f>'Audit Report'!D332</f>
        <v>0</v>
      </c>
      <c r="J332">
        <f>'Audit Report'!H332</f>
        <v>0</v>
      </c>
      <c r="L332" t="str">
        <f>_xlfn.TEXTJOIN(", ", FALSE, 'Audit Report'!K332,'Audit Report'!L332,'Audit Report'!M332)</f>
        <v xml:space="preserve">, , </v>
      </c>
      <c r="M332">
        <f>'Audit Report'!O332</f>
        <v>0</v>
      </c>
      <c r="N332" t="str" cm="1">
        <f t="array" ref="N332">IF(M332="","",
_xlfn.TEXTJOIN(", ",TRUE,
    _xlfn.MAP(_xlfn.TEXTSPLIT(M332,","),_xlfn.LAMBDA(_xlpm.x,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2">
        <f>'Audit Report'!F332</f>
        <v>0</v>
      </c>
      <c r="S332">
        <f>'Audit Report'!Q332</f>
        <v>0</v>
      </c>
    </row>
    <row r="333" spans="4:19">
      <c r="D333">
        <f>'Audit Report'!B333</f>
        <v>0</v>
      </c>
      <c r="E333">
        <f>'Audit Report'!C333</f>
        <v>0</v>
      </c>
      <c r="I333">
        <f>'Audit Report'!D333</f>
        <v>0</v>
      </c>
      <c r="J333">
        <f>'Audit Report'!H333</f>
        <v>0</v>
      </c>
      <c r="L333" t="str">
        <f>_xlfn.TEXTJOIN(", ", FALSE, 'Audit Report'!K333,'Audit Report'!L333,'Audit Report'!M333)</f>
        <v xml:space="preserve">, , </v>
      </c>
      <c r="M333">
        <f>'Audit Report'!O333</f>
        <v>0</v>
      </c>
      <c r="N333" t="str" cm="1">
        <f t="array" ref="N333">IF(M333="","",
_xlfn.TEXTJOIN(", ",TRUE,
    _xlfn.MAP(_xlfn.TEXTSPLIT(M333,","),_xlfn.LAMBDA(_xlpm.x,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3">
        <f>'Audit Report'!F333</f>
        <v>0</v>
      </c>
      <c r="S333">
        <f>'Audit Report'!Q333</f>
        <v>0</v>
      </c>
    </row>
    <row r="334" spans="4:19">
      <c r="D334">
        <f>'Audit Report'!B334</f>
        <v>0</v>
      </c>
      <c r="E334">
        <f>'Audit Report'!C334</f>
        <v>0</v>
      </c>
      <c r="I334">
        <f>'Audit Report'!D334</f>
        <v>0</v>
      </c>
      <c r="J334">
        <f>'Audit Report'!H334</f>
        <v>0</v>
      </c>
      <c r="L334" t="str">
        <f>_xlfn.TEXTJOIN(", ", FALSE, 'Audit Report'!K334,'Audit Report'!L334,'Audit Report'!M334)</f>
        <v xml:space="preserve">, , </v>
      </c>
      <c r="M334">
        <f>'Audit Report'!O334</f>
        <v>0</v>
      </c>
      <c r="N334" t="str" cm="1">
        <f t="array" ref="N334">IF(M334="","",
_xlfn.TEXTJOIN(", ",TRUE,
    _xlfn.MAP(_xlfn.TEXTSPLIT(M334,","),_xlfn.LAMBDA(_xlpm.x,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4">
        <f>'Audit Report'!F334</f>
        <v>0</v>
      </c>
      <c r="S334">
        <f>'Audit Report'!Q334</f>
        <v>0</v>
      </c>
    </row>
    <row r="335" spans="4:19">
      <c r="D335">
        <f>'Audit Report'!B335</f>
        <v>0</v>
      </c>
      <c r="E335">
        <f>'Audit Report'!C335</f>
        <v>0</v>
      </c>
      <c r="I335">
        <f>'Audit Report'!D335</f>
        <v>0</v>
      </c>
      <c r="J335">
        <f>'Audit Report'!H335</f>
        <v>0</v>
      </c>
      <c r="L335" t="str">
        <f>_xlfn.TEXTJOIN(", ", FALSE, 'Audit Report'!K335,'Audit Report'!L335,'Audit Report'!M335)</f>
        <v xml:space="preserve">, , </v>
      </c>
      <c r="M335">
        <f>'Audit Report'!O335</f>
        <v>0</v>
      </c>
      <c r="N335" t="str" cm="1">
        <f t="array" ref="N335">IF(M335="","",
_xlfn.TEXTJOIN(", ",TRUE,
    _xlfn.MAP(_xlfn.TEXTSPLIT(M335,","),_xlfn.LAMBDA(_xlpm.x,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5">
        <f>'Audit Report'!F335</f>
        <v>0</v>
      </c>
      <c r="S335">
        <f>'Audit Report'!Q335</f>
        <v>0</v>
      </c>
    </row>
    <row r="336" spans="4:19">
      <c r="D336">
        <f>'Audit Report'!B336</f>
        <v>0</v>
      </c>
      <c r="E336">
        <f>'Audit Report'!C336</f>
        <v>0</v>
      </c>
      <c r="I336">
        <f>'Audit Report'!D336</f>
        <v>0</v>
      </c>
      <c r="J336">
        <f>'Audit Report'!H336</f>
        <v>0</v>
      </c>
      <c r="L336" t="str">
        <f>_xlfn.TEXTJOIN(", ", FALSE, 'Audit Report'!K336,'Audit Report'!L336,'Audit Report'!M336)</f>
        <v xml:space="preserve">, , </v>
      </c>
      <c r="M336">
        <f>'Audit Report'!O336</f>
        <v>0</v>
      </c>
      <c r="N336" t="str" cm="1">
        <f t="array" ref="N336">IF(M336="","",
_xlfn.TEXTJOIN(", ",TRUE,
    _xlfn.MAP(_xlfn.TEXTSPLIT(M336,","),_xlfn.LAMBDA(_xlpm.x,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6">
        <f>'Audit Report'!F336</f>
        <v>0</v>
      </c>
      <c r="S336">
        <f>'Audit Report'!Q336</f>
        <v>0</v>
      </c>
    </row>
    <row r="337" spans="4:19">
      <c r="D337">
        <f>'Audit Report'!B337</f>
        <v>0</v>
      </c>
      <c r="E337">
        <f>'Audit Report'!C337</f>
        <v>0</v>
      </c>
      <c r="I337">
        <f>'Audit Report'!D337</f>
        <v>0</v>
      </c>
      <c r="J337">
        <f>'Audit Report'!H337</f>
        <v>0</v>
      </c>
      <c r="L337" t="str">
        <f>_xlfn.TEXTJOIN(", ", FALSE, 'Audit Report'!K337,'Audit Report'!L337,'Audit Report'!M337)</f>
        <v xml:space="preserve">, , </v>
      </c>
      <c r="M337">
        <f>'Audit Report'!O337</f>
        <v>0</v>
      </c>
      <c r="N337" t="str" cm="1">
        <f t="array" ref="N337">IF(M337="","",
_xlfn.TEXTJOIN(", ",TRUE,
    _xlfn.MAP(_xlfn.TEXTSPLIT(M337,","),_xlfn.LAMBDA(_xlpm.x,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7">
        <f>'Audit Report'!F337</f>
        <v>0</v>
      </c>
      <c r="S337">
        <f>'Audit Report'!Q337</f>
        <v>0</v>
      </c>
    </row>
    <row r="338" spans="4:19">
      <c r="D338">
        <f>'Audit Report'!B338</f>
        <v>0</v>
      </c>
      <c r="E338">
        <f>'Audit Report'!C338</f>
        <v>0</v>
      </c>
      <c r="I338">
        <f>'Audit Report'!D338</f>
        <v>0</v>
      </c>
      <c r="J338">
        <f>'Audit Report'!H338</f>
        <v>0</v>
      </c>
      <c r="L338" t="str">
        <f>_xlfn.TEXTJOIN(", ", FALSE, 'Audit Report'!K338,'Audit Report'!L338,'Audit Report'!M338)</f>
        <v xml:space="preserve">, , </v>
      </c>
      <c r="M338">
        <f>'Audit Report'!O338</f>
        <v>0</v>
      </c>
      <c r="N338" t="str" cm="1">
        <f t="array" ref="N338">IF(M338="","",
_xlfn.TEXTJOIN(", ",TRUE,
    _xlfn.MAP(_xlfn.TEXTSPLIT(M338,","),_xlfn.LAMBDA(_xlpm.x,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8">
        <f>'Audit Report'!F338</f>
        <v>0</v>
      </c>
      <c r="S338">
        <f>'Audit Report'!Q338</f>
        <v>0</v>
      </c>
    </row>
    <row r="339" spans="4:19">
      <c r="D339">
        <f>'Audit Report'!B339</f>
        <v>0</v>
      </c>
      <c r="E339">
        <f>'Audit Report'!C339</f>
        <v>0</v>
      </c>
      <c r="I339">
        <f>'Audit Report'!D339</f>
        <v>0</v>
      </c>
      <c r="J339">
        <f>'Audit Report'!H339</f>
        <v>0</v>
      </c>
      <c r="L339" t="str">
        <f>_xlfn.TEXTJOIN(", ", FALSE, 'Audit Report'!K339,'Audit Report'!L339,'Audit Report'!M339)</f>
        <v xml:space="preserve">, , </v>
      </c>
      <c r="M339">
        <f>'Audit Report'!O339</f>
        <v>0</v>
      </c>
      <c r="N339" t="str" cm="1">
        <f t="array" ref="N339">IF(M339="","",
_xlfn.TEXTJOIN(", ",TRUE,
    _xlfn.MAP(_xlfn.TEXTSPLIT(M339,","),_xlfn.LAMBDA(_xlpm.x,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9">
        <f>'Audit Report'!F339</f>
        <v>0</v>
      </c>
      <c r="S339">
        <f>'Audit Report'!Q339</f>
        <v>0</v>
      </c>
    </row>
    <row r="340" spans="4:19">
      <c r="D340">
        <f>'Audit Report'!B340</f>
        <v>0</v>
      </c>
      <c r="E340">
        <f>'Audit Report'!C340</f>
        <v>0</v>
      </c>
      <c r="I340">
        <f>'Audit Report'!D340</f>
        <v>0</v>
      </c>
      <c r="J340">
        <f>'Audit Report'!H340</f>
        <v>0</v>
      </c>
      <c r="L340" t="str">
        <f>_xlfn.TEXTJOIN(", ", FALSE, 'Audit Report'!K340,'Audit Report'!L340,'Audit Report'!M340)</f>
        <v xml:space="preserve">, , </v>
      </c>
      <c r="M340">
        <f>'Audit Report'!O340</f>
        <v>0</v>
      </c>
      <c r="N340" t="str" cm="1">
        <f t="array" ref="N340">IF(M340="","",
_xlfn.TEXTJOIN(", ",TRUE,
    _xlfn.MAP(_xlfn.TEXTSPLIT(M340,","),_xlfn.LAMBDA(_xlpm.x,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0">
        <f>'Audit Report'!F340</f>
        <v>0</v>
      </c>
      <c r="S340">
        <f>'Audit Report'!Q340</f>
        <v>0</v>
      </c>
    </row>
    <row r="341" spans="4:19">
      <c r="D341">
        <f>'Audit Report'!B341</f>
        <v>0</v>
      </c>
      <c r="E341">
        <f>'Audit Report'!C341</f>
        <v>0</v>
      </c>
      <c r="I341">
        <f>'Audit Report'!D341</f>
        <v>0</v>
      </c>
      <c r="J341">
        <f>'Audit Report'!H341</f>
        <v>0</v>
      </c>
      <c r="L341" t="str">
        <f>_xlfn.TEXTJOIN(", ", FALSE, 'Audit Report'!K341,'Audit Report'!L341,'Audit Report'!M341)</f>
        <v xml:space="preserve">, , </v>
      </c>
      <c r="M341">
        <f>'Audit Report'!O341</f>
        <v>0</v>
      </c>
      <c r="N341" t="str" cm="1">
        <f t="array" ref="N341">IF(M341="","",
_xlfn.TEXTJOIN(", ",TRUE,
    _xlfn.MAP(_xlfn.TEXTSPLIT(M341,","),_xlfn.LAMBDA(_xlpm.x,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1">
        <f>'Audit Report'!F341</f>
        <v>0</v>
      </c>
      <c r="S341">
        <f>'Audit Report'!Q341</f>
        <v>0</v>
      </c>
    </row>
    <row r="342" spans="4:19">
      <c r="D342">
        <f>'Audit Report'!B342</f>
        <v>0</v>
      </c>
      <c r="E342">
        <f>'Audit Report'!C342</f>
        <v>0</v>
      </c>
      <c r="I342">
        <f>'Audit Report'!D342</f>
        <v>0</v>
      </c>
      <c r="J342">
        <f>'Audit Report'!H342</f>
        <v>0</v>
      </c>
      <c r="L342" t="str">
        <f>_xlfn.TEXTJOIN(", ", FALSE, 'Audit Report'!K342,'Audit Report'!L342,'Audit Report'!M342)</f>
        <v xml:space="preserve">, , </v>
      </c>
      <c r="M342">
        <f>'Audit Report'!O342</f>
        <v>0</v>
      </c>
      <c r="N342" t="str" cm="1">
        <f t="array" ref="N342">IF(M342="","",
_xlfn.TEXTJOIN(", ",TRUE,
    _xlfn.MAP(_xlfn.TEXTSPLIT(M342,","),_xlfn.LAMBDA(_xlpm.x,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2">
        <f>'Audit Report'!F342</f>
        <v>0</v>
      </c>
      <c r="S342">
        <f>'Audit Report'!Q342</f>
        <v>0</v>
      </c>
    </row>
    <row r="343" spans="4:19">
      <c r="D343">
        <f>'Audit Report'!B343</f>
        <v>0</v>
      </c>
      <c r="E343">
        <f>'Audit Report'!C343</f>
        <v>0</v>
      </c>
      <c r="I343">
        <f>'Audit Report'!D343</f>
        <v>0</v>
      </c>
      <c r="J343">
        <f>'Audit Report'!H343</f>
        <v>0</v>
      </c>
      <c r="L343" t="str">
        <f>_xlfn.TEXTJOIN(", ", FALSE, 'Audit Report'!K343,'Audit Report'!L343,'Audit Report'!M343)</f>
        <v xml:space="preserve">, , </v>
      </c>
      <c r="M343">
        <f>'Audit Report'!O343</f>
        <v>0</v>
      </c>
      <c r="N343" t="str" cm="1">
        <f t="array" ref="N343">IF(M343="","",
_xlfn.TEXTJOIN(", ",TRUE,
    _xlfn.MAP(_xlfn.TEXTSPLIT(M343,","),_xlfn.LAMBDA(_xlpm.x,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3">
        <f>'Audit Report'!F343</f>
        <v>0</v>
      </c>
      <c r="S343">
        <f>'Audit Report'!Q343</f>
        <v>0</v>
      </c>
    </row>
    <row r="344" spans="4:19">
      <c r="D344">
        <f>'Audit Report'!B344</f>
        <v>0</v>
      </c>
      <c r="E344">
        <f>'Audit Report'!C344</f>
        <v>0</v>
      </c>
      <c r="I344">
        <f>'Audit Report'!D344</f>
        <v>0</v>
      </c>
      <c r="J344">
        <f>'Audit Report'!H344</f>
        <v>0</v>
      </c>
      <c r="L344" t="str">
        <f>_xlfn.TEXTJOIN(", ", FALSE, 'Audit Report'!K344,'Audit Report'!L344,'Audit Report'!M344)</f>
        <v xml:space="preserve">, , </v>
      </c>
      <c r="M344">
        <f>'Audit Report'!O344</f>
        <v>0</v>
      </c>
      <c r="N344" t="str" cm="1">
        <f t="array" ref="N344">IF(M344="","",
_xlfn.TEXTJOIN(", ",TRUE,
    _xlfn.MAP(_xlfn.TEXTSPLIT(M344,","),_xlfn.LAMBDA(_xlpm.x,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4">
        <f>'Audit Report'!F344</f>
        <v>0</v>
      </c>
      <c r="S344">
        <f>'Audit Report'!Q344</f>
        <v>0</v>
      </c>
    </row>
    <row r="345" spans="4:19">
      <c r="D345">
        <f>'Audit Report'!B345</f>
        <v>0</v>
      </c>
      <c r="E345">
        <f>'Audit Report'!C345</f>
        <v>0</v>
      </c>
      <c r="I345">
        <f>'Audit Report'!D345</f>
        <v>0</v>
      </c>
      <c r="J345">
        <f>'Audit Report'!H345</f>
        <v>0</v>
      </c>
      <c r="L345" t="str">
        <f>_xlfn.TEXTJOIN(", ", FALSE, 'Audit Report'!K345,'Audit Report'!L345,'Audit Report'!M345)</f>
        <v xml:space="preserve">, , </v>
      </c>
      <c r="M345">
        <f>'Audit Report'!O345</f>
        <v>0</v>
      </c>
      <c r="N345" t="str" cm="1">
        <f t="array" ref="N345">IF(M345="","",
_xlfn.TEXTJOIN(", ",TRUE,
    _xlfn.MAP(_xlfn.TEXTSPLIT(M345,","),_xlfn.LAMBDA(_xlpm.x,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5">
        <f>'Audit Report'!F345</f>
        <v>0</v>
      </c>
      <c r="S345">
        <f>'Audit Report'!Q345</f>
        <v>0</v>
      </c>
    </row>
    <row r="346" spans="4:19">
      <c r="D346">
        <f>'Audit Report'!B346</f>
        <v>0</v>
      </c>
      <c r="E346">
        <f>'Audit Report'!C346</f>
        <v>0</v>
      </c>
      <c r="I346">
        <f>'Audit Report'!D346</f>
        <v>0</v>
      </c>
      <c r="J346">
        <f>'Audit Report'!H346</f>
        <v>0</v>
      </c>
      <c r="L346" t="str">
        <f>_xlfn.TEXTJOIN(", ", FALSE, 'Audit Report'!K346,'Audit Report'!L346,'Audit Report'!M346)</f>
        <v xml:space="preserve">, , </v>
      </c>
      <c r="M346">
        <f>'Audit Report'!O346</f>
        <v>0</v>
      </c>
      <c r="N346" t="str" cm="1">
        <f t="array" ref="N346">IF(M346="","",
_xlfn.TEXTJOIN(", ",TRUE,
    _xlfn.MAP(_xlfn.TEXTSPLIT(M346,","),_xlfn.LAMBDA(_xlpm.x,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6">
        <f>'Audit Report'!F346</f>
        <v>0</v>
      </c>
      <c r="S346">
        <f>'Audit Report'!Q346</f>
        <v>0</v>
      </c>
    </row>
    <row r="347" spans="4:19">
      <c r="D347">
        <f>'Audit Report'!B347</f>
        <v>0</v>
      </c>
      <c r="E347">
        <f>'Audit Report'!C347</f>
        <v>0</v>
      </c>
      <c r="I347">
        <f>'Audit Report'!D347</f>
        <v>0</v>
      </c>
      <c r="J347">
        <f>'Audit Report'!H347</f>
        <v>0</v>
      </c>
      <c r="L347" t="str">
        <f>_xlfn.TEXTJOIN(", ", FALSE, 'Audit Report'!K347,'Audit Report'!L347,'Audit Report'!M347)</f>
        <v xml:space="preserve">, , </v>
      </c>
      <c r="M347">
        <f>'Audit Report'!O347</f>
        <v>0</v>
      </c>
      <c r="N347" t="str" cm="1">
        <f t="array" ref="N347">IF(M347="","",
_xlfn.TEXTJOIN(", ",TRUE,
    _xlfn.MAP(_xlfn.TEXTSPLIT(M347,","),_xlfn.LAMBDA(_xlpm.x,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7">
        <f>'Audit Report'!F347</f>
        <v>0</v>
      </c>
      <c r="S347">
        <f>'Audit Report'!Q347</f>
        <v>0</v>
      </c>
    </row>
    <row r="348" spans="4:19">
      <c r="D348">
        <f>'Audit Report'!B348</f>
        <v>0</v>
      </c>
      <c r="E348">
        <f>'Audit Report'!C348</f>
        <v>0</v>
      </c>
      <c r="I348">
        <f>'Audit Report'!D348</f>
        <v>0</v>
      </c>
      <c r="J348">
        <f>'Audit Report'!H348</f>
        <v>0</v>
      </c>
      <c r="L348" t="str">
        <f>_xlfn.TEXTJOIN(", ", FALSE, 'Audit Report'!K348,'Audit Report'!L348,'Audit Report'!M348)</f>
        <v xml:space="preserve">, , </v>
      </c>
      <c r="M348">
        <f>'Audit Report'!O348</f>
        <v>0</v>
      </c>
      <c r="N348" t="str" cm="1">
        <f t="array" ref="N348">IF(M348="","",
_xlfn.TEXTJOIN(", ",TRUE,
    _xlfn.MAP(_xlfn.TEXTSPLIT(M348,","),_xlfn.LAMBDA(_xlpm.x,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8">
        <f>'Audit Report'!F348</f>
        <v>0</v>
      </c>
      <c r="S348">
        <f>'Audit Report'!Q348</f>
        <v>0</v>
      </c>
    </row>
    <row r="349" spans="4:19">
      <c r="D349">
        <f>'Audit Report'!B349</f>
        <v>0</v>
      </c>
      <c r="E349">
        <f>'Audit Report'!C349</f>
        <v>0</v>
      </c>
      <c r="I349">
        <f>'Audit Report'!D349</f>
        <v>0</v>
      </c>
      <c r="J349">
        <f>'Audit Report'!H349</f>
        <v>0</v>
      </c>
      <c r="L349" t="str">
        <f>_xlfn.TEXTJOIN(", ", FALSE, 'Audit Report'!K349,'Audit Report'!L349,'Audit Report'!M349)</f>
        <v xml:space="preserve">, , </v>
      </c>
      <c r="M349">
        <f>'Audit Report'!O349</f>
        <v>0</v>
      </c>
      <c r="N349" t="str" cm="1">
        <f t="array" ref="N349">IF(M349="","",
_xlfn.TEXTJOIN(", ",TRUE,
    _xlfn.MAP(_xlfn.TEXTSPLIT(M349,","),_xlfn.LAMBDA(_xlpm.x,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9">
        <f>'Audit Report'!F349</f>
        <v>0</v>
      </c>
      <c r="S349">
        <f>'Audit Report'!Q349</f>
        <v>0</v>
      </c>
    </row>
    <row r="350" spans="4:19">
      <c r="D350">
        <f>'Audit Report'!B350</f>
        <v>0</v>
      </c>
      <c r="E350">
        <f>'Audit Report'!C350</f>
        <v>0</v>
      </c>
      <c r="I350">
        <f>'Audit Report'!D350</f>
        <v>0</v>
      </c>
      <c r="J350">
        <f>'Audit Report'!H350</f>
        <v>0</v>
      </c>
      <c r="L350" t="str">
        <f>_xlfn.TEXTJOIN(", ", FALSE, 'Audit Report'!K350,'Audit Report'!L350,'Audit Report'!M350)</f>
        <v xml:space="preserve">, , </v>
      </c>
      <c r="M350">
        <f>'Audit Report'!O350</f>
        <v>0</v>
      </c>
      <c r="N350" t="str" cm="1">
        <f t="array" ref="N350">IF(M350="","",
_xlfn.TEXTJOIN(", ",TRUE,
    _xlfn.MAP(_xlfn.TEXTSPLIT(M350,","),_xlfn.LAMBDA(_xlpm.x,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0">
        <f>'Audit Report'!F350</f>
        <v>0</v>
      </c>
      <c r="S350">
        <f>'Audit Report'!Q350</f>
        <v>0</v>
      </c>
    </row>
    <row r="351" spans="4:19">
      <c r="D351">
        <f>'Audit Report'!B351</f>
        <v>0</v>
      </c>
      <c r="E351">
        <f>'Audit Report'!C351</f>
        <v>0</v>
      </c>
      <c r="I351">
        <f>'Audit Report'!D351</f>
        <v>0</v>
      </c>
      <c r="J351">
        <f>'Audit Report'!H351</f>
        <v>0</v>
      </c>
      <c r="L351" t="str">
        <f>_xlfn.TEXTJOIN(", ", FALSE, 'Audit Report'!K351,'Audit Report'!L351,'Audit Report'!M351)</f>
        <v xml:space="preserve">, , </v>
      </c>
      <c r="M351">
        <f>'Audit Report'!O351</f>
        <v>0</v>
      </c>
      <c r="N351" t="str" cm="1">
        <f t="array" ref="N351">IF(M351="","",
_xlfn.TEXTJOIN(", ",TRUE,
    _xlfn.MAP(_xlfn.TEXTSPLIT(M351,","),_xlfn.LAMBDA(_xlpm.x,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1">
        <f>'Audit Report'!F351</f>
        <v>0</v>
      </c>
      <c r="S351">
        <f>'Audit Report'!Q351</f>
        <v>0</v>
      </c>
    </row>
    <row r="352" spans="4:19">
      <c r="D352">
        <f>'Audit Report'!B352</f>
        <v>0</v>
      </c>
      <c r="E352">
        <f>'Audit Report'!C352</f>
        <v>0</v>
      </c>
      <c r="I352">
        <f>'Audit Report'!D352</f>
        <v>0</v>
      </c>
      <c r="J352">
        <f>'Audit Report'!H352</f>
        <v>0</v>
      </c>
      <c r="L352" t="str">
        <f>_xlfn.TEXTJOIN(", ", FALSE, 'Audit Report'!K352,'Audit Report'!L352,'Audit Report'!M352)</f>
        <v xml:space="preserve">, , </v>
      </c>
      <c r="M352">
        <f>'Audit Report'!O352</f>
        <v>0</v>
      </c>
      <c r="N352" t="str" cm="1">
        <f t="array" ref="N352">IF(M352="","",
_xlfn.TEXTJOIN(", ",TRUE,
    _xlfn.MAP(_xlfn.TEXTSPLIT(M352,","),_xlfn.LAMBDA(_xlpm.x,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2">
        <f>'Audit Report'!F352</f>
        <v>0</v>
      </c>
      <c r="S352">
        <f>'Audit Report'!Q352</f>
        <v>0</v>
      </c>
    </row>
    <row r="353" spans="4:19">
      <c r="D353">
        <f>'Audit Report'!B353</f>
        <v>0</v>
      </c>
      <c r="E353">
        <f>'Audit Report'!C353</f>
        <v>0</v>
      </c>
      <c r="I353">
        <f>'Audit Report'!D353</f>
        <v>0</v>
      </c>
      <c r="J353">
        <f>'Audit Report'!H353</f>
        <v>0</v>
      </c>
      <c r="L353" t="str">
        <f>_xlfn.TEXTJOIN(", ", FALSE, 'Audit Report'!K353,'Audit Report'!L353,'Audit Report'!M353)</f>
        <v xml:space="preserve">, , </v>
      </c>
      <c r="M353">
        <f>'Audit Report'!O353</f>
        <v>0</v>
      </c>
      <c r="N353" t="str" cm="1">
        <f t="array" ref="N353">IF(M353="","",
_xlfn.TEXTJOIN(", ",TRUE,
    _xlfn.MAP(_xlfn.TEXTSPLIT(M353,","),_xlfn.LAMBDA(_xlpm.x,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3">
        <f>'Audit Report'!F353</f>
        <v>0</v>
      </c>
      <c r="S353">
        <f>'Audit Report'!Q353</f>
        <v>0</v>
      </c>
    </row>
    <row r="354" spans="4:19">
      <c r="D354">
        <f>'Audit Report'!B354</f>
        <v>0</v>
      </c>
      <c r="E354">
        <f>'Audit Report'!C354</f>
        <v>0</v>
      </c>
      <c r="I354">
        <f>'Audit Report'!D354</f>
        <v>0</v>
      </c>
      <c r="J354">
        <f>'Audit Report'!H354</f>
        <v>0</v>
      </c>
      <c r="L354" t="str">
        <f>_xlfn.TEXTJOIN(", ", FALSE, 'Audit Report'!K354,'Audit Report'!L354,'Audit Report'!M354)</f>
        <v xml:space="preserve">, , </v>
      </c>
      <c r="M354">
        <f>'Audit Report'!O354</f>
        <v>0</v>
      </c>
      <c r="N354" t="str" cm="1">
        <f t="array" ref="N354">IF(M354="","",
_xlfn.TEXTJOIN(", ",TRUE,
    _xlfn.MAP(_xlfn.TEXTSPLIT(M354,","),_xlfn.LAMBDA(_xlpm.x,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4">
        <f>'Audit Report'!F354</f>
        <v>0</v>
      </c>
      <c r="S354">
        <f>'Audit Report'!Q354</f>
        <v>0</v>
      </c>
    </row>
    <row r="355" spans="4:19">
      <c r="D355">
        <f>'Audit Report'!B355</f>
        <v>0</v>
      </c>
      <c r="E355">
        <f>'Audit Report'!C355</f>
        <v>0</v>
      </c>
      <c r="I355">
        <f>'Audit Report'!D355</f>
        <v>0</v>
      </c>
      <c r="J355">
        <f>'Audit Report'!H355</f>
        <v>0</v>
      </c>
      <c r="L355" t="str">
        <f>_xlfn.TEXTJOIN(", ", FALSE, 'Audit Report'!K355,'Audit Report'!L355,'Audit Report'!M355)</f>
        <v xml:space="preserve">, , </v>
      </c>
      <c r="M355">
        <f>'Audit Report'!O355</f>
        <v>0</v>
      </c>
      <c r="N355" t="str" cm="1">
        <f t="array" ref="N355">IF(M355="","",
_xlfn.TEXTJOIN(", ",TRUE,
    _xlfn.MAP(_xlfn.TEXTSPLIT(M355,","),_xlfn.LAMBDA(_xlpm.x,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5">
        <f>'Audit Report'!F355</f>
        <v>0</v>
      </c>
      <c r="S355">
        <f>'Audit Report'!Q355</f>
        <v>0</v>
      </c>
    </row>
    <row r="356" spans="4:19">
      <c r="D356">
        <f>'Audit Report'!B356</f>
        <v>0</v>
      </c>
      <c r="E356">
        <f>'Audit Report'!C356</f>
        <v>0</v>
      </c>
      <c r="I356">
        <f>'Audit Report'!D356</f>
        <v>0</v>
      </c>
      <c r="J356">
        <f>'Audit Report'!H356</f>
        <v>0</v>
      </c>
      <c r="L356" t="str">
        <f>_xlfn.TEXTJOIN(", ", FALSE, 'Audit Report'!K356,'Audit Report'!L356,'Audit Report'!M356)</f>
        <v xml:space="preserve">, , </v>
      </c>
      <c r="M356">
        <f>'Audit Report'!O356</f>
        <v>0</v>
      </c>
      <c r="N356" t="str" cm="1">
        <f t="array" ref="N356">IF(M356="","",
_xlfn.TEXTJOIN(", ",TRUE,
    _xlfn.MAP(_xlfn.TEXTSPLIT(M356,","),_xlfn.LAMBDA(_xlpm.x,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6">
        <f>'Audit Report'!F356</f>
        <v>0</v>
      </c>
      <c r="S356">
        <f>'Audit Report'!Q356</f>
        <v>0</v>
      </c>
    </row>
    <row r="357" spans="4:19">
      <c r="D357">
        <f>'Audit Report'!B357</f>
        <v>0</v>
      </c>
      <c r="E357">
        <f>'Audit Report'!C357</f>
        <v>0</v>
      </c>
      <c r="I357">
        <f>'Audit Report'!D357</f>
        <v>0</v>
      </c>
      <c r="J357">
        <f>'Audit Report'!H357</f>
        <v>0</v>
      </c>
      <c r="L357" t="str">
        <f>_xlfn.TEXTJOIN(", ", FALSE, 'Audit Report'!K357,'Audit Report'!L357,'Audit Report'!M357)</f>
        <v xml:space="preserve">, , </v>
      </c>
      <c r="M357">
        <f>'Audit Report'!O357</f>
        <v>0</v>
      </c>
      <c r="N357" t="str" cm="1">
        <f t="array" ref="N357">IF(M357="","",
_xlfn.TEXTJOIN(", ",TRUE,
    _xlfn.MAP(_xlfn.TEXTSPLIT(M357,","),_xlfn.LAMBDA(_xlpm.x,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7">
        <f>'Audit Report'!F357</f>
        <v>0</v>
      </c>
      <c r="S357">
        <f>'Audit Report'!Q357</f>
        <v>0</v>
      </c>
    </row>
    <row r="358" spans="4:19">
      <c r="D358">
        <f>'Audit Report'!B358</f>
        <v>0</v>
      </c>
      <c r="E358">
        <f>'Audit Report'!C358</f>
        <v>0</v>
      </c>
      <c r="I358">
        <f>'Audit Report'!D358</f>
        <v>0</v>
      </c>
      <c r="J358">
        <f>'Audit Report'!H358</f>
        <v>0</v>
      </c>
      <c r="L358" t="str">
        <f>_xlfn.TEXTJOIN(", ", FALSE, 'Audit Report'!K358,'Audit Report'!L358,'Audit Report'!M358)</f>
        <v xml:space="preserve">, , </v>
      </c>
      <c r="M358">
        <f>'Audit Report'!O358</f>
        <v>0</v>
      </c>
      <c r="N358" t="str" cm="1">
        <f t="array" ref="N358">IF(M358="","",
_xlfn.TEXTJOIN(", ",TRUE,
    _xlfn.MAP(_xlfn.TEXTSPLIT(M358,","),_xlfn.LAMBDA(_xlpm.x,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8">
        <f>'Audit Report'!F358</f>
        <v>0</v>
      </c>
      <c r="S358">
        <f>'Audit Report'!Q358</f>
        <v>0</v>
      </c>
    </row>
    <row r="359" spans="4:19">
      <c r="D359">
        <f>'Audit Report'!B359</f>
        <v>0</v>
      </c>
      <c r="E359">
        <f>'Audit Report'!C359</f>
        <v>0</v>
      </c>
      <c r="I359">
        <f>'Audit Report'!D359</f>
        <v>0</v>
      </c>
      <c r="J359">
        <f>'Audit Report'!H359</f>
        <v>0</v>
      </c>
      <c r="L359" t="str">
        <f>_xlfn.TEXTJOIN(", ", FALSE, 'Audit Report'!K359,'Audit Report'!L359,'Audit Report'!M359)</f>
        <v xml:space="preserve">, , </v>
      </c>
      <c r="M359">
        <f>'Audit Report'!O359</f>
        <v>0</v>
      </c>
      <c r="N359" t="str" cm="1">
        <f t="array" ref="N359">IF(M359="","",
_xlfn.TEXTJOIN(", ",TRUE,
    _xlfn.MAP(_xlfn.TEXTSPLIT(M359,","),_xlfn.LAMBDA(_xlpm.x,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9">
        <f>'Audit Report'!F359</f>
        <v>0</v>
      </c>
      <c r="S359">
        <f>'Audit Report'!Q359</f>
        <v>0</v>
      </c>
    </row>
    <row r="360" spans="4:19">
      <c r="D360">
        <f>'Audit Report'!B360</f>
        <v>0</v>
      </c>
      <c r="E360">
        <f>'Audit Report'!C360</f>
        <v>0</v>
      </c>
      <c r="I360">
        <f>'Audit Report'!D360</f>
        <v>0</v>
      </c>
      <c r="J360">
        <f>'Audit Report'!H360</f>
        <v>0</v>
      </c>
      <c r="L360" t="str">
        <f>_xlfn.TEXTJOIN(", ", FALSE, 'Audit Report'!K360,'Audit Report'!L360,'Audit Report'!M360)</f>
        <v xml:space="preserve">, , </v>
      </c>
      <c r="M360">
        <f>'Audit Report'!O360</f>
        <v>0</v>
      </c>
      <c r="N360" t="str" cm="1">
        <f t="array" ref="N360">IF(M360="","",
_xlfn.TEXTJOIN(", ",TRUE,
    _xlfn.MAP(_xlfn.TEXTSPLIT(M360,","),_xlfn.LAMBDA(_xlpm.x,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0">
        <f>'Audit Report'!F360</f>
        <v>0</v>
      </c>
      <c r="S360">
        <f>'Audit Report'!Q360</f>
        <v>0</v>
      </c>
    </row>
    <row r="361" spans="4:19">
      <c r="D361">
        <f>'Audit Report'!B361</f>
        <v>0</v>
      </c>
      <c r="E361">
        <f>'Audit Report'!C361</f>
        <v>0</v>
      </c>
      <c r="I361">
        <f>'Audit Report'!D361</f>
        <v>0</v>
      </c>
      <c r="J361">
        <f>'Audit Report'!H361</f>
        <v>0</v>
      </c>
      <c r="L361" t="str">
        <f>_xlfn.TEXTJOIN(", ", FALSE, 'Audit Report'!K361,'Audit Report'!L361,'Audit Report'!M361)</f>
        <v xml:space="preserve">, , </v>
      </c>
      <c r="M361">
        <f>'Audit Report'!O361</f>
        <v>0</v>
      </c>
      <c r="N361" t="str" cm="1">
        <f t="array" ref="N361">IF(M361="","",
_xlfn.TEXTJOIN(", ",TRUE,
    _xlfn.MAP(_xlfn.TEXTSPLIT(M361,","),_xlfn.LAMBDA(_xlpm.x,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1">
        <f>'Audit Report'!F361</f>
        <v>0</v>
      </c>
      <c r="S361">
        <f>'Audit Report'!Q361</f>
        <v>0</v>
      </c>
    </row>
    <row r="362" spans="4:19">
      <c r="D362">
        <f>'Audit Report'!B362</f>
        <v>0</v>
      </c>
      <c r="E362">
        <f>'Audit Report'!C362</f>
        <v>0</v>
      </c>
      <c r="I362">
        <f>'Audit Report'!D362</f>
        <v>0</v>
      </c>
      <c r="J362">
        <f>'Audit Report'!H362</f>
        <v>0</v>
      </c>
      <c r="L362" t="str">
        <f>_xlfn.TEXTJOIN(", ", FALSE, 'Audit Report'!K362,'Audit Report'!L362,'Audit Report'!M362)</f>
        <v xml:space="preserve">, , </v>
      </c>
      <c r="M362">
        <f>'Audit Report'!O362</f>
        <v>0</v>
      </c>
      <c r="N362" t="str" cm="1">
        <f t="array" ref="N362">IF(M362="","",
_xlfn.TEXTJOIN(", ",TRUE,
    _xlfn.MAP(_xlfn.TEXTSPLIT(M362,","),_xlfn.LAMBDA(_xlpm.x,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2">
        <f>'Audit Report'!F362</f>
        <v>0</v>
      </c>
      <c r="S362">
        <f>'Audit Report'!Q362</f>
        <v>0</v>
      </c>
    </row>
    <row r="363" spans="4:19">
      <c r="D363">
        <f>'Audit Report'!B363</f>
        <v>0</v>
      </c>
      <c r="E363">
        <f>'Audit Report'!C363</f>
        <v>0</v>
      </c>
      <c r="I363">
        <f>'Audit Report'!D363</f>
        <v>0</v>
      </c>
      <c r="J363">
        <f>'Audit Report'!H363</f>
        <v>0</v>
      </c>
      <c r="L363" t="str">
        <f>_xlfn.TEXTJOIN(", ", FALSE, 'Audit Report'!K363,'Audit Report'!L363,'Audit Report'!M363)</f>
        <v xml:space="preserve">, , </v>
      </c>
      <c r="M363">
        <f>'Audit Report'!O363</f>
        <v>0</v>
      </c>
      <c r="N363" t="str" cm="1">
        <f t="array" ref="N363">IF(M363="","",
_xlfn.TEXTJOIN(", ",TRUE,
    _xlfn.MAP(_xlfn.TEXTSPLIT(M363,","),_xlfn.LAMBDA(_xlpm.x,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3">
        <f>'Audit Report'!F363</f>
        <v>0</v>
      </c>
      <c r="S363">
        <f>'Audit Report'!Q363</f>
        <v>0</v>
      </c>
    </row>
    <row r="364" spans="4:19">
      <c r="D364">
        <f>'Audit Report'!B364</f>
        <v>0</v>
      </c>
      <c r="E364">
        <f>'Audit Report'!C364</f>
        <v>0</v>
      </c>
      <c r="I364">
        <f>'Audit Report'!D364</f>
        <v>0</v>
      </c>
      <c r="J364">
        <f>'Audit Report'!H364</f>
        <v>0</v>
      </c>
      <c r="L364" t="str">
        <f>_xlfn.TEXTJOIN(", ", FALSE, 'Audit Report'!K364,'Audit Report'!L364,'Audit Report'!M364)</f>
        <v xml:space="preserve">, , </v>
      </c>
      <c r="M364">
        <f>'Audit Report'!O364</f>
        <v>0</v>
      </c>
      <c r="N364" t="str" cm="1">
        <f t="array" ref="N364">IF(M364="","",
_xlfn.TEXTJOIN(", ",TRUE,
    _xlfn.MAP(_xlfn.TEXTSPLIT(M364,","),_xlfn.LAMBDA(_xlpm.x,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4">
        <f>'Audit Report'!F364</f>
        <v>0</v>
      </c>
      <c r="S364">
        <f>'Audit Report'!Q364</f>
        <v>0</v>
      </c>
    </row>
    <row r="365" spans="4:19">
      <c r="D365">
        <f>'Audit Report'!B365</f>
        <v>0</v>
      </c>
      <c r="E365">
        <f>'Audit Report'!C365</f>
        <v>0</v>
      </c>
      <c r="I365">
        <f>'Audit Report'!D365</f>
        <v>0</v>
      </c>
      <c r="J365">
        <f>'Audit Report'!H365</f>
        <v>0</v>
      </c>
      <c r="L365" t="str">
        <f>_xlfn.TEXTJOIN(", ", FALSE, 'Audit Report'!K365,'Audit Report'!L365,'Audit Report'!M365)</f>
        <v xml:space="preserve">, , </v>
      </c>
      <c r="M365">
        <f>'Audit Report'!O365</f>
        <v>0</v>
      </c>
      <c r="N365" t="str" cm="1">
        <f t="array" ref="N365">IF(M365="","",
_xlfn.TEXTJOIN(", ",TRUE,
    _xlfn.MAP(_xlfn.TEXTSPLIT(M365,","),_xlfn.LAMBDA(_xlpm.x,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5">
        <f>'Audit Report'!F365</f>
        <v>0</v>
      </c>
      <c r="S365">
        <f>'Audit Report'!Q365</f>
        <v>0</v>
      </c>
    </row>
    <row r="366" spans="4:19">
      <c r="D366">
        <f>'Audit Report'!B366</f>
        <v>0</v>
      </c>
      <c r="E366">
        <f>'Audit Report'!C366</f>
        <v>0</v>
      </c>
      <c r="I366">
        <f>'Audit Report'!D366</f>
        <v>0</v>
      </c>
      <c r="J366">
        <f>'Audit Report'!H366</f>
        <v>0</v>
      </c>
      <c r="L366" t="str">
        <f>_xlfn.TEXTJOIN(", ", FALSE, 'Audit Report'!K366,'Audit Report'!L366,'Audit Report'!M366)</f>
        <v xml:space="preserve">, , </v>
      </c>
      <c r="M366">
        <f>'Audit Report'!O366</f>
        <v>0</v>
      </c>
      <c r="N366" t="str" cm="1">
        <f t="array" ref="N366">IF(M366="","",
_xlfn.TEXTJOIN(", ",TRUE,
    _xlfn.MAP(_xlfn.TEXTSPLIT(M366,","),_xlfn.LAMBDA(_xlpm.x,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6">
        <f>'Audit Report'!F366</f>
        <v>0</v>
      </c>
      <c r="S366">
        <f>'Audit Report'!Q366</f>
        <v>0</v>
      </c>
    </row>
    <row r="367" spans="4:19">
      <c r="D367">
        <f>'Audit Report'!B367</f>
        <v>0</v>
      </c>
      <c r="E367">
        <f>'Audit Report'!C367</f>
        <v>0</v>
      </c>
      <c r="I367">
        <f>'Audit Report'!D367</f>
        <v>0</v>
      </c>
      <c r="J367">
        <f>'Audit Report'!H367</f>
        <v>0</v>
      </c>
      <c r="L367" t="str">
        <f>_xlfn.TEXTJOIN(", ", FALSE, 'Audit Report'!K367,'Audit Report'!L367,'Audit Report'!M367)</f>
        <v xml:space="preserve">, , </v>
      </c>
      <c r="M367">
        <f>'Audit Report'!O367</f>
        <v>0</v>
      </c>
      <c r="N367" t="str" cm="1">
        <f t="array" ref="N367">IF(M367="","",
_xlfn.TEXTJOIN(", ",TRUE,
    _xlfn.MAP(_xlfn.TEXTSPLIT(M367,","),_xlfn.LAMBDA(_xlpm.x,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7">
        <f>'Audit Report'!F367</f>
        <v>0</v>
      </c>
      <c r="S367">
        <f>'Audit Report'!Q367</f>
        <v>0</v>
      </c>
    </row>
    <row r="368" spans="4:19">
      <c r="D368">
        <f>'Audit Report'!B368</f>
        <v>0</v>
      </c>
      <c r="E368">
        <f>'Audit Report'!C368</f>
        <v>0</v>
      </c>
      <c r="I368">
        <f>'Audit Report'!D368</f>
        <v>0</v>
      </c>
      <c r="J368">
        <f>'Audit Report'!H368</f>
        <v>0</v>
      </c>
      <c r="L368" t="str">
        <f>_xlfn.TEXTJOIN(", ", FALSE, 'Audit Report'!K368,'Audit Report'!L368,'Audit Report'!M368)</f>
        <v xml:space="preserve">, , </v>
      </c>
      <c r="M368">
        <f>'Audit Report'!O368</f>
        <v>0</v>
      </c>
      <c r="N368" t="str" cm="1">
        <f t="array" ref="N368">IF(M368="","",
_xlfn.TEXTJOIN(", ",TRUE,
    _xlfn.MAP(_xlfn.TEXTSPLIT(M368,","),_xlfn.LAMBDA(_xlpm.x,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8">
        <f>'Audit Report'!F368</f>
        <v>0</v>
      </c>
      <c r="S368">
        <f>'Audit Report'!Q368</f>
        <v>0</v>
      </c>
    </row>
    <row r="369" spans="4:19">
      <c r="D369">
        <f>'Audit Report'!B369</f>
        <v>0</v>
      </c>
      <c r="E369">
        <f>'Audit Report'!C369</f>
        <v>0</v>
      </c>
      <c r="I369">
        <f>'Audit Report'!D369</f>
        <v>0</v>
      </c>
      <c r="J369">
        <f>'Audit Report'!H369</f>
        <v>0</v>
      </c>
      <c r="L369" t="str">
        <f>_xlfn.TEXTJOIN(", ", FALSE, 'Audit Report'!K369,'Audit Report'!L369,'Audit Report'!M369)</f>
        <v xml:space="preserve">, , </v>
      </c>
      <c r="M369">
        <f>'Audit Report'!O369</f>
        <v>0</v>
      </c>
      <c r="N369" t="str" cm="1">
        <f t="array" ref="N369">IF(M369="","",
_xlfn.TEXTJOIN(", ",TRUE,
    _xlfn.MAP(_xlfn.TEXTSPLIT(M369,","),_xlfn.LAMBDA(_xlpm.x,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9">
        <f>'Audit Report'!F369</f>
        <v>0</v>
      </c>
      <c r="S369">
        <f>'Audit Report'!Q369</f>
        <v>0</v>
      </c>
    </row>
    <row r="370" spans="4:19">
      <c r="D370">
        <f>'Audit Report'!B370</f>
        <v>0</v>
      </c>
      <c r="E370">
        <f>'Audit Report'!C370</f>
        <v>0</v>
      </c>
      <c r="I370">
        <f>'Audit Report'!D370</f>
        <v>0</v>
      </c>
      <c r="J370">
        <f>'Audit Report'!H370</f>
        <v>0</v>
      </c>
      <c r="L370" t="str">
        <f>_xlfn.TEXTJOIN(", ", FALSE, 'Audit Report'!K370,'Audit Report'!L370,'Audit Report'!M370)</f>
        <v xml:space="preserve">, , </v>
      </c>
      <c r="M370">
        <f>'Audit Report'!O370</f>
        <v>0</v>
      </c>
      <c r="N370" t="str" cm="1">
        <f t="array" ref="N370">IF(M370="","",
_xlfn.TEXTJOIN(", ",TRUE,
    _xlfn.MAP(_xlfn.TEXTSPLIT(M370,","),_xlfn.LAMBDA(_xlpm.x,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0">
        <f>'Audit Report'!F370</f>
        <v>0</v>
      </c>
      <c r="S370">
        <f>'Audit Report'!Q370</f>
        <v>0</v>
      </c>
    </row>
    <row r="371" spans="4:19">
      <c r="D371">
        <f>'Audit Report'!B371</f>
        <v>0</v>
      </c>
      <c r="E371">
        <f>'Audit Report'!C371</f>
        <v>0</v>
      </c>
      <c r="I371">
        <f>'Audit Report'!D371</f>
        <v>0</v>
      </c>
      <c r="J371">
        <f>'Audit Report'!H371</f>
        <v>0</v>
      </c>
      <c r="L371" t="str">
        <f>_xlfn.TEXTJOIN(", ", FALSE, 'Audit Report'!K371,'Audit Report'!L371,'Audit Report'!M371)</f>
        <v xml:space="preserve">, , </v>
      </c>
      <c r="M371">
        <f>'Audit Report'!O371</f>
        <v>0</v>
      </c>
      <c r="N371" t="str" cm="1">
        <f t="array" ref="N371">IF(M371="","",
_xlfn.TEXTJOIN(", ",TRUE,
    _xlfn.MAP(_xlfn.TEXTSPLIT(M371,","),_xlfn.LAMBDA(_xlpm.x,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1">
        <f>'Audit Report'!F371</f>
        <v>0</v>
      </c>
      <c r="S371">
        <f>'Audit Report'!Q371</f>
        <v>0</v>
      </c>
    </row>
    <row r="372" spans="4:19">
      <c r="D372">
        <f>'Audit Report'!B372</f>
        <v>0</v>
      </c>
      <c r="E372">
        <f>'Audit Report'!C372</f>
        <v>0</v>
      </c>
      <c r="I372">
        <f>'Audit Report'!D372</f>
        <v>0</v>
      </c>
      <c r="J372">
        <f>'Audit Report'!H372</f>
        <v>0</v>
      </c>
      <c r="L372" t="str">
        <f>_xlfn.TEXTJOIN(", ", FALSE, 'Audit Report'!K372,'Audit Report'!L372,'Audit Report'!M372)</f>
        <v xml:space="preserve">, , </v>
      </c>
      <c r="M372">
        <f>'Audit Report'!O372</f>
        <v>0</v>
      </c>
      <c r="N372" t="str" cm="1">
        <f t="array" ref="N372">IF(M372="","",
_xlfn.TEXTJOIN(", ",TRUE,
    _xlfn.MAP(_xlfn.TEXTSPLIT(M372,","),_xlfn.LAMBDA(_xlpm.x,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2">
        <f>'Audit Report'!F372</f>
        <v>0</v>
      </c>
      <c r="S372">
        <f>'Audit Report'!Q372</f>
        <v>0</v>
      </c>
    </row>
    <row r="373" spans="4:19">
      <c r="D373">
        <f>'Audit Report'!B373</f>
        <v>0</v>
      </c>
      <c r="E373">
        <f>'Audit Report'!C373</f>
        <v>0</v>
      </c>
      <c r="I373">
        <f>'Audit Report'!D373</f>
        <v>0</v>
      </c>
      <c r="J373">
        <f>'Audit Report'!H373</f>
        <v>0</v>
      </c>
      <c r="L373" t="str">
        <f>_xlfn.TEXTJOIN(", ", FALSE, 'Audit Report'!K373,'Audit Report'!L373,'Audit Report'!M373)</f>
        <v xml:space="preserve">, , </v>
      </c>
      <c r="M373">
        <f>'Audit Report'!O373</f>
        <v>0</v>
      </c>
      <c r="N373" t="str" cm="1">
        <f t="array" ref="N373">IF(M373="","",
_xlfn.TEXTJOIN(", ",TRUE,
    _xlfn.MAP(_xlfn.TEXTSPLIT(M373,","),_xlfn.LAMBDA(_xlpm.x,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3">
        <f>'Audit Report'!F373</f>
        <v>0</v>
      </c>
      <c r="S373">
        <f>'Audit Report'!Q373</f>
        <v>0</v>
      </c>
    </row>
    <row r="374" spans="4:19">
      <c r="D374">
        <f>'Audit Report'!B374</f>
        <v>0</v>
      </c>
      <c r="E374">
        <f>'Audit Report'!C374</f>
        <v>0</v>
      </c>
      <c r="I374">
        <f>'Audit Report'!D374</f>
        <v>0</v>
      </c>
      <c r="J374">
        <f>'Audit Report'!H374</f>
        <v>0</v>
      </c>
      <c r="L374" t="str">
        <f>_xlfn.TEXTJOIN(", ", FALSE, 'Audit Report'!K374,'Audit Report'!L374,'Audit Report'!M374)</f>
        <v xml:space="preserve">, , </v>
      </c>
      <c r="M374">
        <f>'Audit Report'!O374</f>
        <v>0</v>
      </c>
      <c r="N374" t="str" cm="1">
        <f t="array" ref="N374">IF(M374="","",
_xlfn.TEXTJOIN(", ",TRUE,
    _xlfn.MAP(_xlfn.TEXTSPLIT(M374,","),_xlfn.LAMBDA(_xlpm.x,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4">
        <f>'Audit Report'!F374</f>
        <v>0</v>
      </c>
      <c r="S374">
        <f>'Audit Report'!Q374</f>
        <v>0</v>
      </c>
    </row>
    <row r="375" spans="4:19">
      <c r="D375">
        <f>'Audit Report'!B375</f>
        <v>0</v>
      </c>
      <c r="E375">
        <f>'Audit Report'!C375</f>
        <v>0</v>
      </c>
      <c r="I375">
        <f>'Audit Report'!D375</f>
        <v>0</v>
      </c>
      <c r="J375">
        <f>'Audit Report'!H375</f>
        <v>0</v>
      </c>
      <c r="L375" t="str">
        <f>_xlfn.TEXTJOIN(", ", FALSE, 'Audit Report'!K375,'Audit Report'!L375,'Audit Report'!M375)</f>
        <v xml:space="preserve">, , </v>
      </c>
      <c r="M375">
        <f>'Audit Report'!O375</f>
        <v>0</v>
      </c>
      <c r="N375" t="str" cm="1">
        <f t="array" ref="N375">IF(M375="","",
_xlfn.TEXTJOIN(", ",TRUE,
    _xlfn.MAP(_xlfn.TEXTSPLIT(M375,","),_xlfn.LAMBDA(_xlpm.x,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5">
        <f>'Audit Report'!F375</f>
        <v>0</v>
      </c>
      <c r="S375">
        <f>'Audit Report'!Q375</f>
        <v>0</v>
      </c>
    </row>
    <row r="376" spans="4:19">
      <c r="D376">
        <f>'Audit Report'!B376</f>
        <v>0</v>
      </c>
      <c r="E376">
        <f>'Audit Report'!C376</f>
        <v>0</v>
      </c>
      <c r="I376">
        <f>'Audit Report'!D376</f>
        <v>0</v>
      </c>
      <c r="J376">
        <f>'Audit Report'!H376</f>
        <v>0</v>
      </c>
      <c r="L376" t="str">
        <f>_xlfn.TEXTJOIN(", ", FALSE, 'Audit Report'!K376,'Audit Report'!L376,'Audit Report'!M376)</f>
        <v xml:space="preserve">, , </v>
      </c>
      <c r="M376">
        <f>'Audit Report'!O376</f>
        <v>0</v>
      </c>
      <c r="N376" t="str" cm="1">
        <f t="array" ref="N376">IF(M376="","",
_xlfn.TEXTJOIN(", ",TRUE,
    _xlfn.MAP(_xlfn.TEXTSPLIT(M376,","),_xlfn.LAMBDA(_xlpm.x,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6">
        <f>'Audit Report'!F376</f>
        <v>0</v>
      </c>
      <c r="S376">
        <f>'Audit Report'!Q376</f>
        <v>0</v>
      </c>
    </row>
    <row r="377" spans="4:19">
      <c r="D377">
        <f>'Audit Report'!B377</f>
        <v>0</v>
      </c>
      <c r="E377">
        <f>'Audit Report'!C377</f>
        <v>0</v>
      </c>
      <c r="I377">
        <f>'Audit Report'!D377</f>
        <v>0</v>
      </c>
      <c r="J377">
        <f>'Audit Report'!H377</f>
        <v>0</v>
      </c>
      <c r="L377" t="str">
        <f>_xlfn.TEXTJOIN(", ", FALSE, 'Audit Report'!K377,'Audit Report'!L377,'Audit Report'!M377)</f>
        <v xml:space="preserve">, , </v>
      </c>
      <c r="M377">
        <f>'Audit Report'!O377</f>
        <v>0</v>
      </c>
      <c r="N377" t="str" cm="1">
        <f t="array" ref="N377">IF(M377="","",
_xlfn.TEXTJOIN(", ",TRUE,
    _xlfn.MAP(_xlfn.TEXTSPLIT(M377,","),_xlfn.LAMBDA(_xlpm.x,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7">
        <f>'Audit Report'!F377</f>
        <v>0</v>
      </c>
      <c r="S377">
        <f>'Audit Report'!Q377</f>
        <v>0</v>
      </c>
    </row>
    <row r="378" spans="4:19">
      <c r="D378">
        <f>'Audit Report'!B378</f>
        <v>0</v>
      </c>
      <c r="E378">
        <f>'Audit Report'!C378</f>
        <v>0</v>
      </c>
      <c r="I378">
        <f>'Audit Report'!D378</f>
        <v>0</v>
      </c>
      <c r="J378">
        <f>'Audit Report'!H378</f>
        <v>0</v>
      </c>
      <c r="L378" t="str">
        <f>_xlfn.TEXTJOIN(", ", FALSE, 'Audit Report'!K378,'Audit Report'!L378,'Audit Report'!M378)</f>
        <v xml:space="preserve">, , </v>
      </c>
      <c r="M378">
        <f>'Audit Report'!O378</f>
        <v>0</v>
      </c>
      <c r="N378" t="str" cm="1">
        <f t="array" ref="N378">IF(M378="","",
_xlfn.TEXTJOIN(", ",TRUE,
    _xlfn.MAP(_xlfn.TEXTSPLIT(M378,","),_xlfn.LAMBDA(_xlpm.x,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8">
        <f>'Audit Report'!F378</f>
        <v>0</v>
      </c>
      <c r="S378">
        <f>'Audit Report'!Q378</f>
        <v>0</v>
      </c>
    </row>
    <row r="379" spans="4:19">
      <c r="D379">
        <f>'Audit Report'!B379</f>
        <v>0</v>
      </c>
      <c r="E379">
        <f>'Audit Report'!C379</f>
        <v>0</v>
      </c>
      <c r="I379">
        <f>'Audit Report'!D379</f>
        <v>0</v>
      </c>
      <c r="J379">
        <f>'Audit Report'!H379</f>
        <v>0</v>
      </c>
      <c r="L379" t="str">
        <f>_xlfn.TEXTJOIN(", ", FALSE, 'Audit Report'!K379,'Audit Report'!L379,'Audit Report'!M379)</f>
        <v xml:space="preserve">, , </v>
      </c>
      <c r="M379">
        <f>'Audit Report'!O379</f>
        <v>0</v>
      </c>
      <c r="N379" t="str" cm="1">
        <f t="array" ref="N379">IF(M379="","",
_xlfn.TEXTJOIN(", ",TRUE,
    _xlfn.MAP(_xlfn.TEXTSPLIT(M379,","),_xlfn.LAMBDA(_xlpm.x,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9">
        <f>'Audit Report'!F379</f>
        <v>0</v>
      </c>
      <c r="S379">
        <f>'Audit Report'!Q379</f>
        <v>0</v>
      </c>
    </row>
    <row r="380" spans="4:19">
      <c r="D380">
        <f>'Audit Report'!B380</f>
        <v>0</v>
      </c>
      <c r="E380">
        <f>'Audit Report'!C380</f>
        <v>0</v>
      </c>
      <c r="I380">
        <f>'Audit Report'!D380</f>
        <v>0</v>
      </c>
      <c r="J380">
        <f>'Audit Report'!H380</f>
        <v>0</v>
      </c>
      <c r="L380" t="str">
        <f>_xlfn.TEXTJOIN(", ", FALSE, 'Audit Report'!K380,'Audit Report'!L380,'Audit Report'!M380)</f>
        <v xml:space="preserve">, , </v>
      </c>
      <c r="M380">
        <f>'Audit Report'!O380</f>
        <v>0</v>
      </c>
      <c r="N380" t="str" cm="1">
        <f t="array" ref="N380">IF(M380="","",
_xlfn.TEXTJOIN(", ",TRUE,
    _xlfn.MAP(_xlfn.TEXTSPLIT(M380,","),_xlfn.LAMBDA(_xlpm.x,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0">
        <f>'Audit Report'!F380</f>
        <v>0</v>
      </c>
      <c r="S380">
        <f>'Audit Report'!Q380</f>
        <v>0</v>
      </c>
    </row>
    <row r="381" spans="4:19">
      <c r="D381">
        <f>'Audit Report'!B381</f>
        <v>0</v>
      </c>
      <c r="E381">
        <f>'Audit Report'!C381</f>
        <v>0</v>
      </c>
      <c r="I381">
        <f>'Audit Report'!D381</f>
        <v>0</v>
      </c>
      <c r="J381">
        <f>'Audit Report'!H381</f>
        <v>0</v>
      </c>
      <c r="L381" t="str">
        <f>_xlfn.TEXTJOIN(", ", FALSE, 'Audit Report'!K381,'Audit Report'!L381,'Audit Report'!M381)</f>
        <v xml:space="preserve">, , </v>
      </c>
      <c r="M381">
        <f>'Audit Report'!O381</f>
        <v>0</v>
      </c>
      <c r="N381" t="str" cm="1">
        <f t="array" ref="N381">IF(M381="","",
_xlfn.TEXTJOIN(", ",TRUE,
    _xlfn.MAP(_xlfn.TEXTSPLIT(M381,","),_xlfn.LAMBDA(_xlpm.x,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1">
        <f>'Audit Report'!F381</f>
        <v>0</v>
      </c>
      <c r="S381">
        <f>'Audit Report'!Q381</f>
        <v>0</v>
      </c>
    </row>
    <row r="382" spans="4:19">
      <c r="D382">
        <f>'Audit Report'!B382</f>
        <v>0</v>
      </c>
      <c r="E382">
        <f>'Audit Report'!C382</f>
        <v>0</v>
      </c>
      <c r="I382">
        <f>'Audit Report'!D382</f>
        <v>0</v>
      </c>
      <c r="J382">
        <f>'Audit Report'!H382</f>
        <v>0</v>
      </c>
      <c r="L382" t="str">
        <f>_xlfn.TEXTJOIN(", ", FALSE, 'Audit Report'!K382,'Audit Report'!L382,'Audit Report'!M382)</f>
        <v xml:space="preserve">, , </v>
      </c>
      <c r="M382">
        <f>'Audit Report'!O382</f>
        <v>0</v>
      </c>
      <c r="N382" t="str" cm="1">
        <f t="array" ref="N382">IF(M382="","",
_xlfn.TEXTJOIN(", ",TRUE,
    _xlfn.MAP(_xlfn.TEXTSPLIT(M382,","),_xlfn.LAMBDA(_xlpm.x,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2">
        <f>'Audit Report'!F382</f>
        <v>0</v>
      </c>
      <c r="S382">
        <f>'Audit Report'!Q382</f>
        <v>0</v>
      </c>
    </row>
    <row r="383" spans="4:19">
      <c r="D383">
        <f>'Audit Report'!B383</f>
        <v>0</v>
      </c>
      <c r="E383">
        <f>'Audit Report'!C383</f>
        <v>0</v>
      </c>
      <c r="I383">
        <f>'Audit Report'!D383</f>
        <v>0</v>
      </c>
      <c r="J383">
        <f>'Audit Report'!H383</f>
        <v>0</v>
      </c>
      <c r="L383" t="str">
        <f>_xlfn.TEXTJOIN(", ", FALSE, 'Audit Report'!K383,'Audit Report'!L383,'Audit Report'!M383)</f>
        <v xml:space="preserve">, , </v>
      </c>
      <c r="M383">
        <f>'Audit Report'!O383</f>
        <v>0</v>
      </c>
      <c r="N383" t="str" cm="1">
        <f t="array" ref="N383">IF(M383="","",
_xlfn.TEXTJOIN(", ",TRUE,
    _xlfn.MAP(_xlfn.TEXTSPLIT(M383,","),_xlfn.LAMBDA(_xlpm.x,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3">
        <f>'Audit Report'!F383</f>
        <v>0</v>
      </c>
      <c r="S383">
        <f>'Audit Report'!Q383</f>
        <v>0</v>
      </c>
    </row>
    <row r="384" spans="4:19">
      <c r="D384">
        <f>'Audit Report'!B384</f>
        <v>0</v>
      </c>
      <c r="E384">
        <f>'Audit Report'!C384</f>
        <v>0</v>
      </c>
      <c r="I384">
        <f>'Audit Report'!D384</f>
        <v>0</v>
      </c>
      <c r="J384">
        <f>'Audit Report'!H384</f>
        <v>0</v>
      </c>
      <c r="L384" t="str">
        <f>_xlfn.TEXTJOIN(", ", FALSE, 'Audit Report'!K384,'Audit Report'!L384,'Audit Report'!M384)</f>
        <v xml:space="preserve">, , </v>
      </c>
      <c r="M384">
        <f>'Audit Report'!O384</f>
        <v>0</v>
      </c>
      <c r="N384" t="str" cm="1">
        <f t="array" ref="N384">IF(M384="","",
_xlfn.TEXTJOIN(", ",TRUE,
    _xlfn.MAP(_xlfn.TEXTSPLIT(M384,","),_xlfn.LAMBDA(_xlpm.x,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4">
        <f>'Audit Report'!F384</f>
        <v>0</v>
      </c>
      <c r="S384">
        <f>'Audit Report'!Q384</f>
        <v>0</v>
      </c>
    </row>
    <row r="385" spans="4:19">
      <c r="D385">
        <f>'Audit Report'!B385</f>
        <v>0</v>
      </c>
      <c r="E385">
        <f>'Audit Report'!C385</f>
        <v>0</v>
      </c>
      <c r="I385">
        <f>'Audit Report'!D385</f>
        <v>0</v>
      </c>
      <c r="J385">
        <f>'Audit Report'!H385</f>
        <v>0</v>
      </c>
      <c r="L385" t="str">
        <f>_xlfn.TEXTJOIN(", ", FALSE, 'Audit Report'!K385,'Audit Report'!L385,'Audit Report'!M385)</f>
        <v xml:space="preserve">, , </v>
      </c>
      <c r="M385">
        <f>'Audit Report'!O385</f>
        <v>0</v>
      </c>
      <c r="N385" t="str" cm="1">
        <f t="array" ref="N385">IF(M385="","",
_xlfn.TEXTJOIN(", ",TRUE,
    _xlfn.MAP(_xlfn.TEXTSPLIT(M385,","),_xlfn.LAMBDA(_xlpm.x,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5">
        <f>'Audit Report'!F385</f>
        <v>0</v>
      </c>
      <c r="S385">
        <f>'Audit Report'!Q385</f>
        <v>0</v>
      </c>
    </row>
    <row r="386" spans="4:19">
      <c r="D386">
        <f>'Audit Report'!B386</f>
        <v>0</v>
      </c>
      <c r="E386">
        <f>'Audit Report'!C386</f>
        <v>0</v>
      </c>
      <c r="I386">
        <f>'Audit Report'!D386</f>
        <v>0</v>
      </c>
      <c r="J386">
        <f>'Audit Report'!H386</f>
        <v>0</v>
      </c>
      <c r="L386" t="str">
        <f>_xlfn.TEXTJOIN(", ", FALSE, 'Audit Report'!K386,'Audit Report'!L386,'Audit Report'!M386)</f>
        <v xml:space="preserve">, , </v>
      </c>
      <c r="M386">
        <f>'Audit Report'!O386</f>
        <v>0</v>
      </c>
      <c r="N386" t="str" cm="1">
        <f t="array" ref="N386">IF(M386="","",
_xlfn.TEXTJOIN(", ",TRUE,
    _xlfn.MAP(_xlfn.TEXTSPLIT(M386,","),_xlfn.LAMBDA(_xlpm.x,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6">
        <f>'Audit Report'!F386</f>
        <v>0</v>
      </c>
      <c r="S386">
        <f>'Audit Report'!Q386</f>
        <v>0</v>
      </c>
    </row>
    <row r="387" spans="4:19">
      <c r="D387">
        <f>'Audit Report'!B387</f>
        <v>0</v>
      </c>
      <c r="E387">
        <f>'Audit Report'!C387</f>
        <v>0</v>
      </c>
      <c r="I387">
        <f>'Audit Report'!D387</f>
        <v>0</v>
      </c>
      <c r="J387">
        <f>'Audit Report'!H387</f>
        <v>0</v>
      </c>
      <c r="L387" t="str">
        <f>_xlfn.TEXTJOIN(", ", FALSE, 'Audit Report'!K387,'Audit Report'!L387,'Audit Report'!M387)</f>
        <v xml:space="preserve">, , </v>
      </c>
      <c r="M387">
        <f>'Audit Report'!O387</f>
        <v>0</v>
      </c>
      <c r="N387" t="str" cm="1">
        <f t="array" ref="N387">IF(M387="","",
_xlfn.TEXTJOIN(", ",TRUE,
    _xlfn.MAP(_xlfn.TEXTSPLIT(M387,","),_xlfn.LAMBDA(_xlpm.x,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7">
        <f>'Audit Report'!F387</f>
        <v>0</v>
      </c>
      <c r="S387">
        <f>'Audit Report'!Q387</f>
        <v>0</v>
      </c>
    </row>
    <row r="388" spans="4:19">
      <c r="D388">
        <f>'Audit Report'!B388</f>
        <v>0</v>
      </c>
      <c r="E388">
        <f>'Audit Report'!C388</f>
        <v>0</v>
      </c>
      <c r="I388">
        <f>'Audit Report'!D388</f>
        <v>0</v>
      </c>
      <c r="J388">
        <f>'Audit Report'!H388</f>
        <v>0</v>
      </c>
      <c r="L388" t="str">
        <f>_xlfn.TEXTJOIN(", ", FALSE, 'Audit Report'!K388,'Audit Report'!L388,'Audit Report'!M388)</f>
        <v xml:space="preserve">, , </v>
      </c>
      <c r="M388">
        <f>'Audit Report'!O388</f>
        <v>0</v>
      </c>
      <c r="N388" t="str" cm="1">
        <f t="array" ref="N388">IF(M388="","",
_xlfn.TEXTJOIN(", ",TRUE,
    _xlfn.MAP(_xlfn.TEXTSPLIT(M388,","),_xlfn.LAMBDA(_xlpm.x,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8">
        <f>'Audit Report'!F388</f>
        <v>0</v>
      </c>
      <c r="S388">
        <f>'Audit Report'!Q388</f>
        <v>0</v>
      </c>
    </row>
    <row r="389" spans="4:19">
      <c r="D389">
        <f>'Audit Report'!B389</f>
        <v>0</v>
      </c>
      <c r="E389">
        <f>'Audit Report'!C389</f>
        <v>0</v>
      </c>
      <c r="I389">
        <f>'Audit Report'!D389</f>
        <v>0</v>
      </c>
      <c r="J389">
        <f>'Audit Report'!H389</f>
        <v>0</v>
      </c>
      <c r="L389" t="str">
        <f>_xlfn.TEXTJOIN(", ", FALSE, 'Audit Report'!K389,'Audit Report'!L389,'Audit Report'!M389)</f>
        <v xml:space="preserve">, , </v>
      </c>
      <c r="M389">
        <f>'Audit Report'!O389</f>
        <v>0</v>
      </c>
      <c r="N389" t="str" cm="1">
        <f t="array" ref="N389">IF(M389="","",
_xlfn.TEXTJOIN(", ",TRUE,
    _xlfn.MAP(_xlfn.TEXTSPLIT(M389,","),_xlfn.LAMBDA(_xlpm.x,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9">
        <f>'Audit Report'!F389</f>
        <v>0</v>
      </c>
      <c r="S389">
        <f>'Audit Report'!Q389</f>
        <v>0</v>
      </c>
    </row>
    <row r="390" spans="4:19">
      <c r="D390">
        <f>'Audit Report'!B390</f>
        <v>0</v>
      </c>
      <c r="E390">
        <f>'Audit Report'!C390</f>
        <v>0</v>
      </c>
      <c r="I390">
        <f>'Audit Report'!D390</f>
        <v>0</v>
      </c>
      <c r="J390">
        <f>'Audit Report'!H390</f>
        <v>0</v>
      </c>
      <c r="L390" t="str">
        <f>_xlfn.TEXTJOIN(", ", FALSE, 'Audit Report'!K390,'Audit Report'!L390,'Audit Report'!M390)</f>
        <v xml:space="preserve">, , </v>
      </c>
      <c r="M390">
        <f>'Audit Report'!O390</f>
        <v>0</v>
      </c>
      <c r="N390" t="str" cm="1">
        <f t="array" ref="N390">IF(M390="","",
_xlfn.TEXTJOIN(", ",TRUE,
    _xlfn.MAP(_xlfn.TEXTSPLIT(M390,","),_xlfn.LAMBDA(_xlpm.x,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0">
        <f>'Audit Report'!F390</f>
        <v>0</v>
      </c>
      <c r="S390">
        <f>'Audit Report'!Q390</f>
        <v>0</v>
      </c>
    </row>
    <row r="391" spans="4:19">
      <c r="D391">
        <f>'Audit Report'!B391</f>
        <v>0</v>
      </c>
      <c r="E391">
        <f>'Audit Report'!C391</f>
        <v>0</v>
      </c>
      <c r="I391">
        <f>'Audit Report'!D391</f>
        <v>0</v>
      </c>
      <c r="J391">
        <f>'Audit Report'!H391</f>
        <v>0</v>
      </c>
      <c r="L391" t="str">
        <f>_xlfn.TEXTJOIN(", ", FALSE, 'Audit Report'!K391,'Audit Report'!L391,'Audit Report'!M391)</f>
        <v xml:space="preserve">, , </v>
      </c>
      <c r="M391">
        <f>'Audit Report'!O391</f>
        <v>0</v>
      </c>
      <c r="N391" t="str" cm="1">
        <f t="array" ref="N391">IF(M391="","",
_xlfn.TEXTJOIN(", ",TRUE,
    _xlfn.MAP(_xlfn.TEXTSPLIT(M391,","),_xlfn.LAMBDA(_xlpm.x,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1">
        <f>'Audit Report'!F391</f>
        <v>0</v>
      </c>
      <c r="S391">
        <f>'Audit Report'!Q391</f>
        <v>0</v>
      </c>
    </row>
    <row r="392" spans="4:19">
      <c r="D392">
        <f>'Audit Report'!B392</f>
        <v>0</v>
      </c>
      <c r="E392">
        <f>'Audit Report'!C392</f>
        <v>0</v>
      </c>
      <c r="I392">
        <f>'Audit Report'!D392</f>
        <v>0</v>
      </c>
      <c r="J392">
        <f>'Audit Report'!H392</f>
        <v>0</v>
      </c>
      <c r="L392" t="str">
        <f>_xlfn.TEXTJOIN(", ", FALSE, 'Audit Report'!K392,'Audit Report'!L392,'Audit Report'!M392)</f>
        <v xml:space="preserve">, , </v>
      </c>
      <c r="M392">
        <f>'Audit Report'!O392</f>
        <v>0</v>
      </c>
      <c r="N392" t="str" cm="1">
        <f t="array" ref="N392">IF(M392="","",
_xlfn.TEXTJOIN(", ",TRUE,
    _xlfn.MAP(_xlfn.TEXTSPLIT(M392,","),_xlfn.LAMBDA(_xlpm.x,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2">
        <f>'Audit Report'!F392</f>
        <v>0</v>
      </c>
      <c r="S392">
        <f>'Audit Report'!Q392</f>
        <v>0</v>
      </c>
    </row>
    <row r="393" spans="4:19">
      <c r="D393">
        <f>'Audit Report'!B393</f>
        <v>0</v>
      </c>
      <c r="E393">
        <f>'Audit Report'!C393</f>
        <v>0</v>
      </c>
      <c r="I393">
        <f>'Audit Report'!D393</f>
        <v>0</v>
      </c>
      <c r="J393">
        <f>'Audit Report'!H393</f>
        <v>0</v>
      </c>
      <c r="L393" t="str">
        <f>_xlfn.TEXTJOIN(", ", FALSE, 'Audit Report'!K393,'Audit Report'!L393,'Audit Report'!M393)</f>
        <v xml:space="preserve">, , </v>
      </c>
      <c r="M393">
        <f>'Audit Report'!O393</f>
        <v>0</v>
      </c>
      <c r="N393" t="str" cm="1">
        <f t="array" ref="N393">IF(M393="","",
_xlfn.TEXTJOIN(", ",TRUE,
    _xlfn.MAP(_xlfn.TEXTSPLIT(M393,","),_xlfn.LAMBDA(_xlpm.x,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3">
        <f>'Audit Report'!F393</f>
        <v>0</v>
      </c>
      <c r="S393">
        <f>'Audit Report'!Q393</f>
        <v>0</v>
      </c>
    </row>
    <row r="394" spans="4:19">
      <c r="D394">
        <f>'Audit Report'!B394</f>
        <v>0</v>
      </c>
      <c r="E394">
        <f>'Audit Report'!C394</f>
        <v>0</v>
      </c>
      <c r="I394">
        <f>'Audit Report'!D394</f>
        <v>0</v>
      </c>
      <c r="J394">
        <f>'Audit Report'!H394</f>
        <v>0</v>
      </c>
      <c r="L394" t="str">
        <f>_xlfn.TEXTJOIN(", ", FALSE, 'Audit Report'!K394,'Audit Report'!L394,'Audit Report'!M394)</f>
        <v xml:space="preserve">, , </v>
      </c>
      <c r="M394">
        <f>'Audit Report'!O394</f>
        <v>0</v>
      </c>
      <c r="N394" t="str" cm="1">
        <f t="array" ref="N394">IF(M394="","",
_xlfn.TEXTJOIN(", ",TRUE,
    _xlfn.MAP(_xlfn.TEXTSPLIT(M394,","),_xlfn.LAMBDA(_xlpm.x,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4">
        <f>'Audit Report'!F394</f>
        <v>0</v>
      </c>
      <c r="S394">
        <f>'Audit Report'!Q394</f>
        <v>0</v>
      </c>
    </row>
    <row r="395" spans="4:19">
      <c r="D395">
        <f>'Audit Report'!B395</f>
        <v>0</v>
      </c>
      <c r="E395">
        <f>'Audit Report'!C395</f>
        <v>0</v>
      </c>
      <c r="I395">
        <f>'Audit Report'!D395</f>
        <v>0</v>
      </c>
      <c r="J395">
        <f>'Audit Report'!H395</f>
        <v>0</v>
      </c>
      <c r="L395" t="str">
        <f>_xlfn.TEXTJOIN(", ", FALSE, 'Audit Report'!K395,'Audit Report'!L395,'Audit Report'!M395)</f>
        <v xml:space="preserve">, , </v>
      </c>
      <c r="M395">
        <f>'Audit Report'!O395</f>
        <v>0</v>
      </c>
      <c r="N395" t="str" cm="1">
        <f t="array" ref="N395">IF(M395="","",
_xlfn.TEXTJOIN(", ",TRUE,
    _xlfn.MAP(_xlfn.TEXTSPLIT(M395,","),_xlfn.LAMBDA(_xlpm.x,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5">
        <f>'Audit Report'!F395</f>
        <v>0</v>
      </c>
      <c r="S395">
        <f>'Audit Report'!Q395</f>
        <v>0</v>
      </c>
    </row>
    <row r="396" spans="4:19">
      <c r="D396">
        <f>'Audit Report'!B396</f>
        <v>0</v>
      </c>
      <c r="E396">
        <f>'Audit Report'!C396</f>
        <v>0</v>
      </c>
      <c r="I396">
        <f>'Audit Report'!D396</f>
        <v>0</v>
      </c>
      <c r="J396">
        <f>'Audit Report'!H396</f>
        <v>0</v>
      </c>
      <c r="L396" t="str">
        <f>_xlfn.TEXTJOIN(", ", FALSE, 'Audit Report'!K396,'Audit Report'!L396,'Audit Report'!M396)</f>
        <v xml:space="preserve">, , </v>
      </c>
      <c r="M396">
        <f>'Audit Report'!O396</f>
        <v>0</v>
      </c>
      <c r="N396" t="str" cm="1">
        <f t="array" ref="N396">IF(M396="","",
_xlfn.TEXTJOIN(", ",TRUE,
    _xlfn.MAP(_xlfn.TEXTSPLIT(M396,","),_xlfn.LAMBDA(_xlpm.x,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6">
        <f>'Audit Report'!F396</f>
        <v>0</v>
      </c>
      <c r="S396">
        <f>'Audit Report'!Q396</f>
        <v>0</v>
      </c>
    </row>
    <row r="397" spans="4:19">
      <c r="D397">
        <f>'Audit Report'!B397</f>
        <v>0</v>
      </c>
      <c r="E397">
        <f>'Audit Report'!C397</f>
        <v>0</v>
      </c>
      <c r="I397">
        <f>'Audit Report'!D397</f>
        <v>0</v>
      </c>
      <c r="J397">
        <f>'Audit Report'!H397</f>
        <v>0</v>
      </c>
      <c r="L397" t="str">
        <f>_xlfn.TEXTJOIN(", ", FALSE, 'Audit Report'!K397,'Audit Report'!L397,'Audit Report'!M397)</f>
        <v xml:space="preserve">, , </v>
      </c>
      <c r="M397">
        <f>'Audit Report'!O397</f>
        <v>0</v>
      </c>
      <c r="N397" t="str" cm="1">
        <f t="array" ref="N397">IF(M397="","",
_xlfn.TEXTJOIN(", ",TRUE,
    _xlfn.MAP(_xlfn.TEXTSPLIT(M397,","),_xlfn.LAMBDA(_xlpm.x,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7">
        <f>'Audit Report'!F397</f>
        <v>0</v>
      </c>
      <c r="S397">
        <f>'Audit Report'!Q397</f>
        <v>0</v>
      </c>
    </row>
    <row r="398" spans="4:19">
      <c r="D398">
        <f>'Audit Report'!B398</f>
        <v>0</v>
      </c>
      <c r="E398">
        <f>'Audit Report'!C398</f>
        <v>0</v>
      </c>
      <c r="I398">
        <f>'Audit Report'!D398</f>
        <v>0</v>
      </c>
      <c r="J398">
        <f>'Audit Report'!H398</f>
        <v>0</v>
      </c>
      <c r="L398" t="str">
        <f>_xlfn.TEXTJOIN(", ", FALSE, 'Audit Report'!K398,'Audit Report'!L398,'Audit Report'!M398)</f>
        <v xml:space="preserve">, , </v>
      </c>
      <c r="M398">
        <f>'Audit Report'!O398</f>
        <v>0</v>
      </c>
      <c r="N398" t="str" cm="1">
        <f t="array" ref="N398">IF(M398="","",
_xlfn.TEXTJOIN(", ",TRUE,
    _xlfn.MAP(_xlfn.TEXTSPLIT(M398,","),_xlfn.LAMBDA(_xlpm.x,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8">
        <f>'Audit Report'!F398</f>
        <v>0</v>
      </c>
      <c r="S398">
        <f>'Audit Report'!Q398</f>
        <v>0</v>
      </c>
    </row>
    <row r="399" spans="4:19">
      <c r="D399">
        <f>'Audit Report'!B399</f>
        <v>0</v>
      </c>
      <c r="E399">
        <f>'Audit Report'!C399</f>
        <v>0</v>
      </c>
      <c r="I399">
        <f>'Audit Report'!D399</f>
        <v>0</v>
      </c>
      <c r="J399">
        <f>'Audit Report'!H399</f>
        <v>0</v>
      </c>
      <c r="L399" t="str">
        <f>_xlfn.TEXTJOIN(", ", FALSE, 'Audit Report'!K399,'Audit Report'!L399,'Audit Report'!M399)</f>
        <v xml:space="preserve">, , </v>
      </c>
      <c r="M399">
        <f>'Audit Report'!O399</f>
        <v>0</v>
      </c>
      <c r="N399" t="str" cm="1">
        <f t="array" ref="N399">IF(M399="","",
_xlfn.TEXTJOIN(", ",TRUE,
    _xlfn.MAP(_xlfn.TEXTSPLIT(M399,","),_xlfn.LAMBDA(_xlpm.x,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9">
        <f>'Audit Report'!F399</f>
        <v>0</v>
      </c>
      <c r="S399">
        <f>'Audit Report'!Q399</f>
        <v>0</v>
      </c>
    </row>
    <row r="400" spans="4:19">
      <c r="D400">
        <f>'Audit Report'!B400</f>
        <v>0</v>
      </c>
      <c r="E400">
        <f>'Audit Report'!C400</f>
        <v>0</v>
      </c>
      <c r="I400">
        <f>'Audit Report'!D400</f>
        <v>0</v>
      </c>
      <c r="J400">
        <f>'Audit Report'!H400</f>
        <v>0</v>
      </c>
      <c r="L400" t="str">
        <f>_xlfn.TEXTJOIN(", ", FALSE, 'Audit Report'!K400,'Audit Report'!L400,'Audit Report'!M400)</f>
        <v xml:space="preserve">, , </v>
      </c>
      <c r="M400">
        <f>'Audit Report'!O400</f>
        <v>0</v>
      </c>
      <c r="N400" t="str" cm="1">
        <f t="array" ref="N400">IF(M400="","",
_xlfn.TEXTJOIN(", ",TRUE,
    _xlfn.MAP(_xlfn.TEXTSPLIT(M400,","),_xlfn.LAMBDA(_xlpm.x,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0">
        <f>'Audit Report'!F400</f>
        <v>0</v>
      </c>
      <c r="S400">
        <f>'Audit Report'!Q400</f>
        <v>0</v>
      </c>
    </row>
    <row r="401" spans="4:19">
      <c r="D401">
        <f>'Audit Report'!B401</f>
        <v>0</v>
      </c>
      <c r="E401">
        <f>'Audit Report'!C401</f>
        <v>0</v>
      </c>
      <c r="I401">
        <f>'Audit Report'!D401</f>
        <v>0</v>
      </c>
      <c r="J401">
        <f>'Audit Report'!H401</f>
        <v>0</v>
      </c>
      <c r="L401" t="str">
        <f>_xlfn.TEXTJOIN(", ", FALSE, 'Audit Report'!K401,'Audit Report'!L401,'Audit Report'!M401)</f>
        <v xml:space="preserve">, , </v>
      </c>
      <c r="M401">
        <f>'Audit Report'!O401</f>
        <v>0</v>
      </c>
      <c r="N401" t="str" cm="1">
        <f t="array" ref="N401">IF(M401="","",
_xlfn.TEXTJOIN(", ",TRUE,
    _xlfn.MAP(_xlfn.TEXTSPLIT(M401,","),_xlfn.LAMBDA(_xlpm.x,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1">
        <f>'Audit Report'!F401</f>
        <v>0</v>
      </c>
      <c r="S401">
        <f>'Audit Report'!Q401</f>
        <v>0</v>
      </c>
    </row>
    <row r="402" spans="4:19">
      <c r="D402">
        <f>'Audit Report'!B402</f>
        <v>0</v>
      </c>
      <c r="E402">
        <f>'Audit Report'!C402</f>
        <v>0</v>
      </c>
      <c r="I402">
        <f>'Audit Report'!D402</f>
        <v>0</v>
      </c>
      <c r="J402">
        <f>'Audit Report'!H402</f>
        <v>0</v>
      </c>
      <c r="L402" t="str">
        <f>_xlfn.TEXTJOIN(", ", FALSE, 'Audit Report'!K402,'Audit Report'!L402,'Audit Report'!M402)</f>
        <v xml:space="preserve">, , </v>
      </c>
      <c r="M402">
        <f>'Audit Report'!O402</f>
        <v>0</v>
      </c>
      <c r="N402" t="str" cm="1">
        <f t="array" ref="N402">IF(M402="","",
_xlfn.TEXTJOIN(", ",TRUE,
    _xlfn.MAP(_xlfn.TEXTSPLIT(M402,","),_xlfn.LAMBDA(_xlpm.x,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2">
        <f>'Audit Report'!F402</f>
        <v>0</v>
      </c>
      <c r="S402">
        <f>'Audit Report'!Q402</f>
        <v>0</v>
      </c>
    </row>
    <row r="403" spans="4:19">
      <c r="D403">
        <f>'Audit Report'!B403</f>
        <v>0</v>
      </c>
      <c r="E403">
        <f>'Audit Report'!C403</f>
        <v>0</v>
      </c>
      <c r="I403">
        <f>'Audit Report'!D403</f>
        <v>0</v>
      </c>
      <c r="J403">
        <f>'Audit Report'!H403</f>
        <v>0</v>
      </c>
      <c r="L403" t="str">
        <f>_xlfn.TEXTJOIN(", ", FALSE, 'Audit Report'!K403,'Audit Report'!L403,'Audit Report'!M403)</f>
        <v xml:space="preserve">, , </v>
      </c>
      <c r="M403">
        <f>'Audit Report'!O403</f>
        <v>0</v>
      </c>
      <c r="N403" t="str" cm="1">
        <f t="array" ref="N403">IF(M403="","",
_xlfn.TEXTJOIN(", ",TRUE,
    _xlfn.MAP(_xlfn.TEXTSPLIT(M403,","),_xlfn.LAMBDA(_xlpm.x,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3">
        <f>'Audit Report'!F403</f>
        <v>0</v>
      </c>
      <c r="S403">
        <f>'Audit Report'!Q403</f>
        <v>0</v>
      </c>
    </row>
    <row r="404" spans="4:19">
      <c r="D404">
        <f>'Audit Report'!B404</f>
        <v>0</v>
      </c>
      <c r="E404">
        <f>'Audit Report'!C404</f>
        <v>0</v>
      </c>
      <c r="I404">
        <f>'Audit Report'!D404</f>
        <v>0</v>
      </c>
      <c r="J404">
        <f>'Audit Report'!H404</f>
        <v>0</v>
      </c>
      <c r="L404" t="str">
        <f>_xlfn.TEXTJOIN(", ", FALSE, 'Audit Report'!K404,'Audit Report'!L404,'Audit Report'!M404)</f>
        <v xml:space="preserve">, , </v>
      </c>
      <c r="M404">
        <f>'Audit Report'!O404</f>
        <v>0</v>
      </c>
      <c r="N404" t="str" cm="1">
        <f t="array" ref="N404">IF(M404="","",
_xlfn.TEXTJOIN(", ",TRUE,
    _xlfn.MAP(_xlfn.TEXTSPLIT(M404,","),_xlfn.LAMBDA(_xlpm.x,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4">
        <f>'Audit Report'!F404</f>
        <v>0</v>
      </c>
      <c r="S404">
        <f>'Audit Report'!Q404</f>
        <v>0</v>
      </c>
    </row>
    <row r="405" spans="4:19">
      <c r="D405">
        <f>'Audit Report'!B405</f>
        <v>0</v>
      </c>
      <c r="E405">
        <f>'Audit Report'!C405</f>
        <v>0</v>
      </c>
      <c r="I405">
        <f>'Audit Report'!D405</f>
        <v>0</v>
      </c>
      <c r="J405">
        <f>'Audit Report'!H405</f>
        <v>0</v>
      </c>
      <c r="L405" t="str">
        <f>_xlfn.TEXTJOIN(", ", FALSE, 'Audit Report'!K405,'Audit Report'!L405,'Audit Report'!M405)</f>
        <v xml:space="preserve">, , </v>
      </c>
      <c r="M405">
        <f>'Audit Report'!O405</f>
        <v>0</v>
      </c>
      <c r="N405" t="str" cm="1">
        <f t="array" ref="N405">IF(M405="","",
_xlfn.TEXTJOIN(", ",TRUE,
    _xlfn.MAP(_xlfn.TEXTSPLIT(M405,","),_xlfn.LAMBDA(_xlpm.x,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5">
        <f>'Audit Report'!F405</f>
        <v>0</v>
      </c>
      <c r="S405">
        <f>'Audit Report'!Q405</f>
        <v>0</v>
      </c>
    </row>
    <row r="406" spans="4:19">
      <c r="D406">
        <f>'Audit Report'!B406</f>
        <v>0</v>
      </c>
      <c r="E406">
        <f>'Audit Report'!C406</f>
        <v>0</v>
      </c>
      <c r="I406">
        <f>'Audit Report'!D406</f>
        <v>0</v>
      </c>
      <c r="J406">
        <f>'Audit Report'!H406</f>
        <v>0</v>
      </c>
      <c r="L406" t="str">
        <f>_xlfn.TEXTJOIN(", ", FALSE, 'Audit Report'!K406,'Audit Report'!L406,'Audit Report'!M406)</f>
        <v xml:space="preserve">, , </v>
      </c>
      <c r="M406">
        <f>'Audit Report'!O406</f>
        <v>0</v>
      </c>
      <c r="N406" t="str" cm="1">
        <f t="array" ref="N406">IF(M406="","",
_xlfn.TEXTJOIN(", ",TRUE,
    _xlfn.MAP(_xlfn.TEXTSPLIT(M406,","),_xlfn.LAMBDA(_xlpm.x,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6">
        <f>'Audit Report'!F406</f>
        <v>0</v>
      </c>
      <c r="S406">
        <f>'Audit Report'!Q406</f>
        <v>0</v>
      </c>
    </row>
    <row r="407" spans="4:19">
      <c r="D407">
        <f>'Audit Report'!B407</f>
        <v>0</v>
      </c>
      <c r="E407">
        <f>'Audit Report'!C407</f>
        <v>0</v>
      </c>
      <c r="I407">
        <f>'Audit Report'!D407</f>
        <v>0</v>
      </c>
      <c r="J407">
        <f>'Audit Report'!H407</f>
        <v>0</v>
      </c>
      <c r="L407" t="str">
        <f>_xlfn.TEXTJOIN(", ", FALSE, 'Audit Report'!K407,'Audit Report'!L407,'Audit Report'!M407)</f>
        <v xml:space="preserve">, , </v>
      </c>
      <c r="M407">
        <f>'Audit Report'!O407</f>
        <v>0</v>
      </c>
      <c r="N407" t="str" cm="1">
        <f t="array" ref="N407">IF(M407="","",
_xlfn.TEXTJOIN(", ",TRUE,
    _xlfn.MAP(_xlfn.TEXTSPLIT(M407,","),_xlfn.LAMBDA(_xlpm.x,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7">
        <f>'Audit Report'!F407</f>
        <v>0</v>
      </c>
      <c r="S407">
        <f>'Audit Report'!Q407</f>
        <v>0</v>
      </c>
    </row>
    <row r="408" spans="4:19">
      <c r="D408">
        <f>'Audit Report'!B408</f>
        <v>0</v>
      </c>
      <c r="E408">
        <f>'Audit Report'!C408</f>
        <v>0</v>
      </c>
      <c r="I408">
        <f>'Audit Report'!D408</f>
        <v>0</v>
      </c>
      <c r="J408">
        <f>'Audit Report'!H408</f>
        <v>0</v>
      </c>
      <c r="L408" t="str">
        <f>_xlfn.TEXTJOIN(", ", FALSE, 'Audit Report'!K408,'Audit Report'!L408,'Audit Report'!M408)</f>
        <v xml:space="preserve">, , </v>
      </c>
      <c r="M408">
        <f>'Audit Report'!O408</f>
        <v>0</v>
      </c>
      <c r="N408" t="str" cm="1">
        <f t="array" ref="N408">IF(M408="","",
_xlfn.TEXTJOIN(", ",TRUE,
    _xlfn.MAP(_xlfn.TEXTSPLIT(M408,","),_xlfn.LAMBDA(_xlpm.x,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8">
        <f>'Audit Report'!F408</f>
        <v>0</v>
      </c>
      <c r="S408">
        <f>'Audit Report'!Q408</f>
        <v>0</v>
      </c>
    </row>
    <row r="409" spans="4:19">
      <c r="D409">
        <f>'Audit Report'!B409</f>
        <v>0</v>
      </c>
      <c r="E409">
        <f>'Audit Report'!C409</f>
        <v>0</v>
      </c>
      <c r="I409">
        <f>'Audit Report'!D409</f>
        <v>0</v>
      </c>
      <c r="J409">
        <f>'Audit Report'!H409</f>
        <v>0</v>
      </c>
      <c r="L409" t="str">
        <f>_xlfn.TEXTJOIN(", ", FALSE, 'Audit Report'!K409,'Audit Report'!L409,'Audit Report'!M409)</f>
        <v xml:space="preserve">, , </v>
      </c>
      <c r="M409">
        <f>'Audit Report'!O409</f>
        <v>0</v>
      </c>
      <c r="N409" t="str" cm="1">
        <f t="array" ref="N409">IF(M409="","",
_xlfn.TEXTJOIN(", ",TRUE,
    _xlfn.MAP(_xlfn.TEXTSPLIT(M409,","),_xlfn.LAMBDA(_xlpm.x,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9">
        <f>'Audit Report'!F409</f>
        <v>0</v>
      </c>
      <c r="S409">
        <f>'Audit Report'!Q409</f>
        <v>0</v>
      </c>
    </row>
    <row r="410" spans="4:19">
      <c r="D410">
        <f>'Audit Report'!B410</f>
        <v>0</v>
      </c>
      <c r="E410">
        <f>'Audit Report'!C410</f>
        <v>0</v>
      </c>
      <c r="I410">
        <f>'Audit Report'!D410</f>
        <v>0</v>
      </c>
      <c r="J410">
        <f>'Audit Report'!H410</f>
        <v>0</v>
      </c>
      <c r="L410" t="str">
        <f>_xlfn.TEXTJOIN(", ", FALSE, 'Audit Report'!K410,'Audit Report'!L410,'Audit Report'!M410)</f>
        <v xml:space="preserve">, , </v>
      </c>
      <c r="M410">
        <f>'Audit Report'!O410</f>
        <v>0</v>
      </c>
      <c r="N410" t="str" cm="1">
        <f t="array" ref="N410">IF(M410="","",
_xlfn.TEXTJOIN(", ",TRUE,
    _xlfn.MAP(_xlfn.TEXTSPLIT(M410,","),_xlfn.LAMBDA(_xlpm.x,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0">
        <f>'Audit Report'!F410</f>
        <v>0</v>
      </c>
      <c r="S410">
        <f>'Audit Report'!Q410</f>
        <v>0</v>
      </c>
    </row>
    <row r="411" spans="4:19">
      <c r="D411">
        <f>'Audit Report'!B411</f>
        <v>0</v>
      </c>
      <c r="E411">
        <f>'Audit Report'!C411</f>
        <v>0</v>
      </c>
      <c r="I411">
        <f>'Audit Report'!D411</f>
        <v>0</v>
      </c>
      <c r="J411">
        <f>'Audit Report'!H411</f>
        <v>0</v>
      </c>
      <c r="L411" t="str">
        <f>_xlfn.TEXTJOIN(", ", FALSE, 'Audit Report'!K411,'Audit Report'!L411,'Audit Report'!M411)</f>
        <v xml:space="preserve">, , </v>
      </c>
      <c r="M411">
        <f>'Audit Report'!O411</f>
        <v>0</v>
      </c>
      <c r="N411" t="str" cm="1">
        <f t="array" ref="N411">IF(M411="","",
_xlfn.TEXTJOIN(", ",TRUE,
    _xlfn.MAP(_xlfn.TEXTSPLIT(M411,","),_xlfn.LAMBDA(_xlpm.x,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1">
        <f>'Audit Report'!F411</f>
        <v>0</v>
      </c>
      <c r="S411">
        <f>'Audit Report'!Q411</f>
        <v>0</v>
      </c>
    </row>
    <row r="412" spans="4:19">
      <c r="D412">
        <f>'Audit Report'!B412</f>
        <v>0</v>
      </c>
      <c r="E412">
        <f>'Audit Report'!C412</f>
        <v>0</v>
      </c>
      <c r="I412">
        <f>'Audit Report'!D412</f>
        <v>0</v>
      </c>
      <c r="J412">
        <f>'Audit Report'!H412</f>
        <v>0</v>
      </c>
      <c r="L412" t="str">
        <f>_xlfn.TEXTJOIN(", ", FALSE, 'Audit Report'!K412,'Audit Report'!L412,'Audit Report'!M412)</f>
        <v xml:space="preserve">, , </v>
      </c>
      <c r="M412">
        <f>'Audit Report'!O412</f>
        <v>0</v>
      </c>
      <c r="N412" t="str" cm="1">
        <f t="array" ref="N412">IF(M412="","",
_xlfn.TEXTJOIN(", ",TRUE,
    _xlfn.MAP(_xlfn.TEXTSPLIT(M412,","),_xlfn.LAMBDA(_xlpm.x,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2">
        <f>'Audit Report'!F412</f>
        <v>0</v>
      </c>
      <c r="S412">
        <f>'Audit Report'!Q412</f>
        <v>0</v>
      </c>
    </row>
    <row r="413" spans="4:19">
      <c r="D413">
        <f>'Audit Report'!B413</f>
        <v>0</v>
      </c>
      <c r="E413">
        <f>'Audit Report'!C413</f>
        <v>0</v>
      </c>
      <c r="I413">
        <f>'Audit Report'!D413</f>
        <v>0</v>
      </c>
      <c r="J413">
        <f>'Audit Report'!H413</f>
        <v>0</v>
      </c>
      <c r="L413" t="str">
        <f>_xlfn.TEXTJOIN(", ", FALSE, 'Audit Report'!K413,'Audit Report'!L413,'Audit Report'!M413)</f>
        <v xml:space="preserve">, , </v>
      </c>
      <c r="M413">
        <f>'Audit Report'!O413</f>
        <v>0</v>
      </c>
      <c r="N413" t="str" cm="1">
        <f t="array" ref="N413">IF(M413="","",
_xlfn.TEXTJOIN(", ",TRUE,
    _xlfn.MAP(_xlfn.TEXTSPLIT(M413,","),_xlfn.LAMBDA(_xlpm.x,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3">
        <f>'Audit Report'!F413</f>
        <v>0</v>
      </c>
      <c r="S413">
        <f>'Audit Report'!Q413</f>
        <v>0</v>
      </c>
    </row>
    <row r="414" spans="4:19">
      <c r="D414">
        <f>'Audit Report'!B414</f>
        <v>0</v>
      </c>
      <c r="E414">
        <f>'Audit Report'!C414</f>
        <v>0</v>
      </c>
      <c r="I414">
        <f>'Audit Report'!D414</f>
        <v>0</v>
      </c>
      <c r="J414">
        <f>'Audit Report'!H414</f>
        <v>0</v>
      </c>
      <c r="L414" t="str">
        <f>_xlfn.TEXTJOIN(", ", FALSE, 'Audit Report'!K414,'Audit Report'!L414,'Audit Report'!M414)</f>
        <v xml:space="preserve">, , </v>
      </c>
      <c r="M414">
        <f>'Audit Report'!O414</f>
        <v>0</v>
      </c>
      <c r="N414" t="str" cm="1">
        <f t="array" ref="N414">IF(M414="","",
_xlfn.TEXTJOIN(", ",TRUE,
    _xlfn.MAP(_xlfn.TEXTSPLIT(M414,","),_xlfn.LAMBDA(_xlpm.x,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4">
        <f>'Audit Report'!F414</f>
        <v>0</v>
      </c>
      <c r="S414">
        <f>'Audit Report'!Q414</f>
        <v>0</v>
      </c>
    </row>
    <row r="415" spans="4:19">
      <c r="D415">
        <f>'Audit Report'!B415</f>
        <v>0</v>
      </c>
      <c r="E415">
        <f>'Audit Report'!C415</f>
        <v>0</v>
      </c>
      <c r="I415">
        <f>'Audit Report'!D415</f>
        <v>0</v>
      </c>
      <c r="J415">
        <f>'Audit Report'!H415</f>
        <v>0</v>
      </c>
      <c r="L415" t="str">
        <f>_xlfn.TEXTJOIN(", ", FALSE, 'Audit Report'!K415,'Audit Report'!L415,'Audit Report'!M415)</f>
        <v xml:space="preserve">, , </v>
      </c>
      <c r="M415">
        <f>'Audit Report'!O415</f>
        <v>0</v>
      </c>
      <c r="N415" t="str" cm="1">
        <f t="array" ref="N415">IF(M415="","",
_xlfn.TEXTJOIN(", ",TRUE,
    _xlfn.MAP(_xlfn.TEXTSPLIT(M415,","),_xlfn.LAMBDA(_xlpm.x,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5">
        <f>'Audit Report'!F415</f>
        <v>0</v>
      </c>
      <c r="S415">
        <f>'Audit Report'!Q415</f>
        <v>0</v>
      </c>
    </row>
    <row r="416" spans="4:19">
      <c r="D416">
        <f>'Audit Report'!B416</f>
        <v>0</v>
      </c>
      <c r="E416">
        <f>'Audit Report'!C416</f>
        <v>0</v>
      </c>
      <c r="I416">
        <f>'Audit Report'!D416</f>
        <v>0</v>
      </c>
      <c r="J416">
        <f>'Audit Report'!H416</f>
        <v>0</v>
      </c>
      <c r="L416" t="str">
        <f>_xlfn.TEXTJOIN(", ", FALSE, 'Audit Report'!K416,'Audit Report'!L416,'Audit Report'!M416)</f>
        <v xml:space="preserve">, , </v>
      </c>
      <c r="M416">
        <f>'Audit Report'!O416</f>
        <v>0</v>
      </c>
      <c r="N416" t="str" cm="1">
        <f t="array" ref="N416">IF(M416="","",
_xlfn.TEXTJOIN(", ",TRUE,
    _xlfn.MAP(_xlfn.TEXTSPLIT(M416,","),_xlfn.LAMBDA(_xlpm.x,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6">
        <f>'Audit Report'!F416</f>
        <v>0</v>
      </c>
      <c r="S416">
        <f>'Audit Report'!Q416</f>
        <v>0</v>
      </c>
    </row>
    <row r="417" spans="4:19">
      <c r="D417">
        <f>'Audit Report'!B417</f>
        <v>0</v>
      </c>
      <c r="E417">
        <f>'Audit Report'!C417</f>
        <v>0</v>
      </c>
      <c r="I417">
        <f>'Audit Report'!D417</f>
        <v>0</v>
      </c>
      <c r="J417">
        <f>'Audit Report'!H417</f>
        <v>0</v>
      </c>
      <c r="L417" t="str">
        <f>_xlfn.TEXTJOIN(", ", FALSE, 'Audit Report'!K417,'Audit Report'!L417,'Audit Report'!M417)</f>
        <v xml:space="preserve">, , </v>
      </c>
      <c r="M417">
        <f>'Audit Report'!O417</f>
        <v>0</v>
      </c>
      <c r="N417" t="str" cm="1">
        <f t="array" ref="N417">IF(M417="","",
_xlfn.TEXTJOIN(", ",TRUE,
    _xlfn.MAP(_xlfn.TEXTSPLIT(M417,","),_xlfn.LAMBDA(_xlpm.x,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7">
        <f>'Audit Report'!F417</f>
        <v>0</v>
      </c>
      <c r="S417">
        <f>'Audit Report'!Q417</f>
        <v>0</v>
      </c>
    </row>
    <row r="418" spans="4:19">
      <c r="D418">
        <f>'Audit Report'!B418</f>
        <v>0</v>
      </c>
      <c r="E418">
        <f>'Audit Report'!C418</f>
        <v>0</v>
      </c>
      <c r="I418">
        <f>'Audit Report'!D418</f>
        <v>0</v>
      </c>
      <c r="J418">
        <f>'Audit Report'!H418</f>
        <v>0</v>
      </c>
      <c r="L418" t="str">
        <f>_xlfn.TEXTJOIN(", ", FALSE, 'Audit Report'!K418,'Audit Report'!L418,'Audit Report'!M418)</f>
        <v xml:space="preserve">, , </v>
      </c>
      <c r="M418">
        <f>'Audit Report'!O418</f>
        <v>0</v>
      </c>
      <c r="N418" t="str" cm="1">
        <f t="array" ref="N418">IF(M418="","",
_xlfn.TEXTJOIN(", ",TRUE,
    _xlfn.MAP(_xlfn.TEXTSPLIT(M418,","),_xlfn.LAMBDA(_xlpm.x,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8">
        <f>'Audit Report'!F418</f>
        <v>0</v>
      </c>
      <c r="S418">
        <f>'Audit Report'!Q418</f>
        <v>0</v>
      </c>
    </row>
    <row r="419" spans="4:19">
      <c r="D419">
        <f>'Audit Report'!B419</f>
        <v>0</v>
      </c>
      <c r="E419">
        <f>'Audit Report'!C419</f>
        <v>0</v>
      </c>
      <c r="I419">
        <f>'Audit Report'!D419</f>
        <v>0</v>
      </c>
      <c r="J419">
        <f>'Audit Report'!H419</f>
        <v>0</v>
      </c>
      <c r="L419" t="str">
        <f>_xlfn.TEXTJOIN(", ", FALSE, 'Audit Report'!K419,'Audit Report'!L419,'Audit Report'!M419)</f>
        <v xml:space="preserve">, , </v>
      </c>
      <c r="M419">
        <f>'Audit Report'!O419</f>
        <v>0</v>
      </c>
      <c r="N419" t="str" cm="1">
        <f t="array" ref="N419">IF(M419="","",
_xlfn.TEXTJOIN(", ",TRUE,
    _xlfn.MAP(_xlfn.TEXTSPLIT(M419,","),_xlfn.LAMBDA(_xlpm.x,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9">
        <f>'Audit Report'!F419</f>
        <v>0</v>
      </c>
      <c r="S419">
        <f>'Audit Report'!Q419</f>
        <v>0</v>
      </c>
    </row>
    <row r="420" spans="4:19">
      <c r="D420">
        <f>'Audit Report'!B420</f>
        <v>0</v>
      </c>
      <c r="E420">
        <f>'Audit Report'!C420</f>
        <v>0</v>
      </c>
      <c r="I420">
        <f>'Audit Report'!D420</f>
        <v>0</v>
      </c>
      <c r="J420">
        <f>'Audit Report'!H420</f>
        <v>0</v>
      </c>
      <c r="L420" t="str">
        <f>_xlfn.TEXTJOIN(", ", FALSE, 'Audit Report'!K420,'Audit Report'!L420,'Audit Report'!M420)</f>
        <v xml:space="preserve">, , </v>
      </c>
      <c r="M420">
        <f>'Audit Report'!O420</f>
        <v>0</v>
      </c>
      <c r="N420" t="str" cm="1">
        <f t="array" ref="N420">IF(M420="","",
_xlfn.TEXTJOIN(", ",TRUE,
    _xlfn.MAP(_xlfn.TEXTSPLIT(M420,","),_xlfn.LAMBDA(_xlpm.x,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0">
        <f>'Audit Report'!F420</f>
        <v>0</v>
      </c>
      <c r="S420">
        <f>'Audit Report'!Q420</f>
        <v>0</v>
      </c>
    </row>
    <row r="421" spans="4:19">
      <c r="D421">
        <f>'Audit Report'!B421</f>
        <v>0</v>
      </c>
      <c r="E421">
        <f>'Audit Report'!C421</f>
        <v>0</v>
      </c>
      <c r="I421">
        <f>'Audit Report'!D421</f>
        <v>0</v>
      </c>
      <c r="J421">
        <f>'Audit Report'!H421</f>
        <v>0</v>
      </c>
      <c r="L421" t="str">
        <f>_xlfn.TEXTJOIN(", ", FALSE, 'Audit Report'!K421,'Audit Report'!L421,'Audit Report'!M421)</f>
        <v xml:space="preserve">, , </v>
      </c>
      <c r="M421">
        <f>'Audit Report'!O421</f>
        <v>0</v>
      </c>
      <c r="N421" t="str" cm="1">
        <f t="array" ref="N421">IF(M421="","",
_xlfn.TEXTJOIN(", ",TRUE,
    _xlfn.MAP(_xlfn.TEXTSPLIT(M421,","),_xlfn.LAMBDA(_xlpm.x,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1">
        <f>'Audit Report'!F421</f>
        <v>0</v>
      </c>
      <c r="S421">
        <f>'Audit Report'!Q421</f>
        <v>0</v>
      </c>
    </row>
    <row r="422" spans="4:19">
      <c r="D422">
        <f>'Audit Report'!B422</f>
        <v>0</v>
      </c>
      <c r="E422">
        <f>'Audit Report'!C422</f>
        <v>0</v>
      </c>
      <c r="I422">
        <f>'Audit Report'!D422</f>
        <v>0</v>
      </c>
      <c r="J422">
        <f>'Audit Report'!H422</f>
        <v>0</v>
      </c>
      <c r="L422" t="str">
        <f>_xlfn.TEXTJOIN(", ", FALSE, 'Audit Report'!K422,'Audit Report'!L422,'Audit Report'!M422)</f>
        <v xml:space="preserve">, , </v>
      </c>
      <c r="M422">
        <f>'Audit Report'!O422</f>
        <v>0</v>
      </c>
      <c r="N422" t="str" cm="1">
        <f t="array" ref="N422">IF(M422="","",
_xlfn.TEXTJOIN(", ",TRUE,
    _xlfn.MAP(_xlfn.TEXTSPLIT(M422,","),_xlfn.LAMBDA(_xlpm.x,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2">
        <f>'Audit Report'!F422</f>
        <v>0</v>
      </c>
      <c r="S422">
        <f>'Audit Report'!Q422</f>
        <v>0</v>
      </c>
    </row>
    <row r="423" spans="4:19">
      <c r="D423">
        <f>'Audit Report'!B423</f>
        <v>0</v>
      </c>
      <c r="E423">
        <f>'Audit Report'!C423</f>
        <v>0</v>
      </c>
      <c r="I423">
        <f>'Audit Report'!D423</f>
        <v>0</v>
      </c>
      <c r="J423">
        <f>'Audit Report'!H423</f>
        <v>0</v>
      </c>
      <c r="L423" t="str">
        <f>_xlfn.TEXTJOIN(", ", FALSE, 'Audit Report'!K423,'Audit Report'!L423,'Audit Report'!M423)</f>
        <v xml:space="preserve">, , </v>
      </c>
      <c r="M423">
        <f>'Audit Report'!O423</f>
        <v>0</v>
      </c>
      <c r="N423" t="str" cm="1">
        <f t="array" ref="N423">IF(M423="","",
_xlfn.TEXTJOIN(", ",TRUE,
    _xlfn.MAP(_xlfn.TEXTSPLIT(M423,","),_xlfn.LAMBDA(_xlpm.x,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3">
        <f>'Audit Report'!F423</f>
        <v>0</v>
      </c>
      <c r="S423">
        <f>'Audit Report'!Q423</f>
        <v>0</v>
      </c>
    </row>
    <row r="424" spans="4:19">
      <c r="D424">
        <f>'Audit Report'!B424</f>
        <v>0</v>
      </c>
      <c r="E424">
        <f>'Audit Report'!C424</f>
        <v>0</v>
      </c>
      <c r="I424">
        <f>'Audit Report'!D424</f>
        <v>0</v>
      </c>
      <c r="J424">
        <f>'Audit Report'!H424</f>
        <v>0</v>
      </c>
      <c r="L424" t="str">
        <f>_xlfn.TEXTJOIN(", ", FALSE, 'Audit Report'!K424,'Audit Report'!L424,'Audit Report'!M424)</f>
        <v xml:space="preserve">, , </v>
      </c>
      <c r="M424">
        <f>'Audit Report'!O424</f>
        <v>0</v>
      </c>
      <c r="N424" t="str" cm="1">
        <f t="array" ref="N424">IF(M424="","",
_xlfn.TEXTJOIN(", ",TRUE,
    _xlfn.MAP(_xlfn.TEXTSPLIT(M424,","),_xlfn.LAMBDA(_xlpm.x,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4">
        <f>'Audit Report'!F424</f>
        <v>0</v>
      </c>
      <c r="S424">
        <f>'Audit Report'!Q424</f>
        <v>0</v>
      </c>
    </row>
    <row r="425" spans="4:19">
      <c r="D425">
        <f>'Audit Report'!B425</f>
        <v>0</v>
      </c>
      <c r="E425">
        <f>'Audit Report'!C425</f>
        <v>0</v>
      </c>
      <c r="I425">
        <f>'Audit Report'!D425</f>
        <v>0</v>
      </c>
      <c r="J425">
        <f>'Audit Report'!H425</f>
        <v>0</v>
      </c>
      <c r="L425" t="str">
        <f>_xlfn.TEXTJOIN(", ", FALSE, 'Audit Report'!K425,'Audit Report'!L425,'Audit Report'!M425)</f>
        <v xml:space="preserve">, , </v>
      </c>
      <c r="M425">
        <f>'Audit Report'!O425</f>
        <v>0</v>
      </c>
      <c r="N425" t="str" cm="1">
        <f t="array" ref="N425">IF(M425="","",
_xlfn.TEXTJOIN(", ",TRUE,
    _xlfn.MAP(_xlfn.TEXTSPLIT(M425,","),_xlfn.LAMBDA(_xlpm.x,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5">
        <f>'Audit Report'!F425</f>
        <v>0</v>
      </c>
      <c r="S425">
        <f>'Audit Report'!Q425</f>
        <v>0</v>
      </c>
    </row>
    <row r="426" spans="4:19">
      <c r="D426">
        <f>'Audit Report'!B426</f>
        <v>0</v>
      </c>
      <c r="E426">
        <f>'Audit Report'!C426</f>
        <v>0</v>
      </c>
      <c r="I426">
        <f>'Audit Report'!D426</f>
        <v>0</v>
      </c>
      <c r="J426">
        <f>'Audit Report'!H426</f>
        <v>0</v>
      </c>
      <c r="L426" t="str">
        <f>_xlfn.TEXTJOIN(", ", FALSE, 'Audit Report'!K426,'Audit Report'!L426,'Audit Report'!M426)</f>
        <v xml:space="preserve">, , </v>
      </c>
      <c r="M426">
        <f>'Audit Report'!O426</f>
        <v>0</v>
      </c>
      <c r="N426" t="str" cm="1">
        <f t="array" ref="N426">IF(M426="","",
_xlfn.TEXTJOIN(", ",TRUE,
    _xlfn.MAP(_xlfn.TEXTSPLIT(M426,","),_xlfn.LAMBDA(_xlpm.x,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6">
        <f>'Audit Report'!F426</f>
        <v>0</v>
      </c>
      <c r="S426">
        <f>'Audit Report'!Q426</f>
        <v>0</v>
      </c>
    </row>
    <row r="427" spans="4:19">
      <c r="D427">
        <f>'Audit Report'!B427</f>
        <v>0</v>
      </c>
      <c r="E427">
        <f>'Audit Report'!C427</f>
        <v>0</v>
      </c>
      <c r="I427">
        <f>'Audit Report'!D427</f>
        <v>0</v>
      </c>
      <c r="J427">
        <f>'Audit Report'!H427</f>
        <v>0</v>
      </c>
      <c r="L427" t="str">
        <f>_xlfn.TEXTJOIN(", ", FALSE, 'Audit Report'!K427,'Audit Report'!L427,'Audit Report'!M427)</f>
        <v xml:space="preserve">, , </v>
      </c>
      <c r="M427">
        <f>'Audit Report'!O427</f>
        <v>0</v>
      </c>
      <c r="N427" t="str" cm="1">
        <f t="array" ref="N427">IF(M427="","",
_xlfn.TEXTJOIN(", ",TRUE,
    _xlfn.MAP(_xlfn.TEXTSPLIT(M427,","),_xlfn.LAMBDA(_xlpm.x,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7">
        <f>'Audit Report'!F427</f>
        <v>0</v>
      </c>
      <c r="S427">
        <f>'Audit Report'!Q427</f>
        <v>0</v>
      </c>
    </row>
    <row r="428" spans="4:19">
      <c r="D428">
        <f>'Audit Report'!B428</f>
        <v>0</v>
      </c>
      <c r="E428">
        <f>'Audit Report'!C428</f>
        <v>0</v>
      </c>
      <c r="I428">
        <f>'Audit Report'!D428</f>
        <v>0</v>
      </c>
      <c r="J428">
        <f>'Audit Report'!H428</f>
        <v>0</v>
      </c>
      <c r="L428" t="str">
        <f>_xlfn.TEXTJOIN(", ", FALSE, 'Audit Report'!K428,'Audit Report'!L428,'Audit Report'!M428)</f>
        <v xml:space="preserve">, , </v>
      </c>
      <c r="M428">
        <f>'Audit Report'!O428</f>
        <v>0</v>
      </c>
      <c r="N428" t="str" cm="1">
        <f t="array" ref="N428">IF(M428="","",
_xlfn.TEXTJOIN(", ",TRUE,
    _xlfn.MAP(_xlfn.TEXTSPLIT(M428,","),_xlfn.LAMBDA(_xlpm.x,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8">
        <f>'Audit Report'!F428</f>
        <v>0</v>
      </c>
      <c r="S428">
        <f>'Audit Report'!Q428</f>
        <v>0</v>
      </c>
    </row>
    <row r="429" spans="4:19">
      <c r="D429">
        <f>'Audit Report'!B429</f>
        <v>0</v>
      </c>
      <c r="E429">
        <f>'Audit Report'!C429</f>
        <v>0</v>
      </c>
      <c r="I429">
        <f>'Audit Report'!D429</f>
        <v>0</v>
      </c>
      <c r="J429">
        <f>'Audit Report'!H429</f>
        <v>0</v>
      </c>
      <c r="L429" t="str">
        <f>_xlfn.TEXTJOIN(", ", FALSE, 'Audit Report'!K429,'Audit Report'!L429,'Audit Report'!M429)</f>
        <v xml:space="preserve">, , </v>
      </c>
      <c r="M429">
        <f>'Audit Report'!O429</f>
        <v>0</v>
      </c>
      <c r="N429" t="str" cm="1">
        <f t="array" ref="N429">IF(M429="","",
_xlfn.TEXTJOIN(", ",TRUE,
    _xlfn.MAP(_xlfn.TEXTSPLIT(M429,","),_xlfn.LAMBDA(_xlpm.x,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9">
        <f>'Audit Report'!F429</f>
        <v>0</v>
      </c>
      <c r="S429">
        <f>'Audit Report'!Q429</f>
        <v>0</v>
      </c>
    </row>
    <row r="430" spans="4:19">
      <c r="D430">
        <f>'Audit Report'!B430</f>
        <v>0</v>
      </c>
      <c r="E430">
        <f>'Audit Report'!C430</f>
        <v>0</v>
      </c>
      <c r="I430">
        <f>'Audit Report'!D430</f>
        <v>0</v>
      </c>
      <c r="J430">
        <f>'Audit Report'!H430</f>
        <v>0</v>
      </c>
      <c r="L430" t="str">
        <f>_xlfn.TEXTJOIN(", ", FALSE, 'Audit Report'!K430,'Audit Report'!L430,'Audit Report'!M430)</f>
        <v xml:space="preserve">, , </v>
      </c>
      <c r="M430">
        <f>'Audit Report'!O430</f>
        <v>0</v>
      </c>
      <c r="N430" t="str" cm="1">
        <f t="array" ref="N430">IF(M430="","",
_xlfn.TEXTJOIN(", ",TRUE,
    _xlfn.MAP(_xlfn.TEXTSPLIT(M430,","),_xlfn.LAMBDA(_xlpm.x,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0">
        <f>'Audit Report'!F430</f>
        <v>0</v>
      </c>
      <c r="S430">
        <f>'Audit Report'!Q430</f>
        <v>0</v>
      </c>
    </row>
    <row r="431" spans="4:19">
      <c r="D431">
        <f>'Audit Report'!B431</f>
        <v>0</v>
      </c>
      <c r="E431">
        <f>'Audit Report'!C431</f>
        <v>0</v>
      </c>
      <c r="I431">
        <f>'Audit Report'!D431</f>
        <v>0</v>
      </c>
      <c r="J431">
        <f>'Audit Report'!H431</f>
        <v>0</v>
      </c>
      <c r="L431" t="str">
        <f>_xlfn.TEXTJOIN(", ", FALSE, 'Audit Report'!K431,'Audit Report'!L431,'Audit Report'!M431)</f>
        <v xml:space="preserve">, , </v>
      </c>
      <c r="M431">
        <f>'Audit Report'!O431</f>
        <v>0</v>
      </c>
      <c r="N431" t="str" cm="1">
        <f t="array" ref="N431">IF(M431="","",
_xlfn.TEXTJOIN(", ",TRUE,
    _xlfn.MAP(_xlfn.TEXTSPLIT(M431,","),_xlfn.LAMBDA(_xlpm.x,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1">
        <f>'Audit Report'!F431</f>
        <v>0</v>
      </c>
      <c r="S431">
        <f>'Audit Report'!Q431</f>
        <v>0</v>
      </c>
    </row>
    <row r="432" spans="4:19">
      <c r="D432">
        <f>'Audit Report'!B432</f>
        <v>0</v>
      </c>
      <c r="E432">
        <f>'Audit Report'!C432</f>
        <v>0</v>
      </c>
      <c r="I432">
        <f>'Audit Report'!D432</f>
        <v>0</v>
      </c>
      <c r="J432">
        <f>'Audit Report'!H432</f>
        <v>0</v>
      </c>
      <c r="L432" t="str">
        <f>_xlfn.TEXTJOIN(", ", FALSE, 'Audit Report'!K432,'Audit Report'!L432,'Audit Report'!M432)</f>
        <v xml:space="preserve">, , </v>
      </c>
      <c r="M432">
        <f>'Audit Report'!O432</f>
        <v>0</v>
      </c>
      <c r="N432" t="str" cm="1">
        <f t="array" ref="N432">IF(M432="","",
_xlfn.TEXTJOIN(", ",TRUE,
    _xlfn.MAP(_xlfn.TEXTSPLIT(M432,","),_xlfn.LAMBDA(_xlpm.x,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2">
        <f>'Audit Report'!F432</f>
        <v>0</v>
      </c>
      <c r="S432">
        <f>'Audit Report'!Q432</f>
        <v>0</v>
      </c>
    </row>
    <row r="433" spans="4:19">
      <c r="D433">
        <f>'Audit Report'!B433</f>
        <v>0</v>
      </c>
      <c r="E433">
        <f>'Audit Report'!C433</f>
        <v>0</v>
      </c>
      <c r="I433">
        <f>'Audit Report'!D433</f>
        <v>0</v>
      </c>
      <c r="J433">
        <f>'Audit Report'!H433</f>
        <v>0</v>
      </c>
      <c r="L433" t="str">
        <f>_xlfn.TEXTJOIN(", ", FALSE, 'Audit Report'!K433,'Audit Report'!L433,'Audit Report'!M433)</f>
        <v xml:space="preserve">, , </v>
      </c>
      <c r="M433">
        <f>'Audit Report'!O433</f>
        <v>0</v>
      </c>
      <c r="N433" t="str" cm="1">
        <f t="array" ref="N433">IF(M433="","",
_xlfn.TEXTJOIN(", ",TRUE,
    _xlfn.MAP(_xlfn.TEXTSPLIT(M433,","),_xlfn.LAMBDA(_xlpm.x,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3">
        <f>'Audit Report'!F433</f>
        <v>0</v>
      </c>
      <c r="S433">
        <f>'Audit Report'!Q433</f>
        <v>0</v>
      </c>
    </row>
    <row r="434" spans="4:19">
      <c r="D434">
        <f>'Audit Report'!B434</f>
        <v>0</v>
      </c>
      <c r="E434">
        <f>'Audit Report'!C434</f>
        <v>0</v>
      </c>
      <c r="I434">
        <f>'Audit Report'!D434</f>
        <v>0</v>
      </c>
      <c r="J434">
        <f>'Audit Report'!H434</f>
        <v>0</v>
      </c>
      <c r="L434" t="str">
        <f>_xlfn.TEXTJOIN(", ", FALSE, 'Audit Report'!K434,'Audit Report'!L434,'Audit Report'!M434)</f>
        <v xml:space="preserve">, , </v>
      </c>
      <c r="M434">
        <f>'Audit Report'!O434</f>
        <v>0</v>
      </c>
      <c r="N434" t="str" cm="1">
        <f t="array" ref="N434">IF(M434="","",
_xlfn.TEXTJOIN(", ",TRUE,
    _xlfn.MAP(_xlfn.TEXTSPLIT(M434,","),_xlfn.LAMBDA(_xlpm.x,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4">
        <f>'Audit Report'!F434</f>
        <v>0</v>
      </c>
      <c r="S434">
        <f>'Audit Report'!Q434</f>
        <v>0</v>
      </c>
    </row>
    <row r="435" spans="4:19">
      <c r="D435">
        <f>'Audit Report'!B435</f>
        <v>0</v>
      </c>
      <c r="E435">
        <f>'Audit Report'!C435</f>
        <v>0</v>
      </c>
      <c r="I435">
        <f>'Audit Report'!D435</f>
        <v>0</v>
      </c>
      <c r="J435">
        <f>'Audit Report'!H435</f>
        <v>0</v>
      </c>
      <c r="L435" t="str">
        <f>_xlfn.TEXTJOIN(", ", FALSE, 'Audit Report'!K435,'Audit Report'!L435,'Audit Report'!M435)</f>
        <v xml:space="preserve">, , </v>
      </c>
      <c r="M435">
        <f>'Audit Report'!O435</f>
        <v>0</v>
      </c>
      <c r="N435" t="str" cm="1">
        <f t="array" ref="N435">IF(M435="","",
_xlfn.TEXTJOIN(", ",TRUE,
    _xlfn.MAP(_xlfn.TEXTSPLIT(M435,","),_xlfn.LAMBDA(_xlpm.x,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5">
        <f>'Audit Report'!F435</f>
        <v>0</v>
      </c>
      <c r="S435">
        <f>'Audit Report'!Q435</f>
        <v>0</v>
      </c>
    </row>
    <row r="436" spans="4:19">
      <c r="D436">
        <f>'Audit Report'!B436</f>
        <v>0</v>
      </c>
      <c r="E436">
        <f>'Audit Report'!C436</f>
        <v>0</v>
      </c>
      <c r="I436">
        <f>'Audit Report'!D436</f>
        <v>0</v>
      </c>
      <c r="J436">
        <f>'Audit Report'!H436</f>
        <v>0</v>
      </c>
      <c r="L436" t="str">
        <f>_xlfn.TEXTJOIN(", ", FALSE, 'Audit Report'!K436,'Audit Report'!L436,'Audit Report'!M436)</f>
        <v xml:space="preserve">, , </v>
      </c>
      <c r="M436">
        <f>'Audit Report'!O436</f>
        <v>0</v>
      </c>
      <c r="N436" t="str" cm="1">
        <f t="array" ref="N436">IF(M436="","",
_xlfn.TEXTJOIN(", ",TRUE,
    _xlfn.MAP(_xlfn.TEXTSPLIT(M436,","),_xlfn.LAMBDA(_xlpm.x,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6">
        <f>'Audit Report'!F436</f>
        <v>0</v>
      </c>
      <c r="S436">
        <f>'Audit Report'!Q436</f>
        <v>0</v>
      </c>
    </row>
    <row r="437" spans="4:19">
      <c r="D437">
        <f>'Audit Report'!B437</f>
        <v>0</v>
      </c>
      <c r="E437">
        <f>'Audit Report'!C437</f>
        <v>0</v>
      </c>
      <c r="I437">
        <f>'Audit Report'!D437</f>
        <v>0</v>
      </c>
      <c r="J437">
        <f>'Audit Report'!H437</f>
        <v>0</v>
      </c>
      <c r="L437" t="str">
        <f>_xlfn.TEXTJOIN(", ", FALSE, 'Audit Report'!K437,'Audit Report'!L437,'Audit Report'!M437)</f>
        <v xml:space="preserve">, , </v>
      </c>
      <c r="M437">
        <f>'Audit Report'!O437</f>
        <v>0</v>
      </c>
      <c r="N437" t="str" cm="1">
        <f t="array" ref="N437">IF(M437="","",
_xlfn.TEXTJOIN(", ",TRUE,
    _xlfn.MAP(_xlfn.TEXTSPLIT(M437,","),_xlfn.LAMBDA(_xlpm.x,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7">
        <f>'Audit Report'!F437</f>
        <v>0</v>
      </c>
      <c r="S437">
        <f>'Audit Report'!Q437</f>
        <v>0</v>
      </c>
    </row>
    <row r="438" spans="4:19">
      <c r="D438">
        <f>'Audit Report'!B438</f>
        <v>0</v>
      </c>
      <c r="E438">
        <f>'Audit Report'!C438</f>
        <v>0</v>
      </c>
      <c r="I438">
        <f>'Audit Report'!D438</f>
        <v>0</v>
      </c>
      <c r="J438">
        <f>'Audit Report'!H438</f>
        <v>0</v>
      </c>
      <c r="L438" t="str">
        <f>_xlfn.TEXTJOIN(", ", FALSE, 'Audit Report'!K438,'Audit Report'!L438,'Audit Report'!M438)</f>
        <v xml:space="preserve">, , </v>
      </c>
      <c r="M438">
        <f>'Audit Report'!O438</f>
        <v>0</v>
      </c>
      <c r="N438" t="str" cm="1">
        <f t="array" ref="N438">IF(M438="","",
_xlfn.TEXTJOIN(", ",TRUE,
    _xlfn.MAP(_xlfn.TEXTSPLIT(M438,","),_xlfn.LAMBDA(_xlpm.x,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8">
        <f>'Audit Report'!F438</f>
        <v>0</v>
      </c>
      <c r="S438">
        <f>'Audit Report'!Q438</f>
        <v>0</v>
      </c>
    </row>
    <row r="439" spans="4:19">
      <c r="D439">
        <f>'Audit Report'!B439</f>
        <v>0</v>
      </c>
      <c r="E439">
        <f>'Audit Report'!C439</f>
        <v>0</v>
      </c>
      <c r="I439">
        <f>'Audit Report'!D439</f>
        <v>0</v>
      </c>
      <c r="J439">
        <f>'Audit Report'!H439</f>
        <v>0</v>
      </c>
      <c r="L439" t="str">
        <f>_xlfn.TEXTJOIN(", ", FALSE, 'Audit Report'!K439,'Audit Report'!L439,'Audit Report'!M439)</f>
        <v xml:space="preserve">, , </v>
      </c>
      <c r="M439">
        <f>'Audit Report'!O439</f>
        <v>0</v>
      </c>
      <c r="N439" t="str" cm="1">
        <f t="array" ref="N439">IF(M439="","",
_xlfn.TEXTJOIN(", ",TRUE,
    _xlfn.MAP(_xlfn.TEXTSPLIT(M439,","),_xlfn.LAMBDA(_xlpm.x,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9">
        <f>'Audit Report'!F439</f>
        <v>0</v>
      </c>
      <c r="S439">
        <f>'Audit Report'!Q439</f>
        <v>0</v>
      </c>
    </row>
    <row r="440" spans="4:19">
      <c r="D440">
        <f>'Audit Report'!B440</f>
        <v>0</v>
      </c>
      <c r="E440">
        <f>'Audit Report'!C440</f>
        <v>0</v>
      </c>
      <c r="I440">
        <f>'Audit Report'!D440</f>
        <v>0</v>
      </c>
      <c r="J440">
        <f>'Audit Report'!H440</f>
        <v>0</v>
      </c>
      <c r="L440" t="str">
        <f>_xlfn.TEXTJOIN(", ", FALSE, 'Audit Report'!K440,'Audit Report'!L440,'Audit Report'!M440)</f>
        <v xml:space="preserve">, , </v>
      </c>
      <c r="M440">
        <f>'Audit Report'!O440</f>
        <v>0</v>
      </c>
      <c r="N440" t="str" cm="1">
        <f t="array" ref="N440">IF(M440="","",
_xlfn.TEXTJOIN(", ",TRUE,
    _xlfn.MAP(_xlfn.TEXTSPLIT(M440,","),_xlfn.LAMBDA(_xlpm.x,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0">
        <f>'Audit Report'!F440</f>
        <v>0</v>
      </c>
      <c r="S440">
        <f>'Audit Report'!Q440</f>
        <v>0</v>
      </c>
    </row>
    <row r="441" spans="4:19">
      <c r="D441">
        <f>'Audit Report'!B441</f>
        <v>0</v>
      </c>
      <c r="E441">
        <f>'Audit Report'!C441</f>
        <v>0</v>
      </c>
      <c r="I441">
        <f>'Audit Report'!D441</f>
        <v>0</v>
      </c>
      <c r="J441">
        <f>'Audit Report'!H441</f>
        <v>0</v>
      </c>
      <c r="L441" t="str">
        <f>_xlfn.TEXTJOIN(", ", FALSE, 'Audit Report'!K441,'Audit Report'!L441,'Audit Report'!M441)</f>
        <v xml:space="preserve">, , </v>
      </c>
      <c r="M441">
        <f>'Audit Report'!O441</f>
        <v>0</v>
      </c>
      <c r="N441" t="str" cm="1">
        <f t="array" ref="N441">IF(M441="","",
_xlfn.TEXTJOIN(", ",TRUE,
    _xlfn.MAP(_xlfn.TEXTSPLIT(M441,","),_xlfn.LAMBDA(_xlpm.x,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1">
        <f>'Audit Report'!F441</f>
        <v>0</v>
      </c>
      <c r="S441">
        <f>'Audit Report'!Q441</f>
        <v>0</v>
      </c>
    </row>
    <row r="442" spans="4:19">
      <c r="D442">
        <f>'Audit Report'!B442</f>
        <v>0</v>
      </c>
      <c r="E442">
        <f>'Audit Report'!C442</f>
        <v>0</v>
      </c>
      <c r="I442">
        <f>'Audit Report'!D442</f>
        <v>0</v>
      </c>
      <c r="J442">
        <f>'Audit Report'!H442</f>
        <v>0</v>
      </c>
      <c r="L442" t="str">
        <f>_xlfn.TEXTJOIN(", ", FALSE, 'Audit Report'!K442,'Audit Report'!L442,'Audit Report'!M442)</f>
        <v xml:space="preserve">, , </v>
      </c>
      <c r="M442">
        <f>'Audit Report'!O442</f>
        <v>0</v>
      </c>
      <c r="N442" t="str" cm="1">
        <f t="array" ref="N442">IF(M442="","",
_xlfn.TEXTJOIN(", ",TRUE,
    _xlfn.MAP(_xlfn.TEXTSPLIT(M442,","),_xlfn.LAMBDA(_xlpm.x,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2">
        <f>'Audit Report'!F442</f>
        <v>0</v>
      </c>
      <c r="S442">
        <f>'Audit Report'!Q442</f>
        <v>0</v>
      </c>
    </row>
    <row r="443" spans="4:19">
      <c r="D443">
        <f>'Audit Report'!B443</f>
        <v>0</v>
      </c>
      <c r="E443">
        <f>'Audit Report'!C443</f>
        <v>0</v>
      </c>
      <c r="I443">
        <f>'Audit Report'!D443</f>
        <v>0</v>
      </c>
      <c r="J443">
        <f>'Audit Report'!H443</f>
        <v>0</v>
      </c>
      <c r="L443" t="str">
        <f>_xlfn.TEXTJOIN(", ", FALSE, 'Audit Report'!K443,'Audit Report'!L443,'Audit Report'!M443)</f>
        <v xml:space="preserve">, , </v>
      </c>
      <c r="M443">
        <f>'Audit Report'!O443</f>
        <v>0</v>
      </c>
      <c r="N443" t="str" cm="1">
        <f t="array" ref="N443">IF(M443="","",
_xlfn.TEXTJOIN(", ",TRUE,
    _xlfn.MAP(_xlfn.TEXTSPLIT(M443,","),_xlfn.LAMBDA(_xlpm.x,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3">
        <f>'Audit Report'!F443</f>
        <v>0</v>
      </c>
      <c r="S443">
        <f>'Audit Report'!Q443</f>
        <v>0</v>
      </c>
    </row>
    <row r="444" spans="4:19">
      <c r="D444">
        <f>'Audit Report'!B444</f>
        <v>0</v>
      </c>
      <c r="E444">
        <f>'Audit Report'!C444</f>
        <v>0</v>
      </c>
      <c r="I444">
        <f>'Audit Report'!D444</f>
        <v>0</v>
      </c>
      <c r="J444">
        <f>'Audit Report'!H444</f>
        <v>0</v>
      </c>
      <c r="L444" t="str">
        <f>_xlfn.TEXTJOIN(", ", FALSE, 'Audit Report'!K444,'Audit Report'!L444,'Audit Report'!M444)</f>
        <v xml:space="preserve">, , </v>
      </c>
      <c r="M444">
        <f>'Audit Report'!O444</f>
        <v>0</v>
      </c>
      <c r="N444" t="str" cm="1">
        <f t="array" ref="N444">IF(M444="","",
_xlfn.TEXTJOIN(", ",TRUE,
    _xlfn.MAP(_xlfn.TEXTSPLIT(M444,","),_xlfn.LAMBDA(_xlpm.x,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4">
        <f>'Audit Report'!F444</f>
        <v>0</v>
      </c>
      <c r="S444">
        <f>'Audit Report'!Q444</f>
        <v>0</v>
      </c>
    </row>
    <row r="445" spans="4:19">
      <c r="D445">
        <f>'Audit Report'!B445</f>
        <v>0</v>
      </c>
      <c r="E445">
        <f>'Audit Report'!C445</f>
        <v>0</v>
      </c>
      <c r="I445">
        <f>'Audit Report'!D445</f>
        <v>0</v>
      </c>
      <c r="J445">
        <f>'Audit Report'!H445</f>
        <v>0</v>
      </c>
      <c r="L445" t="str">
        <f>_xlfn.TEXTJOIN(", ", FALSE, 'Audit Report'!K445,'Audit Report'!L445,'Audit Report'!M445)</f>
        <v xml:space="preserve">, , </v>
      </c>
      <c r="M445">
        <f>'Audit Report'!O445</f>
        <v>0</v>
      </c>
      <c r="N445" t="str" cm="1">
        <f t="array" ref="N445">IF(M445="","",
_xlfn.TEXTJOIN(", ",TRUE,
    _xlfn.MAP(_xlfn.TEXTSPLIT(M445,","),_xlfn.LAMBDA(_xlpm.x,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5">
        <f>'Audit Report'!F445</f>
        <v>0</v>
      </c>
      <c r="S445">
        <f>'Audit Report'!Q445</f>
        <v>0</v>
      </c>
    </row>
    <row r="446" spans="4:19">
      <c r="D446">
        <f>'Audit Report'!B446</f>
        <v>0</v>
      </c>
      <c r="E446">
        <f>'Audit Report'!C446</f>
        <v>0</v>
      </c>
      <c r="I446">
        <f>'Audit Report'!D446</f>
        <v>0</v>
      </c>
      <c r="J446">
        <f>'Audit Report'!H446</f>
        <v>0</v>
      </c>
      <c r="L446" t="str">
        <f>_xlfn.TEXTJOIN(", ", FALSE, 'Audit Report'!K446,'Audit Report'!L446,'Audit Report'!M446)</f>
        <v xml:space="preserve">, , </v>
      </c>
      <c r="M446">
        <f>'Audit Report'!O446</f>
        <v>0</v>
      </c>
      <c r="N446" t="str" cm="1">
        <f t="array" ref="N446">IF(M446="","",
_xlfn.TEXTJOIN(", ",TRUE,
    _xlfn.MAP(_xlfn.TEXTSPLIT(M446,","),_xlfn.LAMBDA(_xlpm.x,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6">
        <f>'Audit Report'!F446</f>
        <v>0</v>
      </c>
      <c r="S446">
        <f>'Audit Report'!Q446</f>
        <v>0</v>
      </c>
    </row>
    <row r="447" spans="4:19">
      <c r="D447">
        <f>'Audit Report'!B447</f>
        <v>0</v>
      </c>
      <c r="E447">
        <f>'Audit Report'!C447</f>
        <v>0</v>
      </c>
      <c r="I447">
        <f>'Audit Report'!D447</f>
        <v>0</v>
      </c>
      <c r="J447">
        <f>'Audit Report'!H447</f>
        <v>0</v>
      </c>
      <c r="L447" t="str">
        <f>_xlfn.TEXTJOIN(", ", FALSE, 'Audit Report'!K447,'Audit Report'!L447,'Audit Report'!M447)</f>
        <v xml:space="preserve">, , </v>
      </c>
      <c r="M447">
        <f>'Audit Report'!O447</f>
        <v>0</v>
      </c>
      <c r="N447" t="str" cm="1">
        <f t="array" ref="N447">IF(M447="","",
_xlfn.TEXTJOIN(", ",TRUE,
    _xlfn.MAP(_xlfn.TEXTSPLIT(M447,","),_xlfn.LAMBDA(_xlpm.x,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7">
        <f>'Audit Report'!F447</f>
        <v>0</v>
      </c>
      <c r="S447">
        <f>'Audit Report'!Q447</f>
        <v>0</v>
      </c>
    </row>
    <row r="448" spans="4:19">
      <c r="D448">
        <f>'Audit Report'!B448</f>
        <v>0</v>
      </c>
      <c r="E448">
        <f>'Audit Report'!C448</f>
        <v>0</v>
      </c>
      <c r="I448">
        <f>'Audit Report'!D448</f>
        <v>0</v>
      </c>
      <c r="J448">
        <f>'Audit Report'!H448</f>
        <v>0</v>
      </c>
      <c r="L448" t="str">
        <f>_xlfn.TEXTJOIN(", ", FALSE, 'Audit Report'!K448,'Audit Report'!L448,'Audit Report'!M448)</f>
        <v xml:space="preserve">, , </v>
      </c>
      <c r="M448">
        <f>'Audit Report'!O448</f>
        <v>0</v>
      </c>
      <c r="N448" t="str" cm="1">
        <f t="array" ref="N448">IF(M448="","",
_xlfn.TEXTJOIN(", ",TRUE,
    _xlfn.MAP(_xlfn.TEXTSPLIT(M448,","),_xlfn.LAMBDA(_xlpm.x,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8">
        <f>'Audit Report'!F448</f>
        <v>0</v>
      </c>
      <c r="S448">
        <f>'Audit Report'!Q448</f>
        <v>0</v>
      </c>
    </row>
    <row r="449" spans="4:19">
      <c r="D449">
        <f>'Audit Report'!B449</f>
        <v>0</v>
      </c>
      <c r="E449">
        <f>'Audit Report'!C449</f>
        <v>0</v>
      </c>
      <c r="I449">
        <f>'Audit Report'!D449</f>
        <v>0</v>
      </c>
      <c r="J449">
        <f>'Audit Report'!H449</f>
        <v>0</v>
      </c>
      <c r="L449" t="str">
        <f>_xlfn.TEXTJOIN(", ", FALSE, 'Audit Report'!K449,'Audit Report'!L449,'Audit Report'!M449)</f>
        <v xml:space="preserve">, , </v>
      </c>
      <c r="M449">
        <f>'Audit Report'!O449</f>
        <v>0</v>
      </c>
      <c r="N449" t="str" cm="1">
        <f t="array" ref="N449">IF(M449="","",
_xlfn.TEXTJOIN(", ",TRUE,
    _xlfn.MAP(_xlfn.TEXTSPLIT(M449,","),_xlfn.LAMBDA(_xlpm.x,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9">
        <f>'Audit Report'!F449</f>
        <v>0</v>
      </c>
      <c r="S449">
        <f>'Audit Report'!Q449</f>
        <v>0</v>
      </c>
    </row>
    <row r="450" spans="4:19">
      <c r="D450">
        <f>'Audit Report'!B450</f>
        <v>0</v>
      </c>
      <c r="E450">
        <f>'Audit Report'!C450</f>
        <v>0</v>
      </c>
      <c r="I450">
        <f>'Audit Report'!D450</f>
        <v>0</v>
      </c>
      <c r="J450">
        <f>'Audit Report'!H450</f>
        <v>0</v>
      </c>
      <c r="L450" t="str">
        <f>_xlfn.TEXTJOIN(", ", FALSE, 'Audit Report'!K450,'Audit Report'!L450,'Audit Report'!M450)</f>
        <v xml:space="preserve">, , </v>
      </c>
      <c r="M450">
        <f>'Audit Report'!O450</f>
        <v>0</v>
      </c>
      <c r="N450" t="str" cm="1">
        <f t="array" ref="N450">IF(M450="","",
_xlfn.TEXTJOIN(", ",TRUE,
    _xlfn.MAP(_xlfn.TEXTSPLIT(M450,","),_xlfn.LAMBDA(_xlpm.x,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0">
        <f>'Audit Report'!F450</f>
        <v>0</v>
      </c>
      <c r="S450">
        <f>'Audit Report'!Q450</f>
        <v>0</v>
      </c>
    </row>
    <row r="451" spans="4:19">
      <c r="D451">
        <f>'Audit Report'!B451</f>
        <v>0</v>
      </c>
      <c r="E451">
        <f>'Audit Report'!C451</f>
        <v>0</v>
      </c>
      <c r="I451">
        <f>'Audit Report'!D451</f>
        <v>0</v>
      </c>
      <c r="J451">
        <f>'Audit Report'!H451</f>
        <v>0</v>
      </c>
      <c r="L451" t="str">
        <f>_xlfn.TEXTJOIN(", ", FALSE, 'Audit Report'!K451,'Audit Report'!L451,'Audit Report'!M451)</f>
        <v xml:space="preserve">, , </v>
      </c>
      <c r="M451">
        <f>'Audit Report'!O451</f>
        <v>0</v>
      </c>
      <c r="N451" t="str" cm="1">
        <f t="array" ref="N451">IF(M451="","",
_xlfn.TEXTJOIN(", ",TRUE,
    _xlfn.MAP(_xlfn.TEXTSPLIT(M451,","),_xlfn.LAMBDA(_xlpm.x,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1">
        <f>'Audit Report'!F451</f>
        <v>0</v>
      </c>
      <c r="S451">
        <f>'Audit Report'!Q451</f>
        <v>0</v>
      </c>
    </row>
    <row r="452" spans="4:19">
      <c r="D452">
        <f>'Audit Report'!B452</f>
        <v>0</v>
      </c>
      <c r="E452">
        <f>'Audit Report'!C452</f>
        <v>0</v>
      </c>
      <c r="I452">
        <f>'Audit Report'!D452</f>
        <v>0</v>
      </c>
      <c r="J452">
        <f>'Audit Report'!H452</f>
        <v>0</v>
      </c>
      <c r="L452" t="str">
        <f>_xlfn.TEXTJOIN(", ", FALSE, 'Audit Report'!K452,'Audit Report'!L452,'Audit Report'!M452)</f>
        <v xml:space="preserve">, , </v>
      </c>
      <c r="M452">
        <f>'Audit Report'!O452</f>
        <v>0</v>
      </c>
      <c r="N452" t="str" cm="1">
        <f t="array" ref="N452">IF(M452="","",
_xlfn.TEXTJOIN(", ",TRUE,
    _xlfn.MAP(_xlfn.TEXTSPLIT(M452,","),_xlfn.LAMBDA(_xlpm.x,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2">
        <f>'Audit Report'!F452</f>
        <v>0</v>
      </c>
      <c r="S452">
        <f>'Audit Report'!Q452</f>
        <v>0</v>
      </c>
    </row>
    <row r="453" spans="4:19">
      <c r="D453">
        <f>'Audit Report'!B453</f>
        <v>0</v>
      </c>
      <c r="E453">
        <f>'Audit Report'!C453</f>
        <v>0</v>
      </c>
      <c r="I453">
        <f>'Audit Report'!D453</f>
        <v>0</v>
      </c>
      <c r="J453">
        <f>'Audit Report'!H453</f>
        <v>0</v>
      </c>
      <c r="L453" t="str">
        <f>_xlfn.TEXTJOIN(", ", FALSE, 'Audit Report'!K453,'Audit Report'!L453,'Audit Report'!M453)</f>
        <v xml:space="preserve">, , </v>
      </c>
      <c r="M453">
        <f>'Audit Report'!O453</f>
        <v>0</v>
      </c>
      <c r="N453" t="str" cm="1">
        <f t="array" ref="N453">IF(M453="","",
_xlfn.TEXTJOIN(", ",TRUE,
    _xlfn.MAP(_xlfn.TEXTSPLIT(M453,","),_xlfn.LAMBDA(_xlpm.x,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3">
        <f>'Audit Report'!F453</f>
        <v>0</v>
      </c>
      <c r="S453">
        <f>'Audit Report'!Q453</f>
        <v>0</v>
      </c>
    </row>
    <row r="454" spans="4:19">
      <c r="D454">
        <f>'Audit Report'!B454</f>
        <v>0</v>
      </c>
      <c r="E454">
        <f>'Audit Report'!C454</f>
        <v>0</v>
      </c>
      <c r="I454">
        <f>'Audit Report'!D454</f>
        <v>0</v>
      </c>
      <c r="J454">
        <f>'Audit Report'!H454</f>
        <v>0</v>
      </c>
      <c r="L454" t="str">
        <f>_xlfn.TEXTJOIN(", ", FALSE, 'Audit Report'!K454,'Audit Report'!L454,'Audit Report'!M454)</f>
        <v xml:space="preserve">, , </v>
      </c>
      <c r="M454">
        <f>'Audit Report'!O454</f>
        <v>0</v>
      </c>
      <c r="N454" t="str" cm="1">
        <f t="array" ref="N454">IF(M454="","",
_xlfn.TEXTJOIN(", ",TRUE,
    _xlfn.MAP(_xlfn.TEXTSPLIT(M454,","),_xlfn.LAMBDA(_xlpm.x,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4">
        <f>'Audit Report'!F454</f>
        <v>0</v>
      </c>
      <c r="S454">
        <f>'Audit Report'!Q454</f>
        <v>0</v>
      </c>
    </row>
    <row r="455" spans="4:19">
      <c r="D455">
        <f>'Audit Report'!B455</f>
        <v>0</v>
      </c>
      <c r="E455">
        <f>'Audit Report'!C455</f>
        <v>0</v>
      </c>
      <c r="I455">
        <f>'Audit Report'!D455</f>
        <v>0</v>
      </c>
      <c r="J455">
        <f>'Audit Report'!H455</f>
        <v>0</v>
      </c>
      <c r="L455" t="str">
        <f>_xlfn.TEXTJOIN(", ", FALSE, 'Audit Report'!K455,'Audit Report'!L455,'Audit Report'!M455)</f>
        <v xml:space="preserve">, , </v>
      </c>
      <c r="M455">
        <f>'Audit Report'!O455</f>
        <v>0</v>
      </c>
      <c r="N455" t="str" cm="1">
        <f t="array" ref="N455">IF(M455="","",
_xlfn.TEXTJOIN(", ",TRUE,
    _xlfn.MAP(_xlfn.TEXTSPLIT(M455,","),_xlfn.LAMBDA(_xlpm.x,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5">
        <f>'Audit Report'!F455</f>
        <v>0</v>
      </c>
      <c r="S455">
        <f>'Audit Report'!Q455</f>
        <v>0</v>
      </c>
    </row>
    <row r="456" spans="4:19">
      <c r="D456">
        <f>'Audit Report'!B456</f>
        <v>0</v>
      </c>
      <c r="E456">
        <f>'Audit Report'!C456</f>
        <v>0</v>
      </c>
      <c r="I456">
        <f>'Audit Report'!D456</f>
        <v>0</v>
      </c>
      <c r="J456">
        <f>'Audit Report'!H456</f>
        <v>0</v>
      </c>
      <c r="L456" t="str">
        <f>_xlfn.TEXTJOIN(", ", FALSE, 'Audit Report'!K456,'Audit Report'!L456,'Audit Report'!M456)</f>
        <v xml:space="preserve">, , </v>
      </c>
      <c r="M456">
        <f>'Audit Report'!O456</f>
        <v>0</v>
      </c>
      <c r="N456" t="str" cm="1">
        <f t="array" ref="N456">IF(M456="","",
_xlfn.TEXTJOIN(", ",TRUE,
    _xlfn.MAP(_xlfn.TEXTSPLIT(M456,","),_xlfn.LAMBDA(_xlpm.x,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6">
        <f>'Audit Report'!F456</f>
        <v>0</v>
      </c>
      <c r="S456">
        <f>'Audit Report'!Q456</f>
        <v>0</v>
      </c>
    </row>
    <row r="457" spans="4:19">
      <c r="D457">
        <f>'Audit Report'!B457</f>
        <v>0</v>
      </c>
      <c r="E457">
        <f>'Audit Report'!C457</f>
        <v>0</v>
      </c>
      <c r="I457">
        <f>'Audit Report'!D457</f>
        <v>0</v>
      </c>
      <c r="J457">
        <f>'Audit Report'!H457</f>
        <v>0</v>
      </c>
      <c r="L457" t="str">
        <f>_xlfn.TEXTJOIN(", ", FALSE, 'Audit Report'!K457,'Audit Report'!L457,'Audit Report'!M457)</f>
        <v xml:space="preserve">, , </v>
      </c>
      <c r="M457">
        <f>'Audit Report'!O457</f>
        <v>0</v>
      </c>
      <c r="N457" t="str" cm="1">
        <f t="array" ref="N457">IF(M457="","",
_xlfn.TEXTJOIN(", ",TRUE,
    _xlfn.MAP(_xlfn.TEXTSPLIT(M457,","),_xlfn.LAMBDA(_xlpm.x,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7">
        <f>'Audit Report'!F457</f>
        <v>0</v>
      </c>
      <c r="S457">
        <f>'Audit Report'!Q457</f>
        <v>0</v>
      </c>
    </row>
    <row r="458" spans="4:19">
      <c r="D458">
        <f>'Audit Report'!B458</f>
        <v>0</v>
      </c>
      <c r="E458">
        <f>'Audit Report'!C458</f>
        <v>0</v>
      </c>
      <c r="I458">
        <f>'Audit Report'!D458</f>
        <v>0</v>
      </c>
      <c r="J458">
        <f>'Audit Report'!H458</f>
        <v>0</v>
      </c>
      <c r="L458" t="str">
        <f>_xlfn.TEXTJOIN(", ", FALSE, 'Audit Report'!K458,'Audit Report'!L458,'Audit Report'!M458)</f>
        <v xml:space="preserve">, , </v>
      </c>
      <c r="M458">
        <f>'Audit Report'!O458</f>
        <v>0</v>
      </c>
      <c r="N458" t="str" cm="1">
        <f t="array" ref="N458">IF(M458="","",
_xlfn.TEXTJOIN(", ",TRUE,
    _xlfn.MAP(_xlfn.TEXTSPLIT(M458,","),_xlfn.LAMBDA(_xlpm.x,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8">
        <f>'Audit Report'!F458</f>
        <v>0</v>
      </c>
      <c r="S458">
        <f>'Audit Report'!Q458</f>
        <v>0</v>
      </c>
    </row>
    <row r="459" spans="4:19">
      <c r="D459">
        <f>'Audit Report'!B459</f>
        <v>0</v>
      </c>
      <c r="E459">
        <f>'Audit Report'!C459</f>
        <v>0</v>
      </c>
      <c r="I459">
        <f>'Audit Report'!D459</f>
        <v>0</v>
      </c>
      <c r="J459">
        <f>'Audit Report'!H459</f>
        <v>0</v>
      </c>
      <c r="L459" t="str">
        <f>_xlfn.TEXTJOIN(", ", FALSE, 'Audit Report'!K459,'Audit Report'!L459,'Audit Report'!M459)</f>
        <v xml:space="preserve">, , </v>
      </c>
      <c r="M459">
        <f>'Audit Report'!O459</f>
        <v>0</v>
      </c>
      <c r="N459" t="str" cm="1">
        <f t="array" ref="N459">IF(M459="","",
_xlfn.TEXTJOIN(", ",TRUE,
    _xlfn.MAP(_xlfn.TEXTSPLIT(M459,","),_xlfn.LAMBDA(_xlpm.x,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9">
        <f>'Audit Report'!F459</f>
        <v>0</v>
      </c>
      <c r="S459">
        <f>'Audit Report'!Q459</f>
        <v>0</v>
      </c>
    </row>
    <row r="460" spans="4:19">
      <c r="D460">
        <f>'Audit Report'!B460</f>
        <v>0</v>
      </c>
      <c r="E460">
        <f>'Audit Report'!C460</f>
        <v>0</v>
      </c>
      <c r="I460">
        <f>'Audit Report'!D460</f>
        <v>0</v>
      </c>
      <c r="J460">
        <f>'Audit Report'!H460</f>
        <v>0</v>
      </c>
      <c r="L460" t="str">
        <f>_xlfn.TEXTJOIN(", ", FALSE, 'Audit Report'!K460,'Audit Report'!L460,'Audit Report'!M460)</f>
        <v xml:space="preserve">, , </v>
      </c>
      <c r="M460">
        <f>'Audit Report'!O460</f>
        <v>0</v>
      </c>
      <c r="N460" t="str" cm="1">
        <f t="array" ref="N460">IF(M460="","",
_xlfn.TEXTJOIN(", ",TRUE,
    _xlfn.MAP(_xlfn.TEXTSPLIT(M460,","),_xlfn.LAMBDA(_xlpm.x,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0">
        <f>'Audit Report'!F460</f>
        <v>0</v>
      </c>
      <c r="S460">
        <f>'Audit Report'!Q460</f>
        <v>0</v>
      </c>
    </row>
    <row r="461" spans="4:19">
      <c r="D461">
        <f>'Audit Report'!B461</f>
        <v>0</v>
      </c>
      <c r="E461">
        <f>'Audit Report'!C461</f>
        <v>0</v>
      </c>
      <c r="I461">
        <f>'Audit Report'!D461</f>
        <v>0</v>
      </c>
      <c r="J461">
        <f>'Audit Report'!H461</f>
        <v>0</v>
      </c>
      <c r="L461" t="str">
        <f>_xlfn.TEXTJOIN(", ", FALSE, 'Audit Report'!K461,'Audit Report'!L461,'Audit Report'!M461)</f>
        <v xml:space="preserve">, , </v>
      </c>
      <c r="M461">
        <f>'Audit Report'!O461</f>
        <v>0</v>
      </c>
      <c r="N461" t="str" cm="1">
        <f t="array" ref="N461">IF(M461="","",
_xlfn.TEXTJOIN(", ",TRUE,
    _xlfn.MAP(_xlfn.TEXTSPLIT(M461,","),_xlfn.LAMBDA(_xlpm.x,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1">
        <f>'Audit Report'!F461</f>
        <v>0</v>
      </c>
      <c r="S461">
        <f>'Audit Report'!Q461</f>
        <v>0</v>
      </c>
    </row>
    <row r="462" spans="4:19">
      <c r="D462">
        <f>'Audit Report'!B462</f>
        <v>0</v>
      </c>
      <c r="E462">
        <f>'Audit Report'!C462</f>
        <v>0</v>
      </c>
      <c r="I462">
        <f>'Audit Report'!D462</f>
        <v>0</v>
      </c>
      <c r="J462">
        <f>'Audit Report'!H462</f>
        <v>0</v>
      </c>
      <c r="L462" t="str">
        <f>_xlfn.TEXTJOIN(", ", FALSE, 'Audit Report'!K462,'Audit Report'!L462,'Audit Report'!M462)</f>
        <v xml:space="preserve">, , </v>
      </c>
      <c r="M462">
        <f>'Audit Report'!O462</f>
        <v>0</v>
      </c>
      <c r="N462" t="str" cm="1">
        <f t="array" ref="N462">IF(M462="","",
_xlfn.TEXTJOIN(", ",TRUE,
    _xlfn.MAP(_xlfn.TEXTSPLIT(M462,","),_xlfn.LAMBDA(_xlpm.x,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2">
        <f>'Audit Report'!F462</f>
        <v>0</v>
      </c>
      <c r="S462">
        <f>'Audit Report'!Q462</f>
        <v>0</v>
      </c>
    </row>
    <row r="463" spans="4:19">
      <c r="D463">
        <f>'Audit Report'!B463</f>
        <v>0</v>
      </c>
      <c r="E463">
        <f>'Audit Report'!C463</f>
        <v>0</v>
      </c>
      <c r="I463">
        <f>'Audit Report'!D463</f>
        <v>0</v>
      </c>
      <c r="J463">
        <f>'Audit Report'!H463</f>
        <v>0</v>
      </c>
      <c r="L463" t="str">
        <f>_xlfn.TEXTJOIN(", ", FALSE, 'Audit Report'!K463,'Audit Report'!L463,'Audit Report'!M463)</f>
        <v xml:space="preserve">, , </v>
      </c>
      <c r="M463">
        <f>'Audit Report'!O463</f>
        <v>0</v>
      </c>
      <c r="N463" t="str" cm="1">
        <f t="array" ref="N463">IF(M463="","",
_xlfn.TEXTJOIN(", ",TRUE,
    _xlfn.MAP(_xlfn.TEXTSPLIT(M463,","),_xlfn.LAMBDA(_xlpm.x,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3">
        <f>'Audit Report'!F463</f>
        <v>0</v>
      </c>
      <c r="S463">
        <f>'Audit Report'!Q463</f>
        <v>0</v>
      </c>
    </row>
    <row r="464" spans="4:19">
      <c r="D464">
        <f>'Audit Report'!B464</f>
        <v>0</v>
      </c>
      <c r="E464">
        <f>'Audit Report'!C464</f>
        <v>0</v>
      </c>
      <c r="I464">
        <f>'Audit Report'!D464</f>
        <v>0</v>
      </c>
      <c r="J464">
        <f>'Audit Report'!H464</f>
        <v>0</v>
      </c>
      <c r="L464" t="str">
        <f>_xlfn.TEXTJOIN(", ", FALSE, 'Audit Report'!K464,'Audit Report'!L464,'Audit Report'!M464)</f>
        <v xml:space="preserve">, , </v>
      </c>
      <c r="M464">
        <f>'Audit Report'!O464</f>
        <v>0</v>
      </c>
      <c r="N464" t="str" cm="1">
        <f t="array" ref="N464">IF(M464="","",
_xlfn.TEXTJOIN(", ",TRUE,
    _xlfn.MAP(_xlfn.TEXTSPLIT(M464,","),_xlfn.LAMBDA(_xlpm.x,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4">
        <f>'Audit Report'!F464</f>
        <v>0</v>
      </c>
      <c r="S464">
        <f>'Audit Report'!Q464</f>
        <v>0</v>
      </c>
    </row>
    <row r="465" spans="4:19">
      <c r="D465">
        <f>'Audit Report'!B465</f>
        <v>0</v>
      </c>
      <c r="E465">
        <f>'Audit Report'!C465</f>
        <v>0</v>
      </c>
      <c r="I465">
        <f>'Audit Report'!D465</f>
        <v>0</v>
      </c>
      <c r="J465">
        <f>'Audit Report'!H465</f>
        <v>0</v>
      </c>
      <c r="L465" t="str">
        <f>_xlfn.TEXTJOIN(", ", FALSE, 'Audit Report'!K465,'Audit Report'!L465,'Audit Report'!M465)</f>
        <v xml:space="preserve">, , </v>
      </c>
      <c r="M465">
        <f>'Audit Report'!O465</f>
        <v>0</v>
      </c>
      <c r="N465" t="str" cm="1">
        <f t="array" ref="N465">IF(M465="","",
_xlfn.TEXTJOIN(", ",TRUE,
    _xlfn.MAP(_xlfn.TEXTSPLIT(M465,","),_xlfn.LAMBDA(_xlpm.x,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5">
        <f>'Audit Report'!F465</f>
        <v>0</v>
      </c>
      <c r="S465">
        <f>'Audit Report'!Q465</f>
        <v>0</v>
      </c>
    </row>
    <row r="466" spans="4:19">
      <c r="D466">
        <f>'Audit Report'!B466</f>
        <v>0</v>
      </c>
      <c r="E466">
        <f>'Audit Report'!C466</f>
        <v>0</v>
      </c>
      <c r="I466">
        <f>'Audit Report'!D466</f>
        <v>0</v>
      </c>
      <c r="J466">
        <f>'Audit Report'!H466</f>
        <v>0</v>
      </c>
      <c r="L466" t="str">
        <f>_xlfn.TEXTJOIN(", ", FALSE, 'Audit Report'!K466,'Audit Report'!L466,'Audit Report'!M466)</f>
        <v xml:space="preserve">, , </v>
      </c>
      <c r="M466">
        <f>'Audit Report'!O466</f>
        <v>0</v>
      </c>
      <c r="N466" t="str" cm="1">
        <f t="array" ref="N466">IF(M466="","",
_xlfn.TEXTJOIN(", ",TRUE,
    _xlfn.MAP(_xlfn.TEXTSPLIT(M466,","),_xlfn.LAMBDA(_xlpm.x,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6">
        <f>'Audit Report'!F466</f>
        <v>0</v>
      </c>
      <c r="S466">
        <f>'Audit Report'!Q466</f>
        <v>0</v>
      </c>
    </row>
    <row r="467" spans="4:19">
      <c r="D467">
        <f>'Audit Report'!B467</f>
        <v>0</v>
      </c>
      <c r="E467">
        <f>'Audit Report'!C467</f>
        <v>0</v>
      </c>
      <c r="I467">
        <f>'Audit Report'!D467</f>
        <v>0</v>
      </c>
      <c r="J467">
        <f>'Audit Report'!H467</f>
        <v>0</v>
      </c>
      <c r="L467" t="str">
        <f>_xlfn.TEXTJOIN(", ", FALSE, 'Audit Report'!K467,'Audit Report'!L467,'Audit Report'!M467)</f>
        <v xml:space="preserve">, , </v>
      </c>
      <c r="M467">
        <f>'Audit Report'!O467</f>
        <v>0</v>
      </c>
      <c r="N467" t="str" cm="1">
        <f t="array" ref="N467">IF(M467="","",
_xlfn.TEXTJOIN(", ",TRUE,
    _xlfn.MAP(_xlfn.TEXTSPLIT(M467,","),_xlfn.LAMBDA(_xlpm.x,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7">
        <f>'Audit Report'!F467</f>
        <v>0</v>
      </c>
      <c r="S467">
        <f>'Audit Report'!Q467</f>
        <v>0</v>
      </c>
    </row>
    <row r="468" spans="4:19">
      <c r="D468">
        <f>'Audit Report'!B468</f>
        <v>0</v>
      </c>
      <c r="E468">
        <f>'Audit Report'!C468</f>
        <v>0</v>
      </c>
      <c r="I468">
        <f>'Audit Report'!D468</f>
        <v>0</v>
      </c>
      <c r="J468">
        <f>'Audit Report'!H468</f>
        <v>0</v>
      </c>
      <c r="L468" t="str">
        <f>_xlfn.TEXTJOIN(", ", FALSE, 'Audit Report'!K468,'Audit Report'!L468,'Audit Report'!M468)</f>
        <v xml:space="preserve">, , </v>
      </c>
      <c r="M468">
        <f>'Audit Report'!O468</f>
        <v>0</v>
      </c>
      <c r="N468" t="str" cm="1">
        <f t="array" ref="N468">IF(M468="","",
_xlfn.TEXTJOIN(", ",TRUE,
    _xlfn.MAP(_xlfn.TEXTSPLIT(M468,","),_xlfn.LAMBDA(_xlpm.x,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8">
        <f>'Audit Report'!F468</f>
        <v>0</v>
      </c>
      <c r="S468">
        <f>'Audit Report'!Q468</f>
        <v>0</v>
      </c>
    </row>
    <row r="469" spans="4:19">
      <c r="D469">
        <f>'Audit Report'!B469</f>
        <v>0</v>
      </c>
      <c r="E469">
        <f>'Audit Report'!C469</f>
        <v>0</v>
      </c>
      <c r="I469">
        <f>'Audit Report'!D469</f>
        <v>0</v>
      </c>
      <c r="J469">
        <f>'Audit Report'!H469</f>
        <v>0</v>
      </c>
      <c r="L469" t="str">
        <f>_xlfn.TEXTJOIN(", ", FALSE, 'Audit Report'!K469,'Audit Report'!L469,'Audit Report'!M469)</f>
        <v xml:space="preserve">, , </v>
      </c>
      <c r="M469">
        <f>'Audit Report'!O469</f>
        <v>0</v>
      </c>
      <c r="N469" t="str" cm="1">
        <f t="array" ref="N469">IF(M469="","",
_xlfn.TEXTJOIN(", ",TRUE,
    _xlfn.MAP(_xlfn.TEXTSPLIT(M469,","),_xlfn.LAMBDA(_xlpm.x,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9">
        <f>'Audit Report'!F469</f>
        <v>0</v>
      </c>
      <c r="S469">
        <f>'Audit Report'!Q469</f>
        <v>0</v>
      </c>
    </row>
    <row r="470" spans="4:19">
      <c r="D470">
        <f>'Audit Report'!B470</f>
        <v>0</v>
      </c>
      <c r="E470">
        <f>'Audit Report'!C470</f>
        <v>0</v>
      </c>
      <c r="I470">
        <f>'Audit Report'!D470</f>
        <v>0</v>
      </c>
      <c r="J470">
        <f>'Audit Report'!H470</f>
        <v>0</v>
      </c>
      <c r="L470" t="str">
        <f>_xlfn.TEXTJOIN(", ", FALSE, 'Audit Report'!K470,'Audit Report'!L470,'Audit Report'!M470)</f>
        <v xml:space="preserve">, , </v>
      </c>
      <c r="M470">
        <f>'Audit Report'!O470</f>
        <v>0</v>
      </c>
      <c r="N470" t="str" cm="1">
        <f t="array" ref="N470">IF(M470="","",
_xlfn.TEXTJOIN(", ",TRUE,
    _xlfn.MAP(_xlfn.TEXTSPLIT(M470,","),_xlfn.LAMBDA(_xlpm.x,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0">
        <f>'Audit Report'!F470</f>
        <v>0</v>
      </c>
      <c r="S470">
        <f>'Audit Report'!Q470</f>
        <v>0</v>
      </c>
    </row>
    <row r="471" spans="4:19">
      <c r="D471">
        <f>'Audit Report'!B471</f>
        <v>0</v>
      </c>
      <c r="E471">
        <f>'Audit Report'!C471</f>
        <v>0</v>
      </c>
      <c r="I471">
        <f>'Audit Report'!D471</f>
        <v>0</v>
      </c>
      <c r="J471">
        <f>'Audit Report'!H471</f>
        <v>0</v>
      </c>
      <c r="L471" t="str">
        <f>_xlfn.TEXTJOIN(", ", FALSE, 'Audit Report'!K471,'Audit Report'!L471,'Audit Report'!M471)</f>
        <v xml:space="preserve">, , </v>
      </c>
      <c r="M471">
        <f>'Audit Report'!O471</f>
        <v>0</v>
      </c>
      <c r="N471" t="str" cm="1">
        <f t="array" ref="N471">IF(M471="","",
_xlfn.TEXTJOIN(", ",TRUE,
    _xlfn.MAP(_xlfn.TEXTSPLIT(M471,","),_xlfn.LAMBDA(_xlpm.x,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1">
        <f>'Audit Report'!F471</f>
        <v>0</v>
      </c>
      <c r="S471">
        <f>'Audit Report'!Q471</f>
        <v>0</v>
      </c>
    </row>
    <row r="472" spans="4:19">
      <c r="D472">
        <f>'Audit Report'!B472</f>
        <v>0</v>
      </c>
      <c r="E472">
        <f>'Audit Report'!C472</f>
        <v>0</v>
      </c>
      <c r="I472">
        <f>'Audit Report'!D472</f>
        <v>0</v>
      </c>
      <c r="J472">
        <f>'Audit Report'!H472</f>
        <v>0</v>
      </c>
      <c r="L472" t="str">
        <f>_xlfn.TEXTJOIN(", ", FALSE, 'Audit Report'!K472,'Audit Report'!L472,'Audit Report'!M472)</f>
        <v xml:space="preserve">, , </v>
      </c>
      <c r="M472">
        <f>'Audit Report'!O472</f>
        <v>0</v>
      </c>
      <c r="N472" t="str" cm="1">
        <f t="array" ref="N472">IF(M472="","",
_xlfn.TEXTJOIN(", ",TRUE,
    _xlfn.MAP(_xlfn.TEXTSPLIT(M472,","),_xlfn.LAMBDA(_xlpm.x,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2">
        <f>'Audit Report'!F472</f>
        <v>0</v>
      </c>
      <c r="S472">
        <f>'Audit Report'!Q472</f>
        <v>0</v>
      </c>
    </row>
    <row r="473" spans="4:19">
      <c r="D473">
        <f>'Audit Report'!B473</f>
        <v>0</v>
      </c>
      <c r="E473">
        <f>'Audit Report'!C473</f>
        <v>0</v>
      </c>
      <c r="I473">
        <f>'Audit Report'!D473</f>
        <v>0</v>
      </c>
      <c r="J473">
        <f>'Audit Report'!H473</f>
        <v>0</v>
      </c>
      <c r="L473" t="str">
        <f>_xlfn.TEXTJOIN(", ", FALSE, 'Audit Report'!K473,'Audit Report'!L473,'Audit Report'!M473)</f>
        <v xml:space="preserve">, , </v>
      </c>
      <c r="M473">
        <f>'Audit Report'!O473</f>
        <v>0</v>
      </c>
      <c r="N473" t="str" cm="1">
        <f t="array" ref="N473">IF(M473="","",
_xlfn.TEXTJOIN(", ",TRUE,
    _xlfn.MAP(_xlfn.TEXTSPLIT(M473,","),_xlfn.LAMBDA(_xlpm.x,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3">
        <f>'Audit Report'!F473</f>
        <v>0</v>
      </c>
      <c r="S473">
        <f>'Audit Report'!Q473</f>
        <v>0</v>
      </c>
    </row>
    <row r="474" spans="4:19">
      <c r="D474">
        <f>'Audit Report'!B474</f>
        <v>0</v>
      </c>
      <c r="E474">
        <f>'Audit Report'!C474</f>
        <v>0</v>
      </c>
      <c r="I474">
        <f>'Audit Report'!D474</f>
        <v>0</v>
      </c>
      <c r="J474">
        <f>'Audit Report'!H474</f>
        <v>0</v>
      </c>
      <c r="L474" t="str">
        <f>_xlfn.TEXTJOIN(", ", FALSE, 'Audit Report'!K474,'Audit Report'!L474,'Audit Report'!M474)</f>
        <v xml:space="preserve">, , </v>
      </c>
      <c r="M474">
        <f>'Audit Report'!O474</f>
        <v>0</v>
      </c>
      <c r="N474" t="str" cm="1">
        <f t="array" ref="N474">IF(M474="","",
_xlfn.TEXTJOIN(", ",TRUE,
    _xlfn.MAP(_xlfn.TEXTSPLIT(M474,","),_xlfn.LAMBDA(_xlpm.x,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4">
        <f>'Audit Report'!F474</f>
        <v>0</v>
      </c>
      <c r="S474">
        <f>'Audit Report'!Q474</f>
        <v>0</v>
      </c>
    </row>
    <row r="475" spans="4:19">
      <c r="D475">
        <f>'Audit Report'!B475</f>
        <v>0</v>
      </c>
      <c r="E475">
        <f>'Audit Report'!C475</f>
        <v>0</v>
      </c>
      <c r="I475">
        <f>'Audit Report'!D475</f>
        <v>0</v>
      </c>
      <c r="J475">
        <f>'Audit Report'!H475</f>
        <v>0</v>
      </c>
      <c r="L475" t="str">
        <f>_xlfn.TEXTJOIN(", ", FALSE, 'Audit Report'!K475,'Audit Report'!L475,'Audit Report'!M475)</f>
        <v xml:space="preserve">, , </v>
      </c>
      <c r="M475">
        <f>'Audit Report'!O475</f>
        <v>0</v>
      </c>
      <c r="N475" t="str" cm="1">
        <f t="array" ref="N475">IF(M475="","",
_xlfn.TEXTJOIN(", ",TRUE,
    _xlfn.MAP(_xlfn.TEXTSPLIT(M475,","),_xlfn.LAMBDA(_xlpm.x,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5">
        <f>'Audit Report'!F475</f>
        <v>0</v>
      </c>
      <c r="S475">
        <f>'Audit Report'!Q475</f>
        <v>0</v>
      </c>
    </row>
    <row r="476" spans="4:19">
      <c r="D476">
        <f>'Audit Report'!B476</f>
        <v>0</v>
      </c>
      <c r="E476">
        <f>'Audit Report'!C476</f>
        <v>0</v>
      </c>
      <c r="I476">
        <f>'Audit Report'!D476</f>
        <v>0</v>
      </c>
      <c r="J476">
        <f>'Audit Report'!H476</f>
        <v>0</v>
      </c>
      <c r="L476" t="str">
        <f>_xlfn.TEXTJOIN(", ", FALSE, 'Audit Report'!K476,'Audit Report'!L476,'Audit Report'!M476)</f>
        <v xml:space="preserve">, , </v>
      </c>
      <c r="M476">
        <f>'Audit Report'!O476</f>
        <v>0</v>
      </c>
      <c r="N476" t="str" cm="1">
        <f t="array" ref="N476">IF(M476="","",
_xlfn.TEXTJOIN(", ",TRUE,
    _xlfn.MAP(_xlfn.TEXTSPLIT(M476,","),_xlfn.LAMBDA(_xlpm.x,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6">
        <f>'Audit Report'!F476</f>
        <v>0</v>
      </c>
      <c r="S476">
        <f>'Audit Report'!Q476</f>
        <v>0</v>
      </c>
    </row>
    <row r="477" spans="4:19">
      <c r="D477">
        <f>'Audit Report'!B477</f>
        <v>0</v>
      </c>
      <c r="E477">
        <f>'Audit Report'!C477</f>
        <v>0</v>
      </c>
      <c r="I477">
        <f>'Audit Report'!D477</f>
        <v>0</v>
      </c>
      <c r="J477">
        <f>'Audit Report'!H477</f>
        <v>0</v>
      </c>
      <c r="L477" t="str">
        <f>_xlfn.TEXTJOIN(", ", FALSE, 'Audit Report'!K477,'Audit Report'!L477,'Audit Report'!M477)</f>
        <v xml:space="preserve">, , </v>
      </c>
      <c r="M477">
        <f>'Audit Report'!O477</f>
        <v>0</v>
      </c>
      <c r="N477" t="str" cm="1">
        <f t="array" ref="N477">IF(M477="","",
_xlfn.TEXTJOIN(", ",TRUE,
    _xlfn.MAP(_xlfn.TEXTSPLIT(M477,","),_xlfn.LAMBDA(_xlpm.x,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7">
        <f>'Audit Report'!F477</f>
        <v>0</v>
      </c>
      <c r="S477">
        <f>'Audit Report'!Q477</f>
        <v>0</v>
      </c>
    </row>
    <row r="478" spans="4:19">
      <c r="D478">
        <f>'Audit Report'!B478</f>
        <v>0</v>
      </c>
      <c r="E478">
        <f>'Audit Report'!C478</f>
        <v>0</v>
      </c>
      <c r="I478">
        <f>'Audit Report'!D478</f>
        <v>0</v>
      </c>
      <c r="J478">
        <f>'Audit Report'!H478</f>
        <v>0</v>
      </c>
      <c r="L478" t="str">
        <f>_xlfn.TEXTJOIN(", ", FALSE, 'Audit Report'!K478,'Audit Report'!L478,'Audit Report'!M478)</f>
        <v xml:space="preserve">, , </v>
      </c>
      <c r="M478">
        <f>'Audit Report'!O478</f>
        <v>0</v>
      </c>
      <c r="N478" t="str" cm="1">
        <f t="array" ref="N478">IF(M478="","",
_xlfn.TEXTJOIN(", ",TRUE,
    _xlfn.MAP(_xlfn.TEXTSPLIT(M478,","),_xlfn.LAMBDA(_xlpm.x,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8">
        <f>'Audit Report'!F478</f>
        <v>0</v>
      </c>
      <c r="S478">
        <f>'Audit Report'!Q478</f>
        <v>0</v>
      </c>
    </row>
    <row r="479" spans="4:19">
      <c r="D479">
        <f>'Audit Report'!B479</f>
        <v>0</v>
      </c>
      <c r="E479">
        <f>'Audit Report'!C479</f>
        <v>0</v>
      </c>
      <c r="I479">
        <f>'Audit Report'!D479</f>
        <v>0</v>
      </c>
      <c r="J479">
        <f>'Audit Report'!H479</f>
        <v>0</v>
      </c>
      <c r="L479" t="str">
        <f>_xlfn.TEXTJOIN(", ", FALSE, 'Audit Report'!K479,'Audit Report'!L479,'Audit Report'!M479)</f>
        <v xml:space="preserve">, , </v>
      </c>
      <c r="M479">
        <f>'Audit Report'!O479</f>
        <v>0</v>
      </c>
      <c r="N479" t="str" cm="1">
        <f t="array" ref="N479">IF(M479="","",
_xlfn.TEXTJOIN(", ",TRUE,
    _xlfn.MAP(_xlfn.TEXTSPLIT(M479,","),_xlfn.LAMBDA(_xlpm.x,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9">
        <f>'Audit Report'!F479</f>
        <v>0</v>
      </c>
      <c r="S479">
        <f>'Audit Report'!Q479</f>
        <v>0</v>
      </c>
    </row>
    <row r="480" spans="4:19">
      <c r="D480">
        <f>'Audit Report'!B480</f>
        <v>0</v>
      </c>
      <c r="E480">
        <f>'Audit Report'!C480</f>
        <v>0</v>
      </c>
      <c r="I480">
        <f>'Audit Report'!D480</f>
        <v>0</v>
      </c>
      <c r="J480">
        <f>'Audit Report'!H480</f>
        <v>0</v>
      </c>
      <c r="L480" t="str">
        <f>_xlfn.TEXTJOIN(", ", FALSE, 'Audit Report'!K480,'Audit Report'!L480,'Audit Report'!M480)</f>
        <v xml:space="preserve">, , </v>
      </c>
      <c r="M480">
        <f>'Audit Report'!O480</f>
        <v>0</v>
      </c>
      <c r="N480" t="str" cm="1">
        <f t="array" ref="N480">IF(M480="","",
_xlfn.TEXTJOIN(", ",TRUE,
    _xlfn.MAP(_xlfn.TEXTSPLIT(M480,","),_xlfn.LAMBDA(_xlpm.x,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0">
        <f>'Audit Report'!F480</f>
        <v>0</v>
      </c>
      <c r="S480">
        <f>'Audit Report'!Q480</f>
        <v>0</v>
      </c>
    </row>
    <row r="481" spans="4:19">
      <c r="D481">
        <f>'Audit Report'!B481</f>
        <v>0</v>
      </c>
      <c r="E481">
        <f>'Audit Report'!C481</f>
        <v>0</v>
      </c>
      <c r="I481">
        <f>'Audit Report'!D481</f>
        <v>0</v>
      </c>
      <c r="J481">
        <f>'Audit Report'!H481</f>
        <v>0</v>
      </c>
      <c r="L481" t="str">
        <f>_xlfn.TEXTJOIN(", ", FALSE, 'Audit Report'!K481,'Audit Report'!L481,'Audit Report'!M481)</f>
        <v xml:space="preserve">, , </v>
      </c>
      <c r="M481">
        <f>'Audit Report'!O481</f>
        <v>0</v>
      </c>
      <c r="N481" t="str" cm="1">
        <f t="array" ref="N481">IF(M481="","",
_xlfn.TEXTJOIN(", ",TRUE,
    _xlfn.MAP(_xlfn.TEXTSPLIT(M481,","),_xlfn.LAMBDA(_xlpm.x,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1">
        <f>'Audit Report'!F481</f>
        <v>0</v>
      </c>
      <c r="S481">
        <f>'Audit Report'!Q481</f>
        <v>0</v>
      </c>
    </row>
    <row r="482" spans="4:19">
      <c r="D482">
        <f>'Audit Report'!B482</f>
        <v>0</v>
      </c>
      <c r="E482">
        <f>'Audit Report'!C482</f>
        <v>0</v>
      </c>
      <c r="I482">
        <f>'Audit Report'!D482</f>
        <v>0</v>
      </c>
      <c r="J482">
        <f>'Audit Report'!H482</f>
        <v>0</v>
      </c>
      <c r="L482" t="str">
        <f>_xlfn.TEXTJOIN(", ", FALSE, 'Audit Report'!K482,'Audit Report'!L482,'Audit Report'!M482)</f>
        <v xml:space="preserve">, , </v>
      </c>
      <c r="M482">
        <f>'Audit Report'!O482</f>
        <v>0</v>
      </c>
      <c r="N482" t="str" cm="1">
        <f t="array" ref="N482">IF(M482="","",
_xlfn.TEXTJOIN(", ",TRUE,
    _xlfn.MAP(_xlfn.TEXTSPLIT(M482,","),_xlfn.LAMBDA(_xlpm.x,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2">
        <f>'Audit Report'!F482</f>
        <v>0</v>
      </c>
      <c r="S482">
        <f>'Audit Report'!Q482</f>
        <v>0</v>
      </c>
    </row>
    <row r="483" spans="4:19">
      <c r="D483">
        <f>'Audit Report'!B483</f>
        <v>0</v>
      </c>
      <c r="E483">
        <f>'Audit Report'!C483</f>
        <v>0</v>
      </c>
      <c r="I483">
        <f>'Audit Report'!D483</f>
        <v>0</v>
      </c>
      <c r="J483">
        <f>'Audit Report'!H483</f>
        <v>0</v>
      </c>
      <c r="L483" t="str">
        <f>_xlfn.TEXTJOIN(", ", FALSE, 'Audit Report'!K483,'Audit Report'!L483,'Audit Report'!M483)</f>
        <v xml:space="preserve">, , </v>
      </c>
      <c r="M483">
        <f>'Audit Report'!O483</f>
        <v>0</v>
      </c>
      <c r="N483" t="str" cm="1">
        <f t="array" ref="N483">IF(M483="","",
_xlfn.TEXTJOIN(", ",TRUE,
    _xlfn.MAP(_xlfn.TEXTSPLIT(M483,","),_xlfn.LAMBDA(_xlpm.x,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3">
        <f>'Audit Report'!F483</f>
        <v>0</v>
      </c>
      <c r="S483">
        <f>'Audit Report'!Q483</f>
        <v>0</v>
      </c>
    </row>
    <row r="484" spans="4:19">
      <c r="D484">
        <f>'Audit Report'!B484</f>
        <v>0</v>
      </c>
      <c r="E484">
        <f>'Audit Report'!C484</f>
        <v>0</v>
      </c>
      <c r="I484">
        <f>'Audit Report'!D484</f>
        <v>0</v>
      </c>
      <c r="J484">
        <f>'Audit Report'!H484</f>
        <v>0</v>
      </c>
      <c r="L484" t="str">
        <f>_xlfn.TEXTJOIN(", ", FALSE, 'Audit Report'!K484,'Audit Report'!L484,'Audit Report'!M484)</f>
        <v xml:space="preserve">, , </v>
      </c>
      <c r="M484">
        <f>'Audit Report'!O484</f>
        <v>0</v>
      </c>
      <c r="N484" t="str" cm="1">
        <f t="array" ref="N484">IF(M484="","",
_xlfn.TEXTJOIN(", ",TRUE,
    _xlfn.MAP(_xlfn.TEXTSPLIT(M484,","),_xlfn.LAMBDA(_xlpm.x,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4">
        <f>'Audit Report'!F484</f>
        <v>0</v>
      </c>
      <c r="S484">
        <f>'Audit Report'!Q484</f>
        <v>0</v>
      </c>
    </row>
    <row r="485" spans="4:19">
      <c r="D485">
        <f>'Audit Report'!B485</f>
        <v>0</v>
      </c>
      <c r="E485">
        <f>'Audit Report'!C485</f>
        <v>0</v>
      </c>
      <c r="I485">
        <f>'Audit Report'!D485</f>
        <v>0</v>
      </c>
      <c r="J485">
        <f>'Audit Report'!H485</f>
        <v>0</v>
      </c>
      <c r="L485" t="str">
        <f>_xlfn.TEXTJOIN(", ", FALSE, 'Audit Report'!K485,'Audit Report'!L485,'Audit Report'!M485)</f>
        <v xml:space="preserve">, , </v>
      </c>
      <c r="M485">
        <f>'Audit Report'!O485</f>
        <v>0</v>
      </c>
      <c r="N485" t="str" cm="1">
        <f t="array" ref="N485">IF(M485="","",
_xlfn.TEXTJOIN(", ",TRUE,
    _xlfn.MAP(_xlfn.TEXTSPLIT(M485,","),_xlfn.LAMBDA(_xlpm.x,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5">
        <f>'Audit Report'!F485</f>
        <v>0</v>
      </c>
      <c r="S485">
        <f>'Audit Report'!Q485</f>
        <v>0</v>
      </c>
    </row>
    <row r="486" spans="4:19">
      <c r="D486">
        <f>'Audit Report'!B486</f>
        <v>0</v>
      </c>
      <c r="E486">
        <f>'Audit Report'!C486</f>
        <v>0</v>
      </c>
      <c r="I486">
        <f>'Audit Report'!D486</f>
        <v>0</v>
      </c>
      <c r="J486">
        <f>'Audit Report'!H486</f>
        <v>0</v>
      </c>
      <c r="L486" t="str">
        <f>_xlfn.TEXTJOIN(", ", FALSE, 'Audit Report'!K486,'Audit Report'!L486,'Audit Report'!M486)</f>
        <v xml:space="preserve">, , </v>
      </c>
      <c r="M486">
        <f>'Audit Report'!O486</f>
        <v>0</v>
      </c>
      <c r="N486" t="str" cm="1">
        <f t="array" ref="N486">IF(M486="","",
_xlfn.TEXTJOIN(", ",TRUE,
    _xlfn.MAP(_xlfn.TEXTSPLIT(M486,","),_xlfn.LAMBDA(_xlpm.x,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6">
        <f>'Audit Report'!F486</f>
        <v>0</v>
      </c>
      <c r="S486">
        <f>'Audit Report'!Q486</f>
        <v>0</v>
      </c>
    </row>
    <row r="487" spans="4:19">
      <c r="D487">
        <f>'Audit Report'!B487</f>
        <v>0</v>
      </c>
      <c r="E487">
        <f>'Audit Report'!C487</f>
        <v>0</v>
      </c>
      <c r="I487">
        <f>'Audit Report'!D487</f>
        <v>0</v>
      </c>
      <c r="J487">
        <f>'Audit Report'!H487</f>
        <v>0</v>
      </c>
      <c r="L487" t="str">
        <f>_xlfn.TEXTJOIN(", ", FALSE, 'Audit Report'!K487,'Audit Report'!L487,'Audit Report'!M487)</f>
        <v xml:space="preserve">, , </v>
      </c>
      <c r="M487">
        <f>'Audit Report'!O487</f>
        <v>0</v>
      </c>
      <c r="N487" t="str" cm="1">
        <f t="array" ref="N487">IF(M487="","",
_xlfn.TEXTJOIN(", ",TRUE,
    _xlfn.MAP(_xlfn.TEXTSPLIT(M487,","),_xlfn.LAMBDA(_xlpm.x,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7">
        <f>'Audit Report'!F487</f>
        <v>0</v>
      </c>
      <c r="S487">
        <f>'Audit Report'!Q487</f>
        <v>0</v>
      </c>
    </row>
    <row r="488" spans="4:19">
      <c r="D488">
        <f>'Audit Report'!B488</f>
        <v>0</v>
      </c>
      <c r="E488">
        <f>'Audit Report'!C488</f>
        <v>0</v>
      </c>
      <c r="I488">
        <f>'Audit Report'!D488</f>
        <v>0</v>
      </c>
      <c r="J488">
        <f>'Audit Report'!H488</f>
        <v>0</v>
      </c>
      <c r="L488" t="str">
        <f>_xlfn.TEXTJOIN(", ", FALSE, 'Audit Report'!K488,'Audit Report'!L488,'Audit Report'!M488)</f>
        <v xml:space="preserve">, , </v>
      </c>
      <c r="M488">
        <f>'Audit Report'!O488</f>
        <v>0</v>
      </c>
      <c r="N488" t="str" cm="1">
        <f t="array" ref="N488">IF(M488="","",
_xlfn.TEXTJOIN(", ",TRUE,
    _xlfn.MAP(_xlfn.TEXTSPLIT(M488,","),_xlfn.LAMBDA(_xlpm.x,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8">
        <f>'Audit Report'!F488</f>
        <v>0</v>
      </c>
      <c r="S488">
        <f>'Audit Report'!Q488</f>
        <v>0</v>
      </c>
    </row>
    <row r="489" spans="4:19">
      <c r="D489">
        <f>'Audit Report'!B489</f>
        <v>0</v>
      </c>
      <c r="E489">
        <f>'Audit Report'!C489</f>
        <v>0</v>
      </c>
      <c r="I489">
        <f>'Audit Report'!D489</f>
        <v>0</v>
      </c>
      <c r="J489">
        <f>'Audit Report'!H489</f>
        <v>0</v>
      </c>
      <c r="L489" t="str">
        <f>_xlfn.TEXTJOIN(", ", FALSE, 'Audit Report'!K489,'Audit Report'!L489,'Audit Report'!M489)</f>
        <v xml:space="preserve">, , </v>
      </c>
      <c r="M489">
        <f>'Audit Report'!O489</f>
        <v>0</v>
      </c>
      <c r="N489" t="str" cm="1">
        <f t="array" ref="N489">IF(M489="","",
_xlfn.TEXTJOIN(", ",TRUE,
    _xlfn.MAP(_xlfn.TEXTSPLIT(M489,","),_xlfn.LAMBDA(_xlpm.x,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9">
        <f>'Audit Report'!F489</f>
        <v>0</v>
      </c>
      <c r="S489">
        <f>'Audit Report'!Q489</f>
        <v>0</v>
      </c>
    </row>
    <row r="490" spans="4:19">
      <c r="D490">
        <f>'Audit Report'!B490</f>
        <v>0</v>
      </c>
      <c r="E490">
        <f>'Audit Report'!C490</f>
        <v>0</v>
      </c>
      <c r="I490">
        <f>'Audit Report'!D490</f>
        <v>0</v>
      </c>
      <c r="J490">
        <f>'Audit Report'!H490</f>
        <v>0</v>
      </c>
      <c r="L490" t="str">
        <f>_xlfn.TEXTJOIN(", ", FALSE, 'Audit Report'!K490,'Audit Report'!L490,'Audit Report'!M490)</f>
        <v xml:space="preserve">, , </v>
      </c>
      <c r="M490">
        <f>'Audit Report'!O490</f>
        <v>0</v>
      </c>
      <c r="N490" t="str" cm="1">
        <f t="array" ref="N490">IF(M490="","",
_xlfn.TEXTJOIN(", ",TRUE,
    _xlfn.MAP(_xlfn.TEXTSPLIT(M490,","),_xlfn.LAMBDA(_xlpm.x,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0">
        <f>'Audit Report'!F490</f>
        <v>0</v>
      </c>
      <c r="S490">
        <f>'Audit Report'!Q490</f>
        <v>0</v>
      </c>
    </row>
    <row r="491" spans="4:19">
      <c r="D491">
        <f>'Audit Report'!B491</f>
        <v>0</v>
      </c>
      <c r="E491">
        <f>'Audit Report'!C491</f>
        <v>0</v>
      </c>
      <c r="I491">
        <f>'Audit Report'!D491</f>
        <v>0</v>
      </c>
      <c r="J491">
        <f>'Audit Report'!H491</f>
        <v>0</v>
      </c>
      <c r="L491" t="str">
        <f>_xlfn.TEXTJOIN(", ", FALSE, 'Audit Report'!K491,'Audit Report'!L491,'Audit Report'!M491)</f>
        <v xml:space="preserve">, , </v>
      </c>
      <c r="M491">
        <f>'Audit Report'!O491</f>
        <v>0</v>
      </c>
      <c r="N491" t="str" cm="1">
        <f t="array" ref="N491">IF(M491="","",
_xlfn.TEXTJOIN(", ",TRUE,
    _xlfn.MAP(_xlfn.TEXTSPLIT(M491,","),_xlfn.LAMBDA(_xlpm.x,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1">
        <f>'Audit Report'!F491</f>
        <v>0</v>
      </c>
      <c r="S491">
        <f>'Audit Report'!Q491</f>
        <v>0</v>
      </c>
    </row>
    <row r="492" spans="4:19">
      <c r="D492">
        <f>'Audit Report'!B492</f>
        <v>0</v>
      </c>
      <c r="E492">
        <f>'Audit Report'!C492</f>
        <v>0</v>
      </c>
      <c r="I492">
        <f>'Audit Report'!D492</f>
        <v>0</v>
      </c>
      <c r="J492">
        <f>'Audit Report'!H492</f>
        <v>0</v>
      </c>
      <c r="L492" t="str">
        <f>_xlfn.TEXTJOIN(", ", FALSE, 'Audit Report'!K492,'Audit Report'!L492,'Audit Report'!M492)</f>
        <v xml:space="preserve">, , </v>
      </c>
      <c r="M492">
        <f>'Audit Report'!O492</f>
        <v>0</v>
      </c>
      <c r="N492" t="str" cm="1">
        <f t="array" ref="N492">IF(M492="","",
_xlfn.TEXTJOIN(", ",TRUE,
    _xlfn.MAP(_xlfn.TEXTSPLIT(M492,","),_xlfn.LAMBDA(_xlpm.x,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2">
        <f>'Audit Report'!F492</f>
        <v>0</v>
      </c>
      <c r="S492">
        <f>'Audit Report'!Q492</f>
        <v>0</v>
      </c>
    </row>
    <row r="493" spans="4:19">
      <c r="D493">
        <f>'Audit Report'!B493</f>
        <v>0</v>
      </c>
      <c r="E493">
        <f>'Audit Report'!C493</f>
        <v>0</v>
      </c>
      <c r="I493">
        <f>'Audit Report'!D493</f>
        <v>0</v>
      </c>
      <c r="J493">
        <f>'Audit Report'!H493</f>
        <v>0</v>
      </c>
      <c r="L493" t="str">
        <f>_xlfn.TEXTJOIN(", ", FALSE, 'Audit Report'!K493,'Audit Report'!L493,'Audit Report'!M493)</f>
        <v xml:space="preserve">, , </v>
      </c>
      <c r="M493">
        <f>'Audit Report'!O493</f>
        <v>0</v>
      </c>
      <c r="N493" t="str" cm="1">
        <f t="array" ref="N493">IF(M493="","",
_xlfn.TEXTJOIN(", ",TRUE,
    _xlfn.MAP(_xlfn.TEXTSPLIT(M493,","),_xlfn.LAMBDA(_xlpm.x,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3">
        <f>'Audit Report'!F493</f>
        <v>0</v>
      </c>
      <c r="S493">
        <f>'Audit Report'!Q493</f>
        <v>0</v>
      </c>
    </row>
    <row r="494" spans="4:19">
      <c r="D494">
        <f>'Audit Report'!B494</f>
        <v>0</v>
      </c>
      <c r="E494">
        <f>'Audit Report'!C494</f>
        <v>0</v>
      </c>
      <c r="I494">
        <f>'Audit Report'!D494</f>
        <v>0</v>
      </c>
      <c r="J494">
        <f>'Audit Report'!H494</f>
        <v>0</v>
      </c>
      <c r="L494" t="str">
        <f>_xlfn.TEXTJOIN(", ", FALSE, 'Audit Report'!K494,'Audit Report'!L494,'Audit Report'!M494)</f>
        <v xml:space="preserve">, , </v>
      </c>
      <c r="M494">
        <f>'Audit Report'!O494</f>
        <v>0</v>
      </c>
      <c r="N494" t="str" cm="1">
        <f t="array" ref="N494">IF(M494="","",
_xlfn.TEXTJOIN(", ",TRUE,
    _xlfn.MAP(_xlfn.TEXTSPLIT(M494,","),_xlfn.LAMBDA(_xlpm.x,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4">
        <f>'Audit Report'!F494</f>
        <v>0</v>
      </c>
      <c r="S494">
        <f>'Audit Report'!Q494</f>
        <v>0</v>
      </c>
    </row>
    <row r="495" spans="4:19">
      <c r="D495">
        <f>'Audit Report'!B495</f>
        <v>0</v>
      </c>
      <c r="E495">
        <f>'Audit Report'!C495</f>
        <v>0</v>
      </c>
      <c r="I495">
        <f>'Audit Report'!D495</f>
        <v>0</v>
      </c>
      <c r="J495">
        <f>'Audit Report'!H495</f>
        <v>0</v>
      </c>
      <c r="L495" t="str">
        <f>_xlfn.TEXTJOIN(", ", FALSE, 'Audit Report'!K495,'Audit Report'!L495,'Audit Report'!M495)</f>
        <v xml:space="preserve">, , </v>
      </c>
      <c r="M495">
        <f>'Audit Report'!O495</f>
        <v>0</v>
      </c>
      <c r="N495" t="str" cm="1">
        <f t="array" ref="N495">IF(M495="","",
_xlfn.TEXTJOIN(", ",TRUE,
    _xlfn.MAP(_xlfn.TEXTSPLIT(M495,","),_xlfn.LAMBDA(_xlpm.x,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5">
        <f>'Audit Report'!F495</f>
        <v>0</v>
      </c>
      <c r="S495">
        <f>'Audit Report'!Q495</f>
        <v>0</v>
      </c>
    </row>
    <row r="496" spans="4:19">
      <c r="D496">
        <f>'Audit Report'!B496</f>
        <v>0</v>
      </c>
      <c r="E496">
        <f>'Audit Report'!C496</f>
        <v>0</v>
      </c>
      <c r="I496">
        <f>'Audit Report'!D496</f>
        <v>0</v>
      </c>
      <c r="J496">
        <f>'Audit Report'!H496</f>
        <v>0</v>
      </c>
      <c r="L496" t="str">
        <f>_xlfn.TEXTJOIN(", ", FALSE, 'Audit Report'!K496,'Audit Report'!L496,'Audit Report'!M496)</f>
        <v xml:space="preserve">, , </v>
      </c>
      <c r="M496">
        <f>'Audit Report'!O496</f>
        <v>0</v>
      </c>
      <c r="N496" t="str" cm="1">
        <f t="array" ref="N496">IF(M496="","",
_xlfn.TEXTJOIN(", ",TRUE,
    _xlfn.MAP(_xlfn.TEXTSPLIT(M496,","),_xlfn.LAMBDA(_xlpm.x,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6">
        <f>'Audit Report'!F496</f>
        <v>0</v>
      </c>
      <c r="S496">
        <f>'Audit Report'!Q496</f>
        <v>0</v>
      </c>
    </row>
    <row r="497" spans="4:19">
      <c r="D497">
        <f>'Audit Report'!B497</f>
        <v>0</v>
      </c>
      <c r="E497">
        <f>'Audit Report'!C497</f>
        <v>0</v>
      </c>
      <c r="I497">
        <f>'Audit Report'!D497</f>
        <v>0</v>
      </c>
      <c r="J497">
        <f>'Audit Report'!H497</f>
        <v>0</v>
      </c>
      <c r="L497" t="str">
        <f>_xlfn.TEXTJOIN(", ", FALSE, 'Audit Report'!K497,'Audit Report'!L497,'Audit Report'!M497)</f>
        <v xml:space="preserve">, , </v>
      </c>
      <c r="M497">
        <f>'Audit Report'!O497</f>
        <v>0</v>
      </c>
      <c r="N497" t="str" cm="1">
        <f t="array" ref="N497">IF(M497="","",
_xlfn.TEXTJOIN(", ",TRUE,
    _xlfn.MAP(_xlfn.TEXTSPLIT(M497,","),_xlfn.LAMBDA(_xlpm.x,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7">
        <f>'Audit Report'!F497</f>
        <v>0</v>
      </c>
      <c r="S497">
        <f>'Audit Report'!Q497</f>
        <v>0</v>
      </c>
    </row>
    <row r="498" spans="4:19">
      <c r="D498">
        <f>'Audit Report'!B498</f>
        <v>0</v>
      </c>
      <c r="E498">
        <f>'Audit Report'!C498</f>
        <v>0</v>
      </c>
      <c r="I498">
        <f>'Audit Report'!D498</f>
        <v>0</v>
      </c>
      <c r="J498">
        <f>'Audit Report'!H498</f>
        <v>0</v>
      </c>
      <c r="L498" t="str">
        <f>_xlfn.TEXTJOIN(", ", FALSE, 'Audit Report'!K498,'Audit Report'!L498,'Audit Report'!M498)</f>
        <v xml:space="preserve">, , </v>
      </c>
      <c r="M498">
        <f>'Audit Report'!O498</f>
        <v>0</v>
      </c>
      <c r="N498" t="str" cm="1">
        <f t="array" ref="N498">IF(M498="","",
_xlfn.TEXTJOIN(", ",TRUE,
    _xlfn.MAP(_xlfn.TEXTSPLIT(M498,","),_xlfn.LAMBDA(_xlpm.x,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8">
        <f>'Audit Report'!F498</f>
        <v>0</v>
      </c>
      <c r="S498">
        <f>'Audit Report'!Q498</f>
        <v>0</v>
      </c>
    </row>
    <row r="499" spans="4:19">
      <c r="D499">
        <f>'Audit Report'!B499</f>
        <v>0</v>
      </c>
      <c r="E499">
        <f>'Audit Report'!C499</f>
        <v>0</v>
      </c>
      <c r="I499">
        <f>'Audit Report'!D499</f>
        <v>0</v>
      </c>
      <c r="J499">
        <f>'Audit Report'!H499</f>
        <v>0</v>
      </c>
      <c r="L499" t="str">
        <f>_xlfn.TEXTJOIN(", ", FALSE, 'Audit Report'!K499,'Audit Report'!L499,'Audit Report'!M499)</f>
        <v xml:space="preserve">, , </v>
      </c>
      <c r="M499">
        <f>'Audit Report'!O499</f>
        <v>0</v>
      </c>
      <c r="N499" t="str" cm="1">
        <f t="array" ref="N499">IF(M499="","",
_xlfn.TEXTJOIN(", ",TRUE,
    _xlfn.MAP(_xlfn.TEXTSPLIT(M499,","),_xlfn.LAMBDA(_xlpm.x,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9">
        <f>'Audit Report'!F499</f>
        <v>0</v>
      </c>
      <c r="S499">
        <f>'Audit Report'!Q499</f>
        <v>0</v>
      </c>
    </row>
    <row r="500" spans="4:19">
      <c r="D500">
        <f>'Audit Report'!B500</f>
        <v>0</v>
      </c>
      <c r="E500">
        <f>'Audit Report'!C500</f>
        <v>0</v>
      </c>
      <c r="I500">
        <f>'Audit Report'!D500</f>
        <v>0</v>
      </c>
      <c r="J500">
        <f>'Audit Report'!H500</f>
        <v>0</v>
      </c>
      <c r="L500" t="str">
        <f>_xlfn.TEXTJOIN(", ", FALSE, 'Audit Report'!K500,'Audit Report'!L500,'Audit Report'!M500)</f>
        <v xml:space="preserve">, , </v>
      </c>
      <c r="M500">
        <f>'Audit Report'!O500</f>
        <v>0</v>
      </c>
      <c r="N500" t="str" cm="1">
        <f t="array" ref="N500">IF(M500="","",
_xlfn.TEXTJOIN(", ",TRUE,
    _xlfn.MAP(_xlfn.TEXTSPLIT(M500,","),_xlfn.LAMBDA(_xlpm.x,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0">
        <f>'Audit Report'!F500</f>
        <v>0</v>
      </c>
      <c r="S500">
        <f>'Audit Report'!Q500</f>
        <v>0</v>
      </c>
    </row>
    <row r="501" spans="4:19">
      <c r="D501">
        <f>'Audit Report'!B501</f>
        <v>0</v>
      </c>
      <c r="E501">
        <f>'Audit Report'!C501</f>
        <v>0</v>
      </c>
      <c r="I501">
        <f>'Audit Report'!D501</f>
        <v>0</v>
      </c>
      <c r="J501">
        <f>'Audit Report'!H501</f>
        <v>0</v>
      </c>
      <c r="L501" t="str">
        <f>_xlfn.TEXTJOIN(", ", FALSE, 'Audit Report'!K501,'Audit Report'!L501,'Audit Report'!M501)</f>
        <v xml:space="preserve">, , </v>
      </c>
      <c r="M501">
        <f>'Audit Report'!O501</f>
        <v>0</v>
      </c>
      <c r="N501" t="str" cm="1">
        <f t="array" ref="N501">IF(M501="","",
_xlfn.TEXTJOIN(", ",TRUE,
    _xlfn.MAP(_xlfn.TEXTSPLIT(M501,","),_xlfn.LAMBDA(_xlpm.x,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1">
        <f>'Audit Report'!F501</f>
        <v>0</v>
      </c>
      <c r="S501">
        <f>'Audit Report'!Q501</f>
        <v>0</v>
      </c>
    </row>
    <row r="502" spans="4:19">
      <c r="D502">
        <f>'Audit Report'!B502</f>
        <v>0</v>
      </c>
      <c r="E502">
        <f>'Audit Report'!C502</f>
        <v>0</v>
      </c>
      <c r="I502">
        <f>'Audit Report'!D502</f>
        <v>0</v>
      </c>
      <c r="J502">
        <f>'Audit Report'!H502</f>
        <v>0</v>
      </c>
      <c r="L502" t="str">
        <f>_xlfn.TEXTJOIN(", ", FALSE, 'Audit Report'!K502,'Audit Report'!L502,'Audit Report'!M502)</f>
        <v xml:space="preserve">, , </v>
      </c>
      <c r="M502">
        <f>'Audit Report'!O502</f>
        <v>0</v>
      </c>
      <c r="N502" t="str" cm="1">
        <f t="array" ref="N502">IF(M502="","",
_xlfn.TEXTJOIN(", ",TRUE,
    _xlfn.MAP(_xlfn.TEXTSPLIT(M502,","),_xlfn.LAMBDA(_xlpm.x,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2">
        <f>'Audit Report'!F502</f>
        <v>0</v>
      </c>
      <c r="S502">
        <f>'Audit Report'!Q502</f>
        <v>0</v>
      </c>
    </row>
    <row r="503" spans="4:19">
      <c r="D503">
        <f>'Audit Report'!B503</f>
        <v>0</v>
      </c>
      <c r="E503">
        <f>'Audit Report'!C503</f>
        <v>0</v>
      </c>
      <c r="I503">
        <f>'Audit Report'!D503</f>
        <v>0</v>
      </c>
      <c r="J503">
        <f>'Audit Report'!H503</f>
        <v>0</v>
      </c>
      <c r="L503" t="str">
        <f>_xlfn.TEXTJOIN(", ", FALSE, 'Audit Report'!K503,'Audit Report'!L503,'Audit Report'!M503)</f>
        <v xml:space="preserve">, , </v>
      </c>
      <c r="M503">
        <f>'Audit Report'!O503</f>
        <v>0</v>
      </c>
      <c r="N503" t="str" cm="1">
        <f t="array" ref="N503">IF(M503="","",
_xlfn.TEXTJOIN(", ",TRUE,
    _xlfn.MAP(_xlfn.TEXTSPLIT(M503,","),_xlfn.LAMBDA(_xlpm.x,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3">
        <f>'Audit Report'!F503</f>
        <v>0</v>
      </c>
      <c r="S503">
        <f>'Audit Report'!Q503</f>
        <v>0</v>
      </c>
    </row>
    <row r="504" spans="4:19">
      <c r="D504">
        <f>'Audit Report'!B504</f>
        <v>0</v>
      </c>
      <c r="E504">
        <f>'Audit Report'!C504</f>
        <v>0</v>
      </c>
      <c r="I504">
        <f>'Audit Report'!D504</f>
        <v>0</v>
      </c>
      <c r="J504">
        <f>'Audit Report'!H504</f>
        <v>0</v>
      </c>
      <c r="L504" t="str">
        <f>_xlfn.TEXTJOIN(", ", FALSE, 'Audit Report'!K504,'Audit Report'!L504,'Audit Report'!M504)</f>
        <v xml:space="preserve">, , </v>
      </c>
      <c r="M504">
        <f>'Audit Report'!O504</f>
        <v>0</v>
      </c>
      <c r="N504" t="str" cm="1">
        <f t="array" ref="N504">IF(M504="","",
_xlfn.TEXTJOIN(", ",TRUE,
    _xlfn.MAP(_xlfn.TEXTSPLIT(M504,","),_xlfn.LAMBDA(_xlpm.x,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4">
        <f>'Audit Report'!F504</f>
        <v>0</v>
      </c>
      <c r="S504">
        <f>'Audit Report'!Q504</f>
        <v>0</v>
      </c>
    </row>
    <row r="505" spans="4:19">
      <c r="D505">
        <f>'Audit Report'!B505</f>
        <v>0</v>
      </c>
      <c r="E505">
        <f>'Audit Report'!C505</f>
        <v>0</v>
      </c>
      <c r="I505">
        <f>'Audit Report'!D505</f>
        <v>0</v>
      </c>
      <c r="J505">
        <f>'Audit Report'!H505</f>
        <v>0</v>
      </c>
      <c r="L505" t="str">
        <f>_xlfn.TEXTJOIN(", ", FALSE, 'Audit Report'!K505,'Audit Report'!L505,'Audit Report'!M505)</f>
        <v xml:space="preserve">, , </v>
      </c>
      <c r="M505">
        <f>'Audit Report'!O505</f>
        <v>0</v>
      </c>
      <c r="N505" t="str" cm="1">
        <f t="array" ref="N505">IF(M505="","",
_xlfn.TEXTJOIN(", ",TRUE,
    _xlfn.MAP(_xlfn.TEXTSPLIT(M505,","),_xlfn.LAMBDA(_xlpm.x,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5">
        <f>'Audit Report'!F505</f>
        <v>0</v>
      </c>
      <c r="S505">
        <f>'Audit Report'!Q505</f>
        <v>0</v>
      </c>
    </row>
    <row r="506" spans="4:19">
      <c r="D506">
        <f>'Audit Report'!B506</f>
        <v>0</v>
      </c>
      <c r="E506">
        <f>'Audit Report'!C506</f>
        <v>0</v>
      </c>
      <c r="I506">
        <f>'Audit Report'!D506</f>
        <v>0</v>
      </c>
      <c r="J506">
        <f>'Audit Report'!H506</f>
        <v>0</v>
      </c>
      <c r="L506" t="str">
        <f>_xlfn.TEXTJOIN(", ", FALSE, 'Audit Report'!K506,'Audit Report'!L506,'Audit Report'!M506)</f>
        <v xml:space="preserve">, , </v>
      </c>
      <c r="M506">
        <f>'Audit Report'!O506</f>
        <v>0</v>
      </c>
      <c r="N506" t="str" cm="1">
        <f t="array" ref="N506">IF(M506="","",
_xlfn.TEXTJOIN(", ",TRUE,
    _xlfn.MAP(_xlfn.TEXTSPLIT(M506,","),_xlfn.LAMBDA(_xlpm.x,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6">
        <f>'Audit Report'!F506</f>
        <v>0</v>
      </c>
      <c r="S506">
        <f>'Audit Report'!Q506</f>
        <v>0</v>
      </c>
    </row>
    <row r="507" spans="4:19">
      <c r="D507">
        <f>'Audit Report'!B507</f>
        <v>0</v>
      </c>
      <c r="E507">
        <f>'Audit Report'!C507</f>
        <v>0</v>
      </c>
      <c r="I507">
        <f>'Audit Report'!D507</f>
        <v>0</v>
      </c>
      <c r="J507">
        <f>'Audit Report'!H507</f>
        <v>0</v>
      </c>
      <c r="L507" t="str">
        <f>_xlfn.TEXTJOIN(", ", FALSE, 'Audit Report'!K507,'Audit Report'!L507,'Audit Report'!M507)</f>
        <v xml:space="preserve">, , </v>
      </c>
      <c r="M507">
        <f>'Audit Report'!O507</f>
        <v>0</v>
      </c>
      <c r="N507" t="str" cm="1">
        <f t="array" ref="N507">IF(M507="","",
_xlfn.TEXTJOIN(", ",TRUE,
    _xlfn.MAP(_xlfn.TEXTSPLIT(M507,","),_xlfn.LAMBDA(_xlpm.x,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7">
        <f>'Audit Report'!F507</f>
        <v>0</v>
      </c>
      <c r="S507">
        <f>'Audit Report'!Q507</f>
        <v>0</v>
      </c>
    </row>
    <row r="508" spans="4:19">
      <c r="D508">
        <f>'Audit Report'!B508</f>
        <v>0</v>
      </c>
      <c r="E508">
        <f>'Audit Report'!C508</f>
        <v>0</v>
      </c>
      <c r="I508">
        <f>'Audit Report'!D508</f>
        <v>0</v>
      </c>
      <c r="J508">
        <f>'Audit Report'!H508</f>
        <v>0</v>
      </c>
      <c r="L508" t="str">
        <f>_xlfn.TEXTJOIN(", ", FALSE, 'Audit Report'!K508,'Audit Report'!L508,'Audit Report'!M508)</f>
        <v xml:space="preserve">, , </v>
      </c>
      <c r="M508">
        <f>'Audit Report'!O508</f>
        <v>0</v>
      </c>
      <c r="N508" t="str" cm="1">
        <f t="array" ref="N508">IF(M508="","",
_xlfn.TEXTJOIN(", ",TRUE,
    _xlfn.MAP(_xlfn.TEXTSPLIT(M508,","),_xlfn.LAMBDA(_xlpm.x,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8">
        <f>'Audit Report'!F508</f>
        <v>0</v>
      </c>
      <c r="S508">
        <f>'Audit Report'!Q508</f>
        <v>0</v>
      </c>
    </row>
    <row r="509" spans="4:19">
      <c r="D509">
        <f>'Audit Report'!B509</f>
        <v>0</v>
      </c>
      <c r="E509">
        <f>'Audit Report'!C509</f>
        <v>0</v>
      </c>
      <c r="I509">
        <f>'Audit Report'!D509</f>
        <v>0</v>
      </c>
      <c r="J509">
        <f>'Audit Report'!H509</f>
        <v>0</v>
      </c>
      <c r="L509" t="str">
        <f>_xlfn.TEXTJOIN(", ", FALSE, 'Audit Report'!K509,'Audit Report'!L509,'Audit Report'!M509)</f>
        <v xml:space="preserve">, , </v>
      </c>
      <c r="M509">
        <f>'Audit Report'!O509</f>
        <v>0</v>
      </c>
      <c r="N509" t="str" cm="1">
        <f t="array" ref="N509">IF(M509="","",
_xlfn.TEXTJOIN(", ",TRUE,
    _xlfn.MAP(_xlfn.TEXTSPLIT(M509,","),_xlfn.LAMBDA(_xlpm.x,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9">
        <f>'Audit Report'!F509</f>
        <v>0</v>
      </c>
      <c r="S509">
        <f>'Audit Report'!Q509</f>
        <v>0</v>
      </c>
    </row>
    <row r="510" spans="4:19">
      <c r="D510">
        <f>'Audit Report'!B510</f>
        <v>0</v>
      </c>
      <c r="E510">
        <f>'Audit Report'!C510</f>
        <v>0</v>
      </c>
      <c r="I510">
        <f>'Audit Report'!D510</f>
        <v>0</v>
      </c>
      <c r="J510">
        <f>'Audit Report'!H510</f>
        <v>0</v>
      </c>
      <c r="L510" t="str">
        <f>_xlfn.TEXTJOIN(", ", FALSE, 'Audit Report'!K510,'Audit Report'!L510,'Audit Report'!M510)</f>
        <v xml:space="preserve">, , </v>
      </c>
      <c r="M510">
        <f>'Audit Report'!O510</f>
        <v>0</v>
      </c>
      <c r="N510" t="str" cm="1">
        <f t="array" ref="N510">IF(M510="","",
_xlfn.TEXTJOIN(", ",TRUE,
    _xlfn.MAP(_xlfn.TEXTSPLIT(M510,","),_xlfn.LAMBDA(_xlpm.x,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0">
        <f>'Audit Report'!F510</f>
        <v>0</v>
      </c>
      <c r="S510">
        <f>'Audit Report'!Q510</f>
        <v>0</v>
      </c>
    </row>
    <row r="511" spans="4:19">
      <c r="D511">
        <f>'Audit Report'!B511</f>
        <v>0</v>
      </c>
      <c r="E511">
        <f>'Audit Report'!C511</f>
        <v>0</v>
      </c>
      <c r="I511">
        <f>'Audit Report'!D511</f>
        <v>0</v>
      </c>
      <c r="J511">
        <f>'Audit Report'!H511</f>
        <v>0</v>
      </c>
      <c r="L511" t="str">
        <f>_xlfn.TEXTJOIN(", ", FALSE, 'Audit Report'!K511,'Audit Report'!L511,'Audit Report'!M511)</f>
        <v xml:space="preserve">, , </v>
      </c>
      <c r="M511">
        <f>'Audit Report'!O511</f>
        <v>0</v>
      </c>
      <c r="N511" t="str" cm="1">
        <f t="array" ref="N511">IF(M511="","",
_xlfn.TEXTJOIN(", ",TRUE,
    _xlfn.MAP(_xlfn.TEXTSPLIT(M511,","),_xlfn.LAMBDA(_xlpm.x,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1">
        <f>'Audit Report'!F511</f>
        <v>0</v>
      </c>
      <c r="S511">
        <f>'Audit Report'!Q511</f>
        <v>0</v>
      </c>
    </row>
    <row r="512" spans="4:19">
      <c r="D512">
        <f>'Audit Report'!B512</f>
        <v>0</v>
      </c>
      <c r="E512">
        <f>'Audit Report'!C512</f>
        <v>0</v>
      </c>
      <c r="I512">
        <f>'Audit Report'!D512</f>
        <v>0</v>
      </c>
      <c r="J512">
        <f>'Audit Report'!H512</f>
        <v>0</v>
      </c>
      <c r="L512" t="str">
        <f>_xlfn.TEXTJOIN(", ", FALSE, 'Audit Report'!K512,'Audit Report'!L512,'Audit Report'!M512)</f>
        <v xml:space="preserve">, , </v>
      </c>
      <c r="M512">
        <f>'Audit Report'!O512</f>
        <v>0</v>
      </c>
      <c r="N512" t="str" cm="1">
        <f t="array" ref="N512">IF(M512="","",
_xlfn.TEXTJOIN(", ",TRUE,
    _xlfn.MAP(_xlfn.TEXTSPLIT(M512,","),_xlfn.LAMBDA(_xlpm.x,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2">
        <f>'Audit Report'!F512</f>
        <v>0</v>
      </c>
      <c r="S512">
        <f>'Audit Report'!Q512</f>
        <v>0</v>
      </c>
    </row>
    <row r="513" spans="4:19">
      <c r="D513">
        <f>'Audit Report'!B513</f>
        <v>0</v>
      </c>
      <c r="E513">
        <f>'Audit Report'!C513</f>
        <v>0</v>
      </c>
      <c r="I513">
        <f>'Audit Report'!D513</f>
        <v>0</v>
      </c>
      <c r="J513">
        <f>'Audit Report'!H513</f>
        <v>0</v>
      </c>
      <c r="L513" t="str">
        <f>_xlfn.TEXTJOIN(", ", FALSE, 'Audit Report'!K513,'Audit Report'!L513,'Audit Report'!M513)</f>
        <v xml:space="preserve">, , </v>
      </c>
      <c r="M513">
        <f>'Audit Report'!O513</f>
        <v>0</v>
      </c>
      <c r="N513" t="str" cm="1">
        <f t="array" ref="N513">IF(M513="","",
_xlfn.TEXTJOIN(", ",TRUE,
    _xlfn.MAP(_xlfn.TEXTSPLIT(M513,","),_xlfn.LAMBDA(_xlpm.x,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3">
        <f>'Audit Report'!F513</f>
        <v>0</v>
      </c>
      <c r="S513">
        <f>'Audit Report'!Q513</f>
        <v>0</v>
      </c>
    </row>
    <row r="514" spans="4:19">
      <c r="D514">
        <f>'Audit Report'!B514</f>
        <v>0</v>
      </c>
      <c r="E514">
        <f>'Audit Report'!C514</f>
        <v>0</v>
      </c>
      <c r="I514">
        <f>'Audit Report'!D514</f>
        <v>0</v>
      </c>
      <c r="J514">
        <f>'Audit Report'!H514</f>
        <v>0</v>
      </c>
      <c r="L514" t="str">
        <f>_xlfn.TEXTJOIN(", ", FALSE, 'Audit Report'!K514,'Audit Report'!L514,'Audit Report'!M514)</f>
        <v xml:space="preserve">, , </v>
      </c>
      <c r="M514">
        <f>'Audit Report'!O514</f>
        <v>0</v>
      </c>
      <c r="N514" t="str" cm="1">
        <f t="array" ref="N514">IF(M514="","",
_xlfn.TEXTJOIN(", ",TRUE,
    _xlfn.MAP(_xlfn.TEXTSPLIT(M514,","),_xlfn.LAMBDA(_xlpm.x,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4">
        <f>'Audit Report'!F514</f>
        <v>0</v>
      </c>
      <c r="S514">
        <f>'Audit Report'!Q514</f>
        <v>0</v>
      </c>
    </row>
    <row r="515" spans="4:19">
      <c r="D515">
        <f>'Audit Report'!B515</f>
        <v>0</v>
      </c>
      <c r="E515">
        <f>'Audit Report'!C515</f>
        <v>0</v>
      </c>
      <c r="I515">
        <f>'Audit Report'!D515</f>
        <v>0</v>
      </c>
      <c r="J515">
        <f>'Audit Report'!H515</f>
        <v>0</v>
      </c>
      <c r="L515" t="str">
        <f>_xlfn.TEXTJOIN(", ", FALSE, 'Audit Report'!K515,'Audit Report'!L515,'Audit Report'!M515)</f>
        <v xml:space="preserve">, , </v>
      </c>
      <c r="M515">
        <f>'Audit Report'!O515</f>
        <v>0</v>
      </c>
      <c r="N515" t="str" cm="1">
        <f t="array" ref="N515">IF(M515="","",
_xlfn.TEXTJOIN(", ",TRUE,
    _xlfn.MAP(_xlfn.TEXTSPLIT(M515,","),_xlfn.LAMBDA(_xlpm.x,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5">
        <f>'Audit Report'!F515</f>
        <v>0</v>
      </c>
      <c r="S515">
        <f>'Audit Report'!Q515</f>
        <v>0</v>
      </c>
    </row>
    <row r="516" spans="4:19">
      <c r="D516">
        <f>'Audit Report'!B516</f>
        <v>0</v>
      </c>
      <c r="E516">
        <f>'Audit Report'!C516</f>
        <v>0</v>
      </c>
      <c r="I516">
        <f>'Audit Report'!D516</f>
        <v>0</v>
      </c>
      <c r="J516">
        <f>'Audit Report'!H516</f>
        <v>0</v>
      </c>
      <c r="L516" t="str">
        <f>_xlfn.TEXTJOIN(", ", FALSE, 'Audit Report'!K516,'Audit Report'!L516,'Audit Report'!M516)</f>
        <v xml:space="preserve">, , </v>
      </c>
      <c r="M516">
        <f>'Audit Report'!O516</f>
        <v>0</v>
      </c>
      <c r="N516" t="str" cm="1">
        <f t="array" ref="N516">IF(M516="","",
_xlfn.TEXTJOIN(", ",TRUE,
    _xlfn.MAP(_xlfn.TEXTSPLIT(M516,","),_xlfn.LAMBDA(_xlpm.x,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6">
        <f>'Audit Report'!F516</f>
        <v>0</v>
      </c>
      <c r="S516">
        <f>'Audit Report'!Q516</f>
        <v>0</v>
      </c>
    </row>
    <row r="517" spans="4:19">
      <c r="D517">
        <f>'Audit Report'!B517</f>
        <v>0</v>
      </c>
      <c r="E517">
        <f>'Audit Report'!C517</f>
        <v>0</v>
      </c>
      <c r="I517">
        <f>'Audit Report'!D517</f>
        <v>0</v>
      </c>
      <c r="J517">
        <f>'Audit Report'!H517</f>
        <v>0</v>
      </c>
      <c r="L517" t="str">
        <f>_xlfn.TEXTJOIN(", ", FALSE, 'Audit Report'!K517,'Audit Report'!L517,'Audit Report'!M517)</f>
        <v xml:space="preserve">, , </v>
      </c>
      <c r="M517">
        <f>'Audit Report'!O517</f>
        <v>0</v>
      </c>
      <c r="N517" t="str" cm="1">
        <f t="array" ref="N517">IF(M517="","",
_xlfn.TEXTJOIN(", ",TRUE,
    _xlfn.MAP(_xlfn.TEXTSPLIT(M517,","),_xlfn.LAMBDA(_xlpm.x,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7">
        <f>'Audit Report'!F517</f>
        <v>0</v>
      </c>
      <c r="S517">
        <f>'Audit Report'!Q517</f>
        <v>0</v>
      </c>
    </row>
    <row r="518" spans="4:19">
      <c r="D518">
        <f>'Audit Report'!B518</f>
        <v>0</v>
      </c>
      <c r="E518">
        <f>'Audit Report'!C518</f>
        <v>0</v>
      </c>
      <c r="I518">
        <f>'Audit Report'!D518</f>
        <v>0</v>
      </c>
      <c r="J518">
        <f>'Audit Report'!H518</f>
        <v>0</v>
      </c>
      <c r="L518" t="str">
        <f>_xlfn.TEXTJOIN(", ", FALSE, 'Audit Report'!K518,'Audit Report'!L518,'Audit Report'!M518)</f>
        <v xml:space="preserve">, , </v>
      </c>
      <c r="M518">
        <f>'Audit Report'!O518</f>
        <v>0</v>
      </c>
      <c r="N518" t="str" cm="1">
        <f t="array" ref="N518">IF(M518="","",
_xlfn.TEXTJOIN(", ",TRUE,
    _xlfn.MAP(_xlfn.TEXTSPLIT(M518,","),_xlfn.LAMBDA(_xlpm.x,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8">
        <f>'Audit Report'!F518</f>
        <v>0</v>
      </c>
      <c r="S518">
        <f>'Audit Report'!Q518</f>
        <v>0</v>
      </c>
    </row>
    <row r="519" spans="4:19">
      <c r="D519">
        <f>'Audit Report'!B519</f>
        <v>0</v>
      </c>
      <c r="E519">
        <f>'Audit Report'!C519</f>
        <v>0</v>
      </c>
      <c r="I519">
        <f>'Audit Report'!D519</f>
        <v>0</v>
      </c>
      <c r="J519">
        <f>'Audit Report'!H519</f>
        <v>0</v>
      </c>
      <c r="L519" t="str">
        <f>_xlfn.TEXTJOIN(", ", FALSE, 'Audit Report'!K519,'Audit Report'!L519,'Audit Report'!M519)</f>
        <v xml:space="preserve">, , </v>
      </c>
      <c r="M519">
        <f>'Audit Report'!O519</f>
        <v>0</v>
      </c>
      <c r="N519" t="str" cm="1">
        <f t="array" ref="N519">IF(M519="","",
_xlfn.TEXTJOIN(", ",TRUE,
    _xlfn.MAP(_xlfn.TEXTSPLIT(M519,","),_xlfn.LAMBDA(_xlpm.x,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9">
        <f>'Audit Report'!F519</f>
        <v>0</v>
      </c>
      <c r="S519">
        <f>'Audit Report'!Q519</f>
        <v>0</v>
      </c>
    </row>
    <row r="520" spans="4:19">
      <c r="D520">
        <f>'Audit Report'!B520</f>
        <v>0</v>
      </c>
      <c r="E520">
        <f>'Audit Report'!C520</f>
        <v>0</v>
      </c>
      <c r="I520">
        <f>'Audit Report'!D520</f>
        <v>0</v>
      </c>
      <c r="J520">
        <f>'Audit Report'!H520</f>
        <v>0</v>
      </c>
      <c r="L520" t="str">
        <f>_xlfn.TEXTJOIN(", ", FALSE, 'Audit Report'!K520,'Audit Report'!L520,'Audit Report'!M520)</f>
        <v xml:space="preserve">, , </v>
      </c>
      <c r="M520">
        <f>'Audit Report'!O520</f>
        <v>0</v>
      </c>
      <c r="N520" t="str" cm="1">
        <f t="array" ref="N520">IF(M520="","",
_xlfn.TEXTJOIN(", ",TRUE,
    _xlfn.MAP(_xlfn.TEXTSPLIT(M520,","),_xlfn.LAMBDA(_xlpm.x,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0">
        <f>'Audit Report'!F520</f>
        <v>0</v>
      </c>
      <c r="S520">
        <f>'Audit Report'!Q520</f>
        <v>0</v>
      </c>
    </row>
    <row r="521" spans="4:19">
      <c r="D521">
        <f>'Audit Report'!B521</f>
        <v>0</v>
      </c>
      <c r="E521">
        <f>'Audit Report'!C521</f>
        <v>0</v>
      </c>
      <c r="I521">
        <f>'Audit Report'!D521</f>
        <v>0</v>
      </c>
      <c r="J521">
        <f>'Audit Report'!H521</f>
        <v>0</v>
      </c>
      <c r="L521" t="str">
        <f>_xlfn.TEXTJOIN(", ", FALSE, 'Audit Report'!K521,'Audit Report'!L521,'Audit Report'!M521)</f>
        <v xml:space="preserve">, , </v>
      </c>
      <c r="M521">
        <f>'Audit Report'!O521</f>
        <v>0</v>
      </c>
      <c r="N521" t="str" cm="1">
        <f t="array" ref="N521">IF(M521="","",
_xlfn.TEXTJOIN(", ",TRUE,
    _xlfn.MAP(_xlfn.TEXTSPLIT(M521,","),_xlfn.LAMBDA(_xlpm.x,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1">
        <f>'Audit Report'!F521</f>
        <v>0</v>
      </c>
      <c r="S521">
        <f>'Audit Report'!Q521</f>
        <v>0</v>
      </c>
    </row>
    <row r="522" spans="4:19">
      <c r="D522">
        <f>'Audit Report'!B522</f>
        <v>0</v>
      </c>
      <c r="E522">
        <f>'Audit Report'!C522</f>
        <v>0</v>
      </c>
      <c r="I522">
        <f>'Audit Report'!D522</f>
        <v>0</v>
      </c>
      <c r="J522">
        <f>'Audit Report'!H522</f>
        <v>0</v>
      </c>
      <c r="L522" t="str">
        <f>_xlfn.TEXTJOIN(", ", FALSE, 'Audit Report'!K522,'Audit Report'!L522,'Audit Report'!M522)</f>
        <v xml:space="preserve">, , </v>
      </c>
      <c r="M522">
        <f>'Audit Report'!O522</f>
        <v>0</v>
      </c>
      <c r="N522" t="str" cm="1">
        <f t="array" ref="N522">IF(M522="","",
_xlfn.TEXTJOIN(", ",TRUE,
    _xlfn.MAP(_xlfn.TEXTSPLIT(M522,","),_xlfn.LAMBDA(_xlpm.x,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2">
        <f>'Audit Report'!F522</f>
        <v>0</v>
      </c>
      <c r="S522">
        <f>'Audit Report'!Q522</f>
        <v>0</v>
      </c>
    </row>
    <row r="523" spans="4:19">
      <c r="D523">
        <f>'Audit Report'!B523</f>
        <v>0</v>
      </c>
      <c r="E523">
        <f>'Audit Report'!C523</f>
        <v>0</v>
      </c>
      <c r="I523">
        <f>'Audit Report'!D523</f>
        <v>0</v>
      </c>
      <c r="J523">
        <f>'Audit Report'!H523</f>
        <v>0</v>
      </c>
      <c r="L523" t="str">
        <f>_xlfn.TEXTJOIN(", ", FALSE, 'Audit Report'!K523,'Audit Report'!L523,'Audit Report'!M523)</f>
        <v xml:space="preserve">, , </v>
      </c>
      <c r="M523">
        <f>'Audit Report'!O523</f>
        <v>0</v>
      </c>
      <c r="N523" t="str" cm="1">
        <f t="array" ref="N523">IF(M523="","",
_xlfn.TEXTJOIN(", ",TRUE,
    _xlfn.MAP(_xlfn.TEXTSPLIT(M523,","),_xlfn.LAMBDA(_xlpm.x,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3">
        <f>'Audit Report'!F523</f>
        <v>0</v>
      </c>
      <c r="S523">
        <f>'Audit Report'!Q523</f>
        <v>0</v>
      </c>
    </row>
    <row r="524" spans="4:19">
      <c r="D524">
        <f>'Audit Report'!B524</f>
        <v>0</v>
      </c>
      <c r="E524">
        <f>'Audit Report'!C524</f>
        <v>0</v>
      </c>
      <c r="I524">
        <f>'Audit Report'!D524</f>
        <v>0</v>
      </c>
      <c r="J524">
        <f>'Audit Report'!H524</f>
        <v>0</v>
      </c>
      <c r="L524" t="str">
        <f>_xlfn.TEXTJOIN(", ", FALSE, 'Audit Report'!K524,'Audit Report'!L524,'Audit Report'!M524)</f>
        <v xml:space="preserve">, , </v>
      </c>
      <c r="M524">
        <f>'Audit Report'!O524</f>
        <v>0</v>
      </c>
      <c r="N524" t="str" cm="1">
        <f t="array" ref="N524">IF(M524="","",
_xlfn.TEXTJOIN(", ",TRUE,
    _xlfn.MAP(_xlfn.TEXTSPLIT(M524,","),_xlfn.LAMBDA(_xlpm.x,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4">
        <f>'Audit Report'!F524</f>
        <v>0</v>
      </c>
      <c r="S524">
        <f>'Audit Report'!Q524</f>
        <v>0</v>
      </c>
    </row>
    <row r="525" spans="4:19">
      <c r="D525">
        <f>'Audit Report'!B525</f>
        <v>0</v>
      </c>
      <c r="E525">
        <f>'Audit Report'!C525</f>
        <v>0</v>
      </c>
      <c r="I525">
        <f>'Audit Report'!D525</f>
        <v>0</v>
      </c>
      <c r="J525">
        <f>'Audit Report'!H525</f>
        <v>0</v>
      </c>
      <c r="L525" t="str">
        <f>_xlfn.TEXTJOIN(", ", FALSE, 'Audit Report'!K525,'Audit Report'!L525,'Audit Report'!M525)</f>
        <v xml:space="preserve">, , </v>
      </c>
      <c r="M525">
        <f>'Audit Report'!O525</f>
        <v>0</v>
      </c>
      <c r="N525" t="str" cm="1">
        <f t="array" ref="N525">IF(M525="","",
_xlfn.TEXTJOIN(", ",TRUE,
    _xlfn.MAP(_xlfn.TEXTSPLIT(M525,","),_xlfn.LAMBDA(_xlpm.x,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5">
        <f>'Audit Report'!F525</f>
        <v>0</v>
      </c>
      <c r="S525">
        <f>'Audit Report'!Q525</f>
        <v>0</v>
      </c>
    </row>
    <row r="526" spans="4:19">
      <c r="D526">
        <f>'Audit Report'!B526</f>
        <v>0</v>
      </c>
      <c r="E526">
        <f>'Audit Report'!C526</f>
        <v>0</v>
      </c>
      <c r="I526">
        <f>'Audit Report'!D526</f>
        <v>0</v>
      </c>
      <c r="J526">
        <f>'Audit Report'!H526</f>
        <v>0</v>
      </c>
      <c r="L526" t="str">
        <f>_xlfn.TEXTJOIN(", ", FALSE, 'Audit Report'!K526,'Audit Report'!L526,'Audit Report'!M526)</f>
        <v xml:space="preserve">, , </v>
      </c>
      <c r="M526">
        <f>'Audit Report'!O526</f>
        <v>0</v>
      </c>
      <c r="N526" t="str" cm="1">
        <f t="array" ref="N526">IF(M526="","",
_xlfn.TEXTJOIN(", ",TRUE,
    _xlfn.MAP(_xlfn.TEXTSPLIT(M526,","),_xlfn.LAMBDA(_xlpm.x,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6">
        <f>'Audit Report'!F526</f>
        <v>0</v>
      </c>
      <c r="S526">
        <f>'Audit Report'!Q526</f>
        <v>0</v>
      </c>
    </row>
    <row r="527" spans="4:19">
      <c r="D527">
        <f>'Audit Report'!B527</f>
        <v>0</v>
      </c>
      <c r="E527">
        <f>'Audit Report'!C527</f>
        <v>0</v>
      </c>
      <c r="I527">
        <f>'Audit Report'!D527</f>
        <v>0</v>
      </c>
      <c r="J527">
        <f>'Audit Report'!H527</f>
        <v>0</v>
      </c>
      <c r="L527" t="str">
        <f>_xlfn.TEXTJOIN(", ", FALSE, 'Audit Report'!K527,'Audit Report'!L527,'Audit Report'!M527)</f>
        <v xml:space="preserve">, , </v>
      </c>
      <c r="M527">
        <f>'Audit Report'!O527</f>
        <v>0</v>
      </c>
      <c r="N527" t="str" cm="1">
        <f t="array" ref="N527">IF(M527="","",
_xlfn.TEXTJOIN(", ",TRUE,
    _xlfn.MAP(_xlfn.TEXTSPLIT(M527,","),_xlfn.LAMBDA(_xlpm.x,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7">
        <f>'Audit Report'!F527</f>
        <v>0</v>
      </c>
      <c r="S527">
        <f>'Audit Report'!Q527</f>
        <v>0</v>
      </c>
    </row>
    <row r="528" spans="4:19">
      <c r="D528">
        <f>'Audit Report'!B528</f>
        <v>0</v>
      </c>
      <c r="E528">
        <f>'Audit Report'!C528</f>
        <v>0</v>
      </c>
      <c r="I528">
        <f>'Audit Report'!D528</f>
        <v>0</v>
      </c>
      <c r="J528">
        <f>'Audit Report'!H528</f>
        <v>0</v>
      </c>
      <c r="L528" t="str">
        <f>_xlfn.TEXTJOIN(", ", FALSE, 'Audit Report'!K528,'Audit Report'!L528,'Audit Report'!M528)</f>
        <v xml:space="preserve">, , </v>
      </c>
      <c r="M528">
        <f>'Audit Report'!O528</f>
        <v>0</v>
      </c>
      <c r="N528" t="str" cm="1">
        <f t="array" ref="N528">IF(M528="","",
_xlfn.TEXTJOIN(", ",TRUE,
    _xlfn.MAP(_xlfn.TEXTSPLIT(M528,","),_xlfn.LAMBDA(_xlpm.x,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8">
        <f>'Audit Report'!F528</f>
        <v>0</v>
      </c>
      <c r="S528">
        <f>'Audit Report'!Q528</f>
        <v>0</v>
      </c>
    </row>
    <row r="529" spans="4:19">
      <c r="D529">
        <f>'Audit Report'!B529</f>
        <v>0</v>
      </c>
      <c r="E529">
        <f>'Audit Report'!C529</f>
        <v>0</v>
      </c>
      <c r="I529">
        <f>'Audit Report'!D529</f>
        <v>0</v>
      </c>
      <c r="J529">
        <f>'Audit Report'!H529</f>
        <v>0</v>
      </c>
      <c r="L529" t="str">
        <f>_xlfn.TEXTJOIN(", ", FALSE, 'Audit Report'!K529,'Audit Report'!L529,'Audit Report'!M529)</f>
        <v xml:space="preserve">, , </v>
      </c>
      <c r="M529">
        <f>'Audit Report'!O529</f>
        <v>0</v>
      </c>
      <c r="N529" t="str" cm="1">
        <f t="array" ref="N529">IF(M529="","",
_xlfn.TEXTJOIN(", ",TRUE,
    _xlfn.MAP(_xlfn.TEXTSPLIT(M529,","),_xlfn.LAMBDA(_xlpm.x,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9">
        <f>'Audit Report'!F529</f>
        <v>0</v>
      </c>
      <c r="S529">
        <f>'Audit Report'!Q529</f>
        <v>0</v>
      </c>
    </row>
    <row r="530" spans="4:19">
      <c r="D530">
        <f>'Audit Report'!B530</f>
        <v>0</v>
      </c>
      <c r="E530">
        <f>'Audit Report'!C530</f>
        <v>0</v>
      </c>
      <c r="I530">
        <f>'Audit Report'!D530</f>
        <v>0</v>
      </c>
      <c r="J530">
        <f>'Audit Report'!H530</f>
        <v>0</v>
      </c>
      <c r="L530" t="str">
        <f>_xlfn.TEXTJOIN(", ", FALSE, 'Audit Report'!K530,'Audit Report'!L530,'Audit Report'!M530)</f>
        <v xml:space="preserve">, , </v>
      </c>
      <c r="M530">
        <f>'Audit Report'!O530</f>
        <v>0</v>
      </c>
      <c r="N530" t="str" cm="1">
        <f t="array" ref="N530">IF(M530="","",
_xlfn.TEXTJOIN(", ",TRUE,
    _xlfn.MAP(_xlfn.TEXTSPLIT(M530,","),_xlfn.LAMBDA(_xlpm.x,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0">
        <f>'Audit Report'!F530</f>
        <v>0</v>
      </c>
      <c r="S530">
        <f>'Audit Report'!Q530</f>
        <v>0</v>
      </c>
    </row>
    <row r="531" spans="4:19">
      <c r="D531">
        <f>'Audit Report'!B531</f>
        <v>0</v>
      </c>
      <c r="E531">
        <f>'Audit Report'!C531</f>
        <v>0</v>
      </c>
      <c r="I531">
        <f>'Audit Report'!D531</f>
        <v>0</v>
      </c>
      <c r="J531">
        <f>'Audit Report'!H531</f>
        <v>0</v>
      </c>
      <c r="L531" t="str">
        <f>_xlfn.TEXTJOIN(", ", FALSE, 'Audit Report'!K531,'Audit Report'!L531,'Audit Report'!M531)</f>
        <v xml:space="preserve">, , </v>
      </c>
      <c r="M531">
        <f>'Audit Report'!O531</f>
        <v>0</v>
      </c>
      <c r="N531" t="str" cm="1">
        <f t="array" ref="N531">IF(M531="","",
_xlfn.TEXTJOIN(", ",TRUE,
    _xlfn.MAP(_xlfn.TEXTSPLIT(M531,","),_xlfn.LAMBDA(_xlpm.x,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1">
        <f>'Audit Report'!F531</f>
        <v>0</v>
      </c>
      <c r="S531">
        <f>'Audit Report'!Q531</f>
        <v>0</v>
      </c>
    </row>
    <row r="532" spans="4:19">
      <c r="D532">
        <f>'Audit Report'!B532</f>
        <v>0</v>
      </c>
      <c r="E532">
        <f>'Audit Report'!C532</f>
        <v>0</v>
      </c>
      <c r="I532">
        <f>'Audit Report'!D532</f>
        <v>0</v>
      </c>
      <c r="J532">
        <f>'Audit Report'!H532</f>
        <v>0</v>
      </c>
      <c r="L532" t="str">
        <f>_xlfn.TEXTJOIN(", ", FALSE, 'Audit Report'!K532,'Audit Report'!L532,'Audit Report'!M532)</f>
        <v xml:space="preserve">, , </v>
      </c>
      <c r="M532">
        <f>'Audit Report'!O532</f>
        <v>0</v>
      </c>
      <c r="N532" t="str" cm="1">
        <f t="array" ref="N532">IF(M532="","",
_xlfn.TEXTJOIN(", ",TRUE,
    _xlfn.MAP(_xlfn.TEXTSPLIT(M532,","),_xlfn.LAMBDA(_xlpm.x,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2">
        <f>'Audit Report'!F532</f>
        <v>0</v>
      </c>
      <c r="S532">
        <f>'Audit Report'!Q532</f>
        <v>0</v>
      </c>
    </row>
    <row r="533" spans="4:19">
      <c r="D533">
        <f>'Audit Report'!B533</f>
        <v>0</v>
      </c>
      <c r="E533">
        <f>'Audit Report'!C533</f>
        <v>0</v>
      </c>
      <c r="I533">
        <f>'Audit Report'!D533</f>
        <v>0</v>
      </c>
      <c r="J533">
        <f>'Audit Report'!H533</f>
        <v>0</v>
      </c>
      <c r="L533" t="str">
        <f>_xlfn.TEXTJOIN(", ", FALSE, 'Audit Report'!K533,'Audit Report'!L533,'Audit Report'!M533)</f>
        <v xml:space="preserve">, , </v>
      </c>
      <c r="M533">
        <f>'Audit Report'!O533</f>
        <v>0</v>
      </c>
      <c r="N533" t="str" cm="1">
        <f t="array" ref="N533">IF(M533="","",
_xlfn.TEXTJOIN(", ",TRUE,
    _xlfn.MAP(_xlfn.TEXTSPLIT(M533,","),_xlfn.LAMBDA(_xlpm.x,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3">
        <f>'Audit Report'!F533</f>
        <v>0</v>
      </c>
      <c r="S533">
        <f>'Audit Report'!Q533</f>
        <v>0</v>
      </c>
    </row>
    <row r="534" spans="4:19">
      <c r="D534">
        <f>'Audit Report'!B534</f>
        <v>0</v>
      </c>
      <c r="E534">
        <f>'Audit Report'!C534</f>
        <v>0</v>
      </c>
      <c r="I534">
        <f>'Audit Report'!D534</f>
        <v>0</v>
      </c>
      <c r="J534">
        <f>'Audit Report'!H534</f>
        <v>0</v>
      </c>
      <c r="L534" t="str">
        <f>_xlfn.TEXTJOIN(", ", FALSE, 'Audit Report'!K534,'Audit Report'!L534,'Audit Report'!M534)</f>
        <v xml:space="preserve">, , </v>
      </c>
      <c r="M534">
        <f>'Audit Report'!O534</f>
        <v>0</v>
      </c>
      <c r="N534" t="str" cm="1">
        <f t="array" ref="N534">IF(M534="","",
_xlfn.TEXTJOIN(", ",TRUE,
    _xlfn.MAP(_xlfn.TEXTSPLIT(M534,","),_xlfn.LAMBDA(_xlpm.x,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4">
        <f>'Audit Report'!F534</f>
        <v>0</v>
      </c>
      <c r="S534">
        <f>'Audit Report'!Q534</f>
        <v>0</v>
      </c>
    </row>
    <row r="535" spans="4:19">
      <c r="D535">
        <f>'Audit Report'!B535</f>
        <v>0</v>
      </c>
      <c r="E535">
        <f>'Audit Report'!C535</f>
        <v>0</v>
      </c>
      <c r="I535">
        <f>'Audit Report'!D535</f>
        <v>0</v>
      </c>
      <c r="J535">
        <f>'Audit Report'!H535</f>
        <v>0</v>
      </c>
      <c r="L535" t="str">
        <f>_xlfn.TEXTJOIN(", ", FALSE, 'Audit Report'!K535,'Audit Report'!L535,'Audit Report'!M535)</f>
        <v xml:space="preserve">, , </v>
      </c>
      <c r="M535">
        <f>'Audit Report'!O535</f>
        <v>0</v>
      </c>
      <c r="N535" t="str" cm="1">
        <f t="array" ref="N535">IF(M535="","",
_xlfn.TEXTJOIN(", ",TRUE,
    _xlfn.MAP(_xlfn.TEXTSPLIT(M535,","),_xlfn.LAMBDA(_xlpm.x,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5">
        <f>'Audit Report'!F535</f>
        <v>0</v>
      </c>
      <c r="S535">
        <f>'Audit Report'!Q535</f>
        <v>0</v>
      </c>
    </row>
    <row r="536" spans="4:19">
      <c r="D536">
        <f>'Audit Report'!B536</f>
        <v>0</v>
      </c>
      <c r="E536">
        <f>'Audit Report'!C536</f>
        <v>0</v>
      </c>
      <c r="I536">
        <f>'Audit Report'!D536</f>
        <v>0</v>
      </c>
      <c r="J536">
        <f>'Audit Report'!H536</f>
        <v>0</v>
      </c>
      <c r="L536" t="str">
        <f>_xlfn.TEXTJOIN(", ", FALSE, 'Audit Report'!K536,'Audit Report'!L536,'Audit Report'!M536)</f>
        <v xml:space="preserve">, , </v>
      </c>
      <c r="M536">
        <f>'Audit Report'!O536</f>
        <v>0</v>
      </c>
      <c r="N536" t="str" cm="1">
        <f t="array" ref="N536">IF(M536="","",
_xlfn.TEXTJOIN(", ",TRUE,
    _xlfn.MAP(_xlfn.TEXTSPLIT(M536,","),_xlfn.LAMBDA(_xlpm.x,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6">
        <f>'Audit Report'!F536</f>
        <v>0</v>
      </c>
      <c r="S536">
        <f>'Audit Report'!Q536</f>
        <v>0</v>
      </c>
    </row>
    <row r="537" spans="4:19">
      <c r="D537">
        <f>'Audit Report'!B537</f>
        <v>0</v>
      </c>
      <c r="E537">
        <f>'Audit Report'!C537</f>
        <v>0</v>
      </c>
      <c r="I537">
        <f>'Audit Report'!D537</f>
        <v>0</v>
      </c>
      <c r="J537">
        <f>'Audit Report'!H537</f>
        <v>0</v>
      </c>
      <c r="L537" t="str">
        <f>_xlfn.TEXTJOIN(", ", FALSE, 'Audit Report'!K537,'Audit Report'!L537,'Audit Report'!M537)</f>
        <v xml:space="preserve">, , </v>
      </c>
      <c r="M537">
        <f>'Audit Report'!O537</f>
        <v>0</v>
      </c>
      <c r="N537" t="str" cm="1">
        <f t="array" ref="N537">IF(M537="","",
_xlfn.TEXTJOIN(", ",TRUE,
    _xlfn.MAP(_xlfn.TEXTSPLIT(M537,","),_xlfn.LAMBDA(_xlpm.x,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7">
        <f>'Audit Report'!F537</f>
        <v>0</v>
      </c>
      <c r="S537">
        <f>'Audit Report'!Q537</f>
        <v>0</v>
      </c>
    </row>
    <row r="538" spans="4:19">
      <c r="D538">
        <f>'Audit Report'!B538</f>
        <v>0</v>
      </c>
      <c r="E538">
        <f>'Audit Report'!C538</f>
        <v>0</v>
      </c>
      <c r="I538">
        <f>'Audit Report'!D538</f>
        <v>0</v>
      </c>
      <c r="J538">
        <f>'Audit Report'!H538</f>
        <v>0</v>
      </c>
      <c r="L538" t="str">
        <f>_xlfn.TEXTJOIN(", ", FALSE, 'Audit Report'!K538,'Audit Report'!L538,'Audit Report'!M538)</f>
        <v xml:space="preserve">, , </v>
      </c>
      <c r="M538">
        <f>'Audit Report'!O538</f>
        <v>0</v>
      </c>
      <c r="N538" t="str" cm="1">
        <f t="array" ref="N538">IF(M538="","",
_xlfn.TEXTJOIN(", ",TRUE,
    _xlfn.MAP(_xlfn.TEXTSPLIT(M538,","),_xlfn.LAMBDA(_xlpm.x,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8">
        <f>'Audit Report'!F538</f>
        <v>0</v>
      </c>
      <c r="S538">
        <f>'Audit Report'!Q538</f>
        <v>0</v>
      </c>
    </row>
    <row r="539" spans="4:19">
      <c r="D539">
        <f>'Audit Report'!B539</f>
        <v>0</v>
      </c>
      <c r="E539">
        <f>'Audit Report'!C539</f>
        <v>0</v>
      </c>
      <c r="I539">
        <f>'Audit Report'!D539</f>
        <v>0</v>
      </c>
      <c r="J539">
        <f>'Audit Report'!H539</f>
        <v>0</v>
      </c>
      <c r="L539" t="str">
        <f>_xlfn.TEXTJOIN(", ", FALSE, 'Audit Report'!K539,'Audit Report'!L539,'Audit Report'!M539)</f>
        <v xml:space="preserve">, , </v>
      </c>
      <c r="M539">
        <f>'Audit Report'!O539</f>
        <v>0</v>
      </c>
      <c r="N539" t="str" cm="1">
        <f t="array" ref="N539">IF(M539="","",
_xlfn.TEXTJOIN(", ",TRUE,
    _xlfn.MAP(_xlfn.TEXTSPLIT(M539,","),_xlfn.LAMBDA(_xlpm.x,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9">
        <f>'Audit Report'!F539</f>
        <v>0</v>
      </c>
      <c r="S539">
        <f>'Audit Report'!Q539</f>
        <v>0</v>
      </c>
    </row>
    <row r="540" spans="4:19">
      <c r="D540">
        <f>'Audit Report'!B540</f>
        <v>0</v>
      </c>
      <c r="E540">
        <f>'Audit Report'!C540</f>
        <v>0</v>
      </c>
      <c r="I540">
        <f>'Audit Report'!D540</f>
        <v>0</v>
      </c>
      <c r="J540">
        <f>'Audit Report'!H540</f>
        <v>0</v>
      </c>
      <c r="L540" t="str">
        <f>_xlfn.TEXTJOIN(", ", FALSE, 'Audit Report'!K540,'Audit Report'!L540,'Audit Report'!M540)</f>
        <v xml:space="preserve">, , </v>
      </c>
      <c r="M540">
        <f>'Audit Report'!O540</f>
        <v>0</v>
      </c>
      <c r="N540" t="str" cm="1">
        <f t="array" ref="N540">IF(M540="","",
_xlfn.TEXTJOIN(", ",TRUE,
    _xlfn.MAP(_xlfn.TEXTSPLIT(M540,","),_xlfn.LAMBDA(_xlpm.x,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0">
        <f>'Audit Report'!F540</f>
        <v>0</v>
      </c>
      <c r="S540">
        <f>'Audit Report'!Q540</f>
        <v>0</v>
      </c>
    </row>
    <row r="541" spans="4:19">
      <c r="D541">
        <f>'Audit Report'!B541</f>
        <v>0</v>
      </c>
      <c r="E541">
        <f>'Audit Report'!C541</f>
        <v>0</v>
      </c>
      <c r="I541">
        <f>'Audit Report'!D541</f>
        <v>0</v>
      </c>
      <c r="J541">
        <f>'Audit Report'!H541</f>
        <v>0</v>
      </c>
      <c r="L541" t="str">
        <f>_xlfn.TEXTJOIN(", ", FALSE, 'Audit Report'!K541,'Audit Report'!L541,'Audit Report'!M541)</f>
        <v xml:space="preserve">, , </v>
      </c>
      <c r="M541">
        <f>'Audit Report'!O541</f>
        <v>0</v>
      </c>
      <c r="N541" t="str" cm="1">
        <f t="array" ref="N541">IF(M541="","",
_xlfn.TEXTJOIN(", ",TRUE,
    _xlfn.MAP(_xlfn.TEXTSPLIT(M541,","),_xlfn.LAMBDA(_xlpm.x,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1">
        <f>'Audit Report'!F541</f>
        <v>0</v>
      </c>
      <c r="S541">
        <f>'Audit Report'!Q541</f>
        <v>0</v>
      </c>
    </row>
    <row r="542" spans="4:19">
      <c r="D542">
        <f>'Audit Report'!B542</f>
        <v>0</v>
      </c>
      <c r="E542">
        <f>'Audit Report'!C542</f>
        <v>0</v>
      </c>
      <c r="I542">
        <f>'Audit Report'!D542</f>
        <v>0</v>
      </c>
      <c r="J542">
        <f>'Audit Report'!H542</f>
        <v>0</v>
      </c>
      <c r="L542" t="str">
        <f>_xlfn.TEXTJOIN(", ", FALSE, 'Audit Report'!K542,'Audit Report'!L542,'Audit Report'!M542)</f>
        <v xml:space="preserve">, , </v>
      </c>
      <c r="M542">
        <f>'Audit Report'!O542</f>
        <v>0</v>
      </c>
      <c r="N542" t="str" cm="1">
        <f t="array" ref="N542">IF(M542="","",
_xlfn.TEXTJOIN(", ",TRUE,
    _xlfn.MAP(_xlfn.TEXTSPLIT(M542,","),_xlfn.LAMBDA(_xlpm.x,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2">
        <f>'Audit Report'!F542</f>
        <v>0</v>
      </c>
      <c r="S542">
        <f>'Audit Report'!Q542</f>
        <v>0</v>
      </c>
    </row>
    <row r="543" spans="4:19">
      <c r="D543">
        <f>'Audit Report'!B543</f>
        <v>0</v>
      </c>
      <c r="E543">
        <f>'Audit Report'!C543</f>
        <v>0</v>
      </c>
      <c r="I543">
        <f>'Audit Report'!D543</f>
        <v>0</v>
      </c>
      <c r="J543">
        <f>'Audit Report'!H543</f>
        <v>0</v>
      </c>
      <c r="L543" t="str">
        <f>_xlfn.TEXTJOIN(", ", FALSE, 'Audit Report'!K543,'Audit Report'!L543,'Audit Report'!M543)</f>
        <v xml:space="preserve">, , </v>
      </c>
      <c r="M543">
        <f>'Audit Report'!O543</f>
        <v>0</v>
      </c>
      <c r="N543" t="str" cm="1">
        <f t="array" ref="N543">IF(M543="","",
_xlfn.TEXTJOIN(", ",TRUE,
    _xlfn.MAP(_xlfn.TEXTSPLIT(M543,","),_xlfn.LAMBDA(_xlpm.x,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3">
        <f>'Audit Report'!F543</f>
        <v>0</v>
      </c>
      <c r="S543">
        <f>'Audit Report'!Q543</f>
        <v>0</v>
      </c>
    </row>
    <row r="544" spans="4:19">
      <c r="D544">
        <f>'Audit Report'!B544</f>
        <v>0</v>
      </c>
      <c r="E544">
        <f>'Audit Report'!C544</f>
        <v>0</v>
      </c>
      <c r="I544">
        <f>'Audit Report'!D544</f>
        <v>0</v>
      </c>
      <c r="J544">
        <f>'Audit Report'!H544</f>
        <v>0</v>
      </c>
      <c r="L544" t="str">
        <f>_xlfn.TEXTJOIN(", ", FALSE, 'Audit Report'!K544,'Audit Report'!L544,'Audit Report'!M544)</f>
        <v xml:space="preserve">, , </v>
      </c>
      <c r="M544">
        <f>'Audit Report'!O544</f>
        <v>0</v>
      </c>
      <c r="N544" t="str" cm="1">
        <f t="array" ref="N544">IF(M544="","",
_xlfn.TEXTJOIN(", ",TRUE,
    _xlfn.MAP(_xlfn.TEXTSPLIT(M544,","),_xlfn.LAMBDA(_xlpm.x,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4">
        <f>'Audit Report'!F544</f>
        <v>0</v>
      </c>
      <c r="S544">
        <f>'Audit Report'!Q544</f>
        <v>0</v>
      </c>
    </row>
    <row r="545" spans="4:19">
      <c r="D545">
        <f>'Audit Report'!B545</f>
        <v>0</v>
      </c>
      <c r="E545">
        <f>'Audit Report'!C545</f>
        <v>0</v>
      </c>
      <c r="I545">
        <f>'Audit Report'!D545</f>
        <v>0</v>
      </c>
      <c r="J545">
        <f>'Audit Report'!H545</f>
        <v>0</v>
      </c>
      <c r="L545" t="str">
        <f>_xlfn.TEXTJOIN(", ", FALSE, 'Audit Report'!K545,'Audit Report'!L545,'Audit Report'!M545)</f>
        <v xml:space="preserve">, , </v>
      </c>
      <c r="M545">
        <f>'Audit Report'!O545</f>
        <v>0</v>
      </c>
      <c r="N545" t="str" cm="1">
        <f t="array" ref="N545">IF(M545="","",
_xlfn.TEXTJOIN(", ",TRUE,
    _xlfn.MAP(_xlfn.TEXTSPLIT(M545,","),_xlfn.LAMBDA(_xlpm.x,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5">
        <f>'Audit Report'!F545</f>
        <v>0</v>
      </c>
      <c r="S545">
        <f>'Audit Report'!Q545</f>
        <v>0</v>
      </c>
    </row>
    <row r="546" spans="4:19">
      <c r="D546">
        <f>'Audit Report'!B546</f>
        <v>0</v>
      </c>
      <c r="E546">
        <f>'Audit Report'!C546</f>
        <v>0</v>
      </c>
      <c r="I546">
        <f>'Audit Report'!D546</f>
        <v>0</v>
      </c>
      <c r="J546">
        <f>'Audit Report'!H546</f>
        <v>0</v>
      </c>
      <c r="L546" t="str">
        <f>_xlfn.TEXTJOIN(", ", FALSE, 'Audit Report'!K546,'Audit Report'!L546,'Audit Report'!M546)</f>
        <v xml:space="preserve">, , </v>
      </c>
      <c r="M546">
        <f>'Audit Report'!O546</f>
        <v>0</v>
      </c>
      <c r="N546" t="str" cm="1">
        <f t="array" ref="N546">IF(M546="","",
_xlfn.TEXTJOIN(", ",TRUE,
    _xlfn.MAP(_xlfn.TEXTSPLIT(M546,","),_xlfn.LAMBDA(_xlpm.x,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6">
        <f>'Audit Report'!F546</f>
        <v>0</v>
      </c>
      <c r="S546">
        <f>'Audit Report'!Q546</f>
        <v>0</v>
      </c>
    </row>
    <row r="547" spans="4:19">
      <c r="D547">
        <f>'Audit Report'!B547</f>
        <v>0</v>
      </c>
      <c r="E547">
        <f>'Audit Report'!C547</f>
        <v>0</v>
      </c>
      <c r="I547">
        <f>'Audit Report'!D547</f>
        <v>0</v>
      </c>
      <c r="J547">
        <f>'Audit Report'!H547</f>
        <v>0</v>
      </c>
      <c r="L547" t="str">
        <f>_xlfn.TEXTJOIN(", ", FALSE, 'Audit Report'!K547,'Audit Report'!L547,'Audit Report'!M547)</f>
        <v xml:space="preserve">, , </v>
      </c>
      <c r="M547">
        <f>'Audit Report'!O547</f>
        <v>0</v>
      </c>
      <c r="N547" t="str" cm="1">
        <f t="array" ref="N547">IF(M547="","",
_xlfn.TEXTJOIN(", ",TRUE,
    _xlfn.MAP(_xlfn.TEXTSPLIT(M547,","),_xlfn.LAMBDA(_xlpm.x,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7">
        <f>'Audit Report'!F547</f>
        <v>0</v>
      </c>
      <c r="S547">
        <f>'Audit Report'!Q547</f>
        <v>0</v>
      </c>
    </row>
    <row r="548" spans="4:19">
      <c r="D548">
        <f>'Audit Report'!B548</f>
        <v>0</v>
      </c>
      <c r="E548">
        <f>'Audit Report'!C548</f>
        <v>0</v>
      </c>
      <c r="I548">
        <f>'Audit Report'!D548</f>
        <v>0</v>
      </c>
      <c r="J548">
        <f>'Audit Report'!H548</f>
        <v>0</v>
      </c>
      <c r="L548" t="str">
        <f>_xlfn.TEXTJOIN(", ", FALSE, 'Audit Report'!K548,'Audit Report'!L548,'Audit Report'!M548)</f>
        <v xml:space="preserve">, , </v>
      </c>
      <c r="M548">
        <f>'Audit Report'!O548</f>
        <v>0</v>
      </c>
      <c r="N548" t="str" cm="1">
        <f t="array" ref="N548">IF(M548="","",
_xlfn.TEXTJOIN(", ",TRUE,
    _xlfn.MAP(_xlfn.TEXTSPLIT(M548,","),_xlfn.LAMBDA(_xlpm.x,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8">
        <f>'Audit Report'!F548</f>
        <v>0</v>
      </c>
      <c r="S548">
        <f>'Audit Report'!Q548</f>
        <v>0</v>
      </c>
    </row>
    <row r="549" spans="4:19">
      <c r="D549">
        <f>'Audit Report'!B549</f>
        <v>0</v>
      </c>
      <c r="E549">
        <f>'Audit Report'!C549</f>
        <v>0</v>
      </c>
      <c r="I549">
        <f>'Audit Report'!D549</f>
        <v>0</v>
      </c>
      <c r="J549">
        <f>'Audit Report'!H549</f>
        <v>0</v>
      </c>
      <c r="L549" t="str">
        <f>_xlfn.TEXTJOIN(", ", FALSE, 'Audit Report'!K549,'Audit Report'!L549,'Audit Report'!M549)</f>
        <v xml:space="preserve">, , </v>
      </c>
      <c r="M549">
        <f>'Audit Report'!O549</f>
        <v>0</v>
      </c>
      <c r="N549" t="str" cm="1">
        <f t="array" ref="N549">IF(M549="","",
_xlfn.TEXTJOIN(", ",TRUE,
    _xlfn.MAP(_xlfn.TEXTSPLIT(M549,","),_xlfn.LAMBDA(_xlpm.x,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9">
        <f>'Audit Report'!F549</f>
        <v>0</v>
      </c>
      <c r="S549">
        <f>'Audit Report'!Q549</f>
        <v>0</v>
      </c>
    </row>
    <row r="550" spans="4:19">
      <c r="D550">
        <f>'Audit Report'!B550</f>
        <v>0</v>
      </c>
      <c r="E550">
        <f>'Audit Report'!C550</f>
        <v>0</v>
      </c>
      <c r="I550">
        <f>'Audit Report'!D550</f>
        <v>0</v>
      </c>
      <c r="J550">
        <f>'Audit Report'!H550</f>
        <v>0</v>
      </c>
      <c r="L550" t="str">
        <f>_xlfn.TEXTJOIN(", ", FALSE, 'Audit Report'!K550,'Audit Report'!L550,'Audit Report'!M550)</f>
        <v xml:space="preserve">, , </v>
      </c>
      <c r="M550">
        <f>'Audit Report'!O550</f>
        <v>0</v>
      </c>
      <c r="N550" t="str" cm="1">
        <f t="array" ref="N550">IF(M550="","",
_xlfn.TEXTJOIN(", ",TRUE,
    _xlfn.MAP(_xlfn.TEXTSPLIT(M550,","),_xlfn.LAMBDA(_xlpm.x,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0">
        <f>'Audit Report'!F550</f>
        <v>0</v>
      </c>
      <c r="S550">
        <f>'Audit Report'!Q550</f>
        <v>0</v>
      </c>
    </row>
    <row r="551" spans="4:19">
      <c r="D551">
        <f>'Audit Report'!B551</f>
        <v>0</v>
      </c>
      <c r="E551">
        <f>'Audit Report'!C551</f>
        <v>0</v>
      </c>
      <c r="I551">
        <f>'Audit Report'!D551</f>
        <v>0</v>
      </c>
      <c r="J551">
        <f>'Audit Report'!H551</f>
        <v>0</v>
      </c>
      <c r="L551" t="str">
        <f>_xlfn.TEXTJOIN(", ", FALSE, 'Audit Report'!K551,'Audit Report'!L551,'Audit Report'!M551)</f>
        <v xml:space="preserve">, , </v>
      </c>
      <c r="M551">
        <f>'Audit Report'!O551</f>
        <v>0</v>
      </c>
      <c r="N551" t="str" cm="1">
        <f t="array" ref="N551">IF(M551="","",
_xlfn.TEXTJOIN(", ",TRUE,
    _xlfn.MAP(_xlfn.TEXTSPLIT(M551,","),_xlfn.LAMBDA(_xlpm.x,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1">
        <f>'Audit Report'!F551</f>
        <v>0</v>
      </c>
      <c r="S551">
        <f>'Audit Report'!Q551</f>
        <v>0</v>
      </c>
    </row>
    <row r="552" spans="4:19">
      <c r="D552">
        <f>'Audit Report'!B552</f>
        <v>0</v>
      </c>
      <c r="E552">
        <f>'Audit Report'!C552</f>
        <v>0</v>
      </c>
      <c r="I552">
        <f>'Audit Report'!D552</f>
        <v>0</v>
      </c>
      <c r="J552">
        <f>'Audit Report'!H552</f>
        <v>0</v>
      </c>
      <c r="L552" t="str">
        <f>_xlfn.TEXTJOIN(", ", FALSE, 'Audit Report'!K552,'Audit Report'!L552,'Audit Report'!M552)</f>
        <v xml:space="preserve">, , </v>
      </c>
      <c r="M552">
        <f>'Audit Report'!O552</f>
        <v>0</v>
      </c>
      <c r="N552" t="str" cm="1">
        <f t="array" ref="N552">IF(M552="","",
_xlfn.TEXTJOIN(", ",TRUE,
    _xlfn.MAP(_xlfn.TEXTSPLIT(M552,","),_xlfn.LAMBDA(_xlpm.x,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2">
        <f>'Audit Report'!F552</f>
        <v>0</v>
      </c>
      <c r="S552">
        <f>'Audit Report'!Q552</f>
        <v>0</v>
      </c>
    </row>
    <row r="553" spans="4:19">
      <c r="D553">
        <f>'Audit Report'!B553</f>
        <v>0</v>
      </c>
      <c r="E553">
        <f>'Audit Report'!C553</f>
        <v>0</v>
      </c>
      <c r="I553">
        <f>'Audit Report'!D553</f>
        <v>0</v>
      </c>
      <c r="J553">
        <f>'Audit Report'!H553</f>
        <v>0</v>
      </c>
      <c r="L553" t="str">
        <f>_xlfn.TEXTJOIN(", ", FALSE, 'Audit Report'!K553,'Audit Report'!L553,'Audit Report'!M553)</f>
        <v xml:space="preserve">, , </v>
      </c>
      <c r="M553">
        <f>'Audit Report'!O553</f>
        <v>0</v>
      </c>
      <c r="N553" t="str" cm="1">
        <f t="array" ref="N553">IF(M553="","",
_xlfn.TEXTJOIN(", ",TRUE,
    _xlfn.MAP(_xlfn.TEXTSPLIT(M553,","),_xlfn.LAMBDA(_xlpm.x,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3">
        <f>'Audit Report'!F553</f>
        <v>0</v>
      </c>
      <c r="S553">
        <f>'Audit Report'!Q553</f>
        <v>0</v>
      </c>
    </row>
    <row r="554" spans="4:19">
      <c r="D554">
        <f>'Audit Report'!B554</f>
        <v>0</v>
      </c>
      <c r="E554">
        <f>'Audit Report'!C554</f>
        <v>0</v>
      </c>
      <c r="I554">
        <f>'Audit Report'!D554</f>
        <v>0</v>
      </c>
      <c r="J554">
        <f>'Audit Report'!H554</f>
        <v>0</v>
      </c>
      <c r="L554" t="str">
        <f>_xlfn.TEXTJOIN(", ", FALSE, 'Audit Report'!K554,'Audit Report'!L554,'Audit Report'!M554)</f>
        <v xml:space="preserve">, , </v>
      </c>
      <c r="M554">
        <f>'Audit Report'!O554</f>
        <v>0</v>
      </c>
      <c r="N554" t="str" cm="1">
        <f t="array" ref="N554">IF(M554="","",
_xlfn.TEXTJOIN(", ",TRUE,
    _xlfn.MAP(_xlfn.TEXTSPLIT(M554,","),_xlfn.LAMBDA(_xlpm.x,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4">
        <f>'Audit Report'!F554</f>
        <v>0</v>
      </c>
      <c r="S554">
        <f>'Audit Report'!Q554</f>
        <v>0</v>
      </c>
    </row>
    <row r="555" spans="4:19">
      <c r="D555">
        <f>'Audit Report'!B555</f>
        <v>0</v>
      </c>
      <c r="E555">
        <f>'Audit Report'!C555</f>
        <v>0</v>
      </c>
      <c r="I555">
        <f>'Audit Report'!D555</f>
        <v>0</v>
      </c>
      <c r="J555">
        <f>'Audit Report'!H555</f>
        <v>0</v>
      </c>
      <c r="L555" t="str">
        <f>_xlfn.TEXTJOIN(", ", FALSE, 'Audit Report'!K555,'Audit Report'!L555,'Audit Report'!M555)</f>
        <v xml:space="preserve">, , </v>
      </c>
      <c r="M555">
        <f>'Audit Report'!O555</f>
        <v>0</v>
      </c>
      <c r="N555" t="str" cm="1">
        <f t="array" ref="N555">IF(M555="","",
_xlfn.TEXTJOIN(", ",TRUE,
    _xlfn.MAP(_xlfn.TEXTSPLIT(M555,","),_xlfn.LAMBDA(_xlpm.x,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5">
        <f>'Audit Report'!F555</f>
        <v>0</v>
      </c>
      <c r="S555">
        <f>'Audit Report'!Q555</f>
        <v>0</v>
      </c>
    </row>
    <row r="556" spans="4:19">
      <c r="D556">
        <f>'Audit Report'!B556</f>
        <v>0</v>
      </c>
      <c r="E556">
        <f>'Audit Report'!C556</f>
        <v>0</v>
      </c>
      <c r="I556">
        <f>'Audit Report'!D556</f>
        <v>0</v>
      </c>
      <c r="J556">
        <f>'Audit Report'!H556</f>
        <v>0</v>
      </c>
      <c r="L556" t="str">
        <f>_xlfn.TEXTJOIN(", ", FALSE, 'Audit Report'!K556,'Audit Report'!L556,'Audit Report'!M556)</f>
        <v xml:space="preserve">, , </v>
      </c>
      <c r="M556">
        <f>'Audit Report'!O556</f>
        <v>0</v>
      </c>
      <c r="N556" t="str" cm="1">
        <f t="array" ref="N556">IF(M556="","",
_xlfn.TEXTJOIN(", ",TRUE,
    _xlfn.MAP(_xlfn.TEXTSPLIT(M556,","),_xlfn.LAMBDA(_xlpm.x,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6">
        <f>'Audit Report'!F556</f>
        <v>0</v>
      </c>
      <c r="S556">
        <f>'Audit Report'!Q556</f>
        <v>0</v>
      </c>
    </row>
    <row r="557" spans="4:19">
      <c r="D557">
        <f>'Audit Report'!B557</f>
        <v>0</v>
      </c>
      <c r="E557">
        <f>'Audit Report'!C557</f>
        <v>0</v>
      </c>
      <c r="I557">
        <f>'Audit Report'!D557</f>
        <v>0</v>
      </c>
      <c r="J557">
        <f>'Audit Report'!H557</f>
        <v>0</v>
      </c>
      <c r="L557" t="str">
        <f>_xlfn.TEXTJOIN(", ", FALSE, 'Audit Report'!K557,'Audit Report'!L557,'Audit Report'!M557)</f>
        <v xml:space="preserve">, , </v>
      </c>
      <c r="M557">
        <f>'Audit Report'!O557</f>
        <v>0</v>
      </c>
      <c r="N557" t="str" cm="1">
        <f t="array" ref="N557">IF(M557="","",
_xlfn.TEXTJOIN(", ",TRUE,
    _xlfn.MAP(_xlfn.TEXTSPLIT(M557,","),_xlfn.LAMBDA(_xlpm.x,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7">
        <f>'Audit Report'!F557</f>
        <v>0</v>
      </c>
      <c r="S557">
        <f>'Audit Report'!Q557</f>
        <v>0</v>
      </c>
    </row>
    <row r="558" spans="4:19">
      <c r="D558">
        <f>'Audit Report'!B558</f>
        <v>0</v>
      </c>
      <c r="E558">
        <f>'Audit Report'!C558</f>
        <v>0</v>
      </c>
      <c r="I558">
        <f>'Audit Report'!D558</f>
        <v>0</v>
      </c>
      <c r="J558">
        <f>'Audit Report'!H558</f>
        <v>0</v>
      </c>
      <c r="L558" t="str">
        <f>_xlfn.TEXTJOIN(", ", FALSE, 'Audit Report'!K558,'Audit Report'!L558,'Audit Report'!M558)</f>
        <v xml:space="preserve">, , </v>
      </c>
      <c r="M558">
        <f>'Audit Report'!O558</f>
        <v>0</v>
      </c>
      <c r="N558" t="str" cm="1">
        <f t="array" ref="N558">IF(M558="","",
_xlfn.TEXTJOIN(", ",TRUE,
    _xlfn.MAP(_xlfn.TEXTSPLIT(M558,","),_xlfn.LAMBDA(_xlpm.x,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8">
        <f>'Audit Report'!F558</f>
        <v>0</v>
      </c>
      <c r="S558">
        <f>'Audit Report'!Q558</f>
        <v>0</v>
      </c>
    </row>
    <row r="559" spans="4:19">
      <c r="D559">
        <f>'Audit Report'!B559</f>
        <v>0</v>
      </c>
      <c r="E559">
        <f>'Audit Report'!C559</f>
        <v>0</v>
      </c>
      <c r="I559">
        <f>'Audit Report'!D559</f>
        <v>0</v>
      </c>
      <c r="J559">
        <f>'Audit Report'!H559</f>
        <v>0</v>
      </c>
      <c r="L559" t="str">
        <f>_xlfn.TEXTJOIN(", ", FALSE, 'Audit Report'!K559,'Audit Report'!L559,'Audit Report'!M559)</f>
        <v xml:space="preserve">, , </v>
      </c>
      <c r="M559">
        <f>'Audit Report'!O559</f>
        <v>0</v>
      </c>
      <c r="N559" t="str" cm="1">
        <f t="array" ref="N559">IF(M559="","",
_xlfn.TEXTJOIN(", ",TRUE,
    _xlfn.MAP(_xlfn.TEXTSPLIT(M559,","),_xlfn.LAMBDA(_xlpm.x,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9">
        <f>'Audit Report'!F559</f>
        <v>0</v>
      </c>
      <c r="S559">
        <f>'Audit Report'!Q559</f>
        <v>0</v>
      </c>
    </row>
    <row r="560" spans="4:19">
      <c r="D560">
        <f>'Audit Report'!B560</f>
        <v>0</v>
      </c>
      <c r="E560">
        <f>'Audit Report'!C560</f>
        <v>0</v>
      </c>
      <c r="I560">
        <f>'Audit Report'!D560</f>
        <v>0</v>
      </c>
      <c r="J560">
        <f>'Audit Report'!H560</f>
        <v>0</v>
      </c>
      <c r="L560" t="str">
        <f>_xlfn.TEXTJOIN(", ", FALSE, 'Audit Report'!K560,'Audit Report'!L560,'Audit Report'!M560)</f>
        <v xml:space="preserve">, , </v>
      </c>
      <c r="M560">
        <f>'Audit Report'!O560</f>
        <v>0</v>
      </c>
      <c r="N560" t="str" cm="1">
        <f t="array" ref="N560">IF(M560="","",
_xlfn.TEXTJOIN(", ",TRUE,
    _xlfn.MAP(_xlfn.TEXTSPLIT(M560,","),_xlfn.LAMBDA(_xlpm.x,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0">
        <f>'Audit Report'!F560</f>
        <v>0</v>
      </c>
      <c r="S560">
        <f>'Audit Report'!Q560</f>
        <v>0</v>
      </c>
    </row>
    <row r="561" spans="4:19">
      <c r="D561">
        <f>'Audit Report'!B561</f>
        <v>0</v>
      </c>
      <c r="E561">
        <f>'Audit Report'!C561</f>
        <v>0</v>
      </c>
      <c r="I561">
        <f>'Audit Report'!D561</f>
        <v>0</v>
      </c>
      <c r="J561">
        <f>'Audit Report'!H561</f>
        <v>0</v>
      </c>
      <c r="L561" t="str">
        <f>_xlfn.TEXTJOIN(", ", FALSE, 'Audit Report'!K561,'Audit Report'!L561,'Audit Report'!M561)</f>
        <v xml:space="preserve">, , </v>
      </c>
      <c r="M561">
        <f>'Audit Report'!O561</f>
        <v>0</v>
      </c>
      <c r="N561" t="str" cm="1">
        <f t="array" ref="N561">IF(M561="","",
_xlfn.TEXTJOIN(", ",TRUE,
    _xlfn.MAP(_xlfn.TEXTSPLIT(M561,","),_xlfn.LAMBDA(_xlpm.x,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1">
        <f>'Audit Report'!F561</f>
        <v>0</v>
      </c>
      <c r="S561">
        <f>'Audit Report'!Q561</f>
        <v>0</v>
      </c>
    </row>
    <row r="562" spans="4:19">
      <c r="D562">
        <f>'Audit Report'!B562</f>
        <v>0</v>
      </c>
      <c r="E562">
        <f>'Audit Report'!C562</f>
        <v>0</v>
      </c>
      <c r="I562">
        <f>'Audit Report'!D562</f>
        <v>0</v>
      </c>
      <c r="J562">
        <f>'Audit Report'!H562</f>
        <v>0</v>
      </c>
      <c r="L562" t="str">
        <f>_xlfn.TEXTJOIN(", ", FALSE, 'Audit Report'!K562,'Audit Report'!L562,'Audit Report'!M562)</f>
        <v xml:space="preserve">, , </v>
      </c>
      <c r="M562">
        <f>'Audit Report'!O562</f>
        <v>0</v>
      </c>
      <c r="N562" t="str" cm="1">
        <f t="array" ref="N562">IF(M562="","",
_xlfn.TEXTJOIN(", ",TRUE,
    _xlfn.MAP(_xlfn.TEXTSPLIT(M562,","),_xlfn.LAMBDA(_xlpm.x,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2">
        <f>'Audit Report'!F562</f>
        <v>0</v>
      </c>
      <c r="S562">
        <f>'Audit Report'!Q562</f>
        <v>0</v>
      </c>
    </row>
    <row r="563" spans="4:19">
      <c r="D563">
        <f>'Audit Report'!B563</f>
        <v>0</v>
      </c>
      <c r="E563">
        <f>'Audit Report'!C563</f>
        <v>0</v>
      </c>
      <c r="I563">
        <f>'Audit Report'!D563</f>
        <v>0</v>
      </c>
      <c r="J563">
        <f>'Audit Report'!H563</f>
        <v>0</v>
      </c>
      <c r="L563" t="str">
        <f>_xlfn.TEXTJOIN(", ", FALSE, 'Audit Report'!K563,'Audit Report'!L563,'Audit Report'!M563)</f>
        <v xml:space="preserve">, , </v>
      </c>
      <c r="M563">
        <f>'Audit Report'!O563</f>
        <v>0</v>
      </c>
      <c r="N563" t="str" cm="1">
        <f t="array" ref="N563">IF(M563="","",
_xlfn.TEXTJOIN(", ",TRUE,
    _xlfn.MAP(_xlfn.TEXTSPLIT(M563,","),_xlfn.LAMBDA(_xlpm.x,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3">
        <f>'Audit Report'!F563</f>
        <v>0</v>
      </c>
      <c r="S563">
        <f>'Audit Report'!Q563</f>
        <v>0</v>
      </c>
    </row>
    <row r="564" spans="4:19">
      <c r="D564">
        <f>'Audit Report'!B564</f>
        <v>0</v>
      </c>
      <c r="E564">
        <f>'Audit Report'!C564</f>
        <v>0</v>
      </c>
      <c r="I564">
        <f>'Audit Report'!D564</f>
        <v>0</v>
      </c>
      <c r="J564">
        <f>'Audit Report'!H564</f>
        <v>0</v>
      </c>
      <c r="L564" t="str">
        <f>_xlfn.TEXTJOIN(", ", FALSE, 'Audit Report'!K564,'Audit Report'!L564,'Audit Report'!M564)</f>
        <v xml:space="preserve">, , </v>
      </c>
      <c r="M564">
        <f>'Audit Report'!O564</f>
        <v>0</v>
      </c>
      <c r="N564" t="str" cm="1">
        <f t="array" ref="N564">IF(M564="","",
_xlfn.TEXTJOIN(", ",TRUE,
    _xlfn.MAP(_xlfn.TEXTSPLIT(M564,","),_xlfn.LAMBDA(_xlpm.x,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4">
        <f>'Audit Report'!F564</f>
        <v>0</v>
      </c>
      <c r="S564">
        <f>'Audit Report'!Q564</f>
        <v>0</v>
      </c>
    </row>
    <row r="565" spans="4:19">
      <c r="D565">
        <f>'Audit Report'!B565</f>
        <v>0</v>
      </c>
      <c r="E565">
        <f>'Audit Report'!C565</f>
        <v>0</v>
      </c>
      <c r="I565">
        <f>'Audit Report'!D565</f>
        <v>0</v>
      </c>
      <c r="J565">
        <f>'Audit Report'!H565</f>
        <v>0</v>
      </c>
      <c r="L565" t="str">
        <f>_xlfn.TEXTJOIN(", ", FALSE, 'Audit Report'!K565,'Audit Report'!L565,'Audit Report'!M565)</f>
        <v xml:space="preserve">, , </v>
      </c>
      <c r="M565">
        <f>'Audit Report'!O565</f>
        <v>0</v>
      </c>
      <c r="N565" t="str" cm="1">
        <f t="array" ref="N565">IF(M565="","",
_xlfn.TEXTJOIN(", ",TRUE,
    _xlfn.MAP(_xlfn.TEXTSPLIT(M565,","),_xlfn.LAMBDA(_xlpm.x,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5">
        <f>'Audit Report'!F565</f>
        <v>0</v>
      </c>
      <c r="S565">
        <f>'Audit Report'!Q565</f>
        <v>0</v>
      </c>
    </row>
    <row r="566" spans="4:19">
      <c r="D566">
        <f>'Audit Report'!B566</f>
        <v>0</v>
      </c>
      <c r="E566">
        <f>'Audit Report'!C566</f>
        <v>0</v>
      </c>
      <c r="I566">
        <f>'Audit Report'!D566</f>
        <v>0</v>
      </c>
      <c r="J566">
        <f>'Audit Report'!H566</f>
        <v>0</v>
      </c>
      <c r="L566" t="str">
        <f>_xlfn.TEXTJOIN(", ", FALSE, 'Audit Report'!K566,'Audit Report'!L566,'Audit Report'!M566)</f>
        <v xml:space="preserve">, , </v>
      </c>
      <c r="M566">
        <f>'Audit Report'!O566</f>
        <v>0</v>
      </c>
      <c r="N566" t="str" cm="1">
        <f t="array" ref="N566">IF(M566="","",
_xlfn.TEXTJOIN(", ",TRUE,
    _xlfn.MAP(_xlfn.TEXTSPLIT(M566,","),_xlfn.LAMBDA(_xlpm.x,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6">
        <f>'Audit Report'!F566</f>
        <v>0</v>
      </c>
      <c r="S566">
        <f>'Audit Report'!Q566</f>
        <v>0</v>
      </c>
    </row>
    <row r="567" spans="4:19">
      <c r="D567">
        <f>'Audit Report'!B567</f>
        <v>0</v>
      </c>
      <c r="E567">
        <f>'Audit Report'!C567</f>
        <v>0</v>
      </c>
      <c r="I567">
        <f>'Audit Report'!D567</f>
        <v>0</v>
      </c>
      <c r="J567">
        <f>'Audit Report'!H567</f>
        <v>0</v>
      </c>
      <c r="L567" t="str">
        <f>_xlfn.TEXTJOIN(", ", FALSE, 'Audit Report'!K567,'Audit Report'!L567,'Audit Report'!M567)</f>
        <v xml:space="preserve">, , </v>
      </c>
      <c r="M567">
        <f>'Audit Report'!O567</f>
        <v>0</v>
      </c>
      <c r="N567" t="str" cm="1">
        <f t="array" ref="N567">IF(M567="","",
_xlfn.TEXTJOIN(", ",TRUE,
    _xlfn.MAP(_xlfn.TEXTSPLIT(M567,","),_xlfn.LAMBDA(_xlpm.x,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7">
        <f>'Audit Report'!F567</f>
        <v>0</v>
      </c>
      <c r="S567">
        <f>'Audit Report'!Q567</f>
        <v>0</v>
      </c>
    </row>
    <row r="568" spans="4:19">
      <c r="D568">
        <f>'Audit Report'!B568</f>
        <v>0</v>
      </c>
      <c r="E568">
        <f>'Audit Report'!C568</f>
        <v>0</v>
      </c>
      <c r="I568">
        <f>'Audit Report'!D568</f>
        <v>0</v>
      </c>
      <c r="J568">
        <f>'Audit Report'!H568</f>
        <v>0</v>
      </c>
      <c r="L568" t="str">
        <f>_xlfn.TEXTJOIN(", ", FALSE, 'Audit Report'!K568,'Audit Report'!L568,'Audit Report'!M568)</f>
        <v xml:space="preserve">, , </v>
      </c>
      <c r="M568">
        <f>'Audit Report'!O568</f>
        <v>0</v>
      </c>
      <c r="N568" t="str" cm="1">
        <f t="array" ref="N568">IF(M568="","",
_xlfn.TEXTJOIN(", ",TRUE,
    _xlfn.MAP(_xlfn.TEXTSPLIT(M568,","),_xlfn.LAMBDA(_xlpm.x,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8">
        <f>'Audit Report'!F568</f>
        <v>0</v>
      </c>
      <c r="S568">
        <f>'Audit Report'!Q568</f>
        <v>0</v>
      </c>
    </row>
    <row r="569" spans="4:19">
      <c r="D569">
        <f>'Audit Report'!B569</f>
        <v>0</v>
      </c>
      <c r="E569">
        <f>'Audit Report'!C569</f>
        <v>0</v>
      </c>
      <c r="I569">
        <f>'Audit Report'!D569</f>
        <v>0</v>
      </c>
      <c r="J569">
        <f>'Audit Report'!H569</f>
        <v>0</v>
      </c>
      <c r="L569" t="str">
        <f>_xlfn.TEXTJOIN(", ", FALSE, 'Audit Report'!K569,'Audit Report'!L569,'Audit Report'!M569)</f>
        <v xml:space="preserve">, , </v>
      </c>
      <c r="M569">
        <f>'Audit Report'!O569</f>
        <v>0</v>
      </c>
      <c r="N569" t="str" cm="1">
        <f t="array" ref="N569">IF(M569="","",
_xlfn.TEXTJOIN(", ",TRUE,
    _xlfn.MAP(_xlfn.TEXTSPLIT(M569,","),_xlfn.LAMBDA(_xlpm.x,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9">
        <f>'Audit Report'!F569</f>
        <v>0</v>
      </c>
      <c r="S569">
        <f>'Audit Report'!Q569</f>
        <v>0</v>
      </c>
    </row>
    <row r="570" spans="4:19">
      <c r="D570">
        <f>'Audit Report'!B570</f>
        <v>0</v>
      </c>
      <c r="E570">
        <f>'Audit Report'!C570</f>
        <v>0</v>
      </c>
      <c r="I570">
        <f>'Audit Report'!D570</f>
        <v>0</v>
      </c>
      <c r="J570">
        <f>'Audit Report'!H570</f>
        <v>0</v>
      </c>
      <c r="L570" t="str">
        <f>_xlfn.TEXTJOIN(", ", FALSE, 'Audit Report'!K570,'Audit Report'!L570,'Audit Report'!M570)</f>
        <v xml:space="preserve">, , </v>
      </c>
      <c r="M570">
        <f>'Audit Report'!O570</f>
        <v>0</v>
      </c>
      <c r="N570" t="str" cm="1">
        <f t="array" ref="N570">IF(M570="","",
_xlfn.TEXTJOIN(", ",TRUE,
    _xlfn.MAP(_xlfn.TEXTSPLIT(M570,","),_xlfn.LAMBDA(_xlpm.x,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0">
        <f>'Audit Report'!F570</f>
        <v>0</v>
      </c>
      <c r="S570">
        <f>'Audit Report'!Q570</f>
        <v>0</v>
      </c>
    </row>
    <row r="571" spans="4:19">
      <c r="D571">
        <f>'Audit Report'!B571</f>
        <v>0</v>
      </c>
      <c r="E571">
        <f>'Audit Report'!C571</f>
        <v>0</v>
      </c>
      <c r="I571">
        <f>'Audit Report'!D571</f>
        <v>0</v>
      </c>
      <c r="J571">
        <f>'Audit Report'!H571</f>
        <v>0</v>
      </c>
      <c r="L571" t="str">
        <f>_xlfn.TEXTJOIN(", ", FALSE, 'Audit Report'!K571,'Audit Report'!L571,'Audit Report'!M571)</f>
        <v xml:space="preserve">, , </v>
      </c>
      <c r="M571">
        <f>'Audit Report'!O571</f>
        <v>0</v>
      </c>
      <c r="N571" t="str" cm="1">
        <f t="array" ref="N571">IF(M571="","",
_xlfn.TEXTJOIN(", ",TRUE,
    _xlfn.MAP(_xlfn.TEXTSPLIT(M571,","),_xlfn.LAMBDA(_xlpm.x,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1">
        <f>'Audit Report'!F571</f>
        <v>0</v>
      </c>
      <c r="S571">
        <f>'Audit Report'!Q571</f>
        <v>0</v>
      </c>
    </row>
    <row r="572" spans="4:19">
      <c r="D572">
        <f>'Audit Report'!B572</f>
        <v>0</v>
      </c>
      <c r="E572">
        <f>'Audit Report'!C572</f>
        <v>0</v>
      </c>
      <c r="I572">
        <f>'Audit Report'!D572</f>
        <v>0</v>
      </c>
      <c r="J572">
        <f>'Audit Report'!H572</f>
        <v>0</v>
      </c>
      <c r="L572" t="str">
        <f>_xlfn.TEXTJOIN(", ", FALSE, 'Audit Report'!K572,'Audit Report'!L572,'Audit Report'!M572)</f>
        <v xml:space="preserve">, , </v>
      </c>
      <c r="M572">
        <f>'Audit Report'!O572</f>
        <v>0</v>
      </c>
      <c r="N572" t="str" cm="1">
        <f t="array" ref="N572">IF(M572="","",
_xlfn.TEXTJOIN(", ",TRUE,
    _xlfn.MAP(_xlfn.TEXTSPLIT(M572,","),_xlfn.LAMBDA(_xlpm.x,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2">
        <f>'Audit Report'!F572</f>
        <v>0</v>
      </c>
      <c r="S572">
        <f>'Audit Report'!Q572</f>
        <v>0</v>
      </c>
    </row>
    <row r="573" spans="4:19">
      <c r="D573">
        <f>'Audit Report'!B573</f>
        <v>0</v>
      </c>
      <c r="E573">
        <f>'Audit Report'!C573</f>
        <v>0</v>
      </c>
      <c r="I573">
        <f>'Audit Report'!D573</f>
        <v>0</v>
      </c>
      <c r="J573">
        <f>'Audit Report'!H573</f>
        <v>0</v>
      </c>
      <c r="L573" t="str">
        <f>_xlfn.TEXTJOIN(", ", FALSE, 'Audit Report'!K573,'Audit Report'!L573,'Audit Report'!M573)</f>
        <v xml:space="preserve">, , </v>
      </c>
      <c r="M573">
        <f>'Audit Report'!O573</f>
        <v>0</v>
      </c>
      <c r="N573" t="str" cm="1">
        <f t="array" ref="N573">IF(M573="","",
_xlfn.TEXTJOIN(", ",TRUE,
    _xlfn.MAP(_xlfn.TEXTSPLIT(M573,","),_xlfn.LAMBDA(_xlpm.x,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3">
        <f>'Audit Report'!F573</f>
        <v>0</v>
      </c>
      <c r="S573">
        <f>'Audit Report'!Q573</f>
        <v>0</v>
      </c>
    </row>
    <row r="574" spans="4:19">
      <c r="D574">
        <f>'Audit Report'!B574</f>
        <v>0</v>
      </c>
      <c r="E574">
        <f>'Audit Report'!C574</f>
        <v>0</v>
      </c>
      <c r="I574">
        <f>'Audit Report'!D574</f>
        <v>0</v>
      </c>
      <c r="J574">
        <f>'Audit Report'!H574</f>
        <v>0</v>
      </c>
      <c r="L574" t="str">
        <f>_xlfn.TEXTJOIN(", ", FALSE, 'Audit Report'!K574,'Audit Report'!L574,'Audit Report'!M574)</f>
        <v xml:space="preserve">, , </v>
      </c>
      <c r="M574">
        <f>'Audit Report'!O574</f>
        <v>0</v>
      </c>
      <c r="N574" t="str" cm="1">
        <f t="array" ref="N574">IF(M574="","",
_xlfn.TEXTJOIN(", ",TRUE,
    _xlfn.MAP(_xlfn.TEXTSPLIT(M574,","),_xlfn.LAMBDA(_xlpm.x,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4">
        <f>'Audit Report'!F574</f>
        <v>0</v>
      </c>
      <c r="S574">
        <f>'Audit Report'!Q574</f>
        <v>0</v>
      </c>
    </row>
    <row r="575" spans="4:19">
      <c r="D575">
        <f>'Audit Report'!B575</f>
        <v>0</v>
      </c>
      <c r="E575">
        <f>'Audit Report'!C575</f>
        <v>0</v>
      </c>
      <c r="I575">
        <f>'Audit Report'!D575</f>
        <v>0</v>
      </c>
      <c r="J575">
        <f>'Audit Report'!H575</f>
        <v>0</v>
      </c>
      <c r="L575" t="str">
        <f>_xlfn.TEXTJOIN(", ", FALSE, 'Audit Report'!K575,'Audit Report'!L575,'Audit Report'!M575)</f>
        <v xml:space="preserve">, , </v>
      </c>
      <c r="M575">
        <f>'Audit Report'!O575</f>
        <v>0</v>
      </c>
      <c r="N575" t="str" cm="1">
        <f t="array" ref="N575">IF(M575="","",
_xlfn.TEXTJOIN(", ",TRUE,
    _xlfn.MAP(_xlfn.TEXTSPLIT(M575,","),_xlfn.LAMBDA(_xlpm.x,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5">
        <f>'Audit Report'!F575</f>
        <v>0</v>
      </c>
      <c r="S575">
        <f>'Audit Report'!Q575</f>
        <v>0</v>
      </c>
    </row>
    <row r="576" spans="4:19">
      <c r="D576">
        <f>'Audit Report'!B576</f>
        <v>0</v>
      </c>
      <c r="E576">
        <f>'Audit Report'!C576</f>
        <v>0</v>
      </c>
      <c r="I576">
        <f>'Audit Report'!D576</f>
        <v>0</v>
      </c>
      <c r="J576">
        <f>'Audit Report'!H576</f>
        <v>0</v>
      </c>
      <c r="L576" t="str">
        <f>_xlfn.TEXTJOIN(", ", FALSE, 'Audit Report'!K576,'Audit Report'!L576,'Audit Report'!M576)</f>
        <v xml:space="preserve">, , </v>
      </c>
      <c r="M576">
        <f>'Audit Report'!O576</f>
        <v>0</v>
      </c>
      <c r="N576" t="str" cm="1">
        <f t="array" ref="N576">IF(M576="","",
_xlfn.TEXTJOIN(", ",TRUE,
    _xlfn.MAP(_xlfn.TEXTSPLIT(M576,","),_xlfn.LAMBDA(_xlpm.x,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6">
        <f>'Audit Report'!F576</f>
        <v>0</v>
      </c>
      <c r="S576">
        <f>'Audit Report'!Q576</f>
        <v>0</v>
      </c>
    </row>
    <row r="577" spans="4:19">
      <c r="D577">
        <f>'Audit Report'!B577</f>
        <v>0</v>
      </c>
      <c r="E577">
        <f>'Audit Report'!C577</f>
        <v>0</v>
      </c>
      <c r="I577">
        <f>'Audit Report'!D577</f>
        <v>0</v>
      </c>
      <c r="J577">
        <f>'Audit Report'!H577</f>
        <v>0</v>
      </c>
      <c r="L577" t="str">
        <f>_xlfn.TEXTJOIN(", ", FALSE, 'Audit Report'!K577,'Audit Report'!L577,'Audit Report'!M577)</f>
        <v xml:space="preserve">, , </v>
      </c>
      <c r="M577">
        <f>'Audit Report'!O577</f>
        <v>0</v>
      </c>
      <c r="N577" t="str" cm="1">
        <f t="array" ref="N577">IF(M577="","",
_xlfn.TEXTJOIN(", ",TRUE,
    _xlfn.MAP(_xlfn.TEXTSPLIT(M577,","),_xlfn.LAMBDA(_xlpm.x,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7">
        <f>'Audit Report'!F577</f>
        <v>0</v>
      </c>
      <c r="S577">
        <f>'Audit Report'!Q577</f>
        <v>0</v>
      </c>
    </row>
    <row r="578" spans="4:19">
      <c r="D578">
        <f>'Audit Report'!B578</f>
        <v>0</v>
      </c>
      <c r="E578">
        <f>'Audit Report'!C578</f>
        <v>0</v>
      </c>
      <c r="I578">
        <f>'Audit Report'!D578</f>
        <v>0</v>
      </c>
      <c r="J578">
        <f>'Audit Report'!H578</f>
        <v>0</v>
      </c>
      <c r="L578" t="str">
        <f>_xlfn.TEXTJOIN(", ", FALSE, 'Audit Report'!K578,'Audit Report'!L578,'Audit Report'!M578)</f>
        <v xml:space="preserve">, , </v>
      </c>
      <c r="M578">
        <f>'Audit Report'!O578</f>
        <v>0</v>
      </c>
      <c r="N578" t="str" cm="1">
        <f t="array" ref="N578">IF(M578="","",
_xlfn.TEXTJOIN(", ",TRUE,
    _xlfn.MAP(_xlfn.TEXTSPLIT(M578,","),_xlfn.LAMBDA(_xlpm.x,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8">
        <f>'Audit Report'!F578</f>
        <v>0</v>
      </c>
      <c r="S578">
        <f>'Audit Report'!Q578</f>
        <v>0</v>
      </c>
    </row>
    <row r="579" spans="4:19">
      <c r="D579">
        <f>'Audit Report'!B579</f>
        <v>0</v>
      </c>
      <c r="E579">
        <f>'Audit Report'!C579</f>
        <v>0</v>
      </c>
      <c r="I579">
        <f>'Audit Report'!D579</f>
        <v>0</v>
      </c>
      <c r="J579">
        <f>'Audit Report'!H579</f>
        <v>0</v>
      </c>
      <c r="L579" t="str">
        <f>_xlfn.TEXTJOIN(", ", FALSE, 'Audit Report'!K579,'Audit Report'!L579,'Audit Report'!M579)</f>
        <v xml:space="preserve">, , </v>
      </c>
      <c r="M579">
        <f>'Audit Report'!O579</f>
        <v>0</v>
      </c>
      <c r="N579" t="str" cm="1">
        <f t="array" ref="N579">IF(M579="","",
_xlfn.TEXTJOIN(", ",TRUE,
    _xlfn.MAP(_xlfn.TEXTSPLIT(M579,","),_xlfn.LAMBDA(_xlpm.x,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9">
        <f>'Audit Report'!F579</f>
        <v>0</v>
      </c>
      <c r="S579">
        <f>'Audit Report'!Q579</f>
        <v>0</v>
      </c>
    </row>
    <row r="580" spans="4:19">
      <c r="D580">
        <f>'Audit Report'!B580</f>
        <v>0</v>
      </c>
      <c r="E580">
        <f>'Audit Report'!C580</f>
        <v>0</v>
      </c>
      <c r="I580">
        <f>'Audit Report'!D580</f>
        <v>0</v>
      </c>
      <c r="J580">
        <f>'Audit Report'!H580</f>
        <v>0</v>
      </c>
      <c r="L580" t="str">
        <f>_xlfn.TEXTJOIN(", ", FALSE, 'Audit Report'!K580,'Audit Report'!L580,'Audit Report'!M580)</f>
        <v xml:space="preserve">, , </v>
      </c>
      <c r="M580">
        <f>'Audit Report'!O580</f>
        <v>0</v>
      </c>
      <c r="N580" t="str" cm="1">
        <f t="array" ref="N580">IF(M580="","",
_xlfn.TEXTJOIN(", ",TRUE,
    _xlfn.MAP(_xlfn.TEXTSPLIT(M580,","),_xlfn.LAMBDA(_xlpm.x,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0">
        <f>'Audit Report'!F580</f>
        <v>0</v>
      </c>
      <c r="S580">
        <f>'Audit Report'!Q580</f>
        <v>0</v>
      </c>
    </row>
    <row r="581" spans="4:19">
      <c r="D581">
        <f>'Audit Report'!B581</f>
        <v>0</v>
      </c>
      <c r="E581">
        <f>'Audit Report'!C581</f>
        <v>0</v>
      </c>
      <c r="I581">
        <f>'Audit Report'!D581</f>
        <v>0</v>
      </c>
      <c r="J581">
        <f>'Audit Report'!H581</f>
        <v>0</v>
      </c>
      <c r="L581" t="str">
        <f>_xlfn.TEXTJOIN(", ", FALSE, 'Audit Report'!K581,'Audit Report'!L581,'Audit Report'!M581)</f>
        <v xml:space="preserve">, , </v>
      </c>
      <c r="M581">
        <f>'Audit Report'!O581</f>
        <v>0</v>
      </c>
      <c r="N581" t="str" cm="1">
        <f t="array" ref="N581">IF(M581="","",
_xlfn.TEXTJOIN(", ",TRUE,
    _xlfn.MAP(_xlfn.TEXTSPLIT(M581,","),_xlfn.LAMBDA(_xlpm.x,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1">
        <f>'Audit Report'!F581</f>
        <v>0</v>
      </c>
      <c r="S581">
        <f>'Audit Report'!Q581</f>
        <v>0</v>
      </c>
    </row>
    <row r="582" spans="4:19">
      <c r="D582">
        <f>'Audit Report'!B582</f>
        <v>0</v>
      </c>
      <c r="E582">
        <f>'Audit Report'!C582</f>
        <v>0</v>
      </c>
      <c r="I582">
        <f>'Audit Report'!D582</f>
        <v>0</v>
      </c>
      <c r="J582">
        <f>'Audit Report'!H582</f>
        <v>0</v>
      </c>
      <c r="L582" t="str">
        <f>_xlfn.TEXTJOIN(", ", FALSE, 'Audit Report'!K582,'Audit Report'!L582,'Audit Report'!M582)</f>
        <v xml:space="preserve">, , </v>
      </c>
      <c r="M582">
        <f>'Audit Report'!O582</f>
        <v>0</v>
      </c>
      <c r="N582" t="str" cm="1">
        <f t="array" ref="N582">IF(M582="","",
_xlfn.TEXTJOIN(", ",TRUE,
    _xlfn.MAP(_xlfn.TEXTSPLIT(M582,","),_xlfn.LAMBDA(_xlpm.x,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2">
        <f>'Audit Report'!F582</f>
        <v>0</v>
      </c>
      <c r="S582">
        <f>'Audit Report'!Q582</f>
        <v>0</v>
      </c>
    </row>
    <row r="583" spans="4:19">
      <c r="D583">
        <f>'Audit Report'!B583</f>
        <v>0</v>
      </c>
      <c r="E583">
        <f>'Audit Report'!C583</f>
        <v>0</v>
      </c>
      <c r="I583">
        <f>'Audit Report'!D583</f>
        <v>0</v>
      </c>
      <c r="J583">
        <f>'Audit Report'!H583</f>
        <v>0</v>
      </c>
      <c r="L583" t="str">
        <f>_xlfn.TEXTJOIN(", ", FALSE, 'Audit Report'!K583,'Audit Report'!L583,'Audit Report'!M583)</f>
        <v xml:space="preserve">, , </v>
      </c>
      <c r="M583">
        <f>'Audit Report'!O583</f>
        <v>0</v>
      </c>
      <c r="N583" t="str" cm="1">
        <f t="array" ref="N583">IF(M583="","",
_xlfn.TEXTJOIN(", ",TRUE,
    _xlfn.MAP(_xlfn.TEXTSPLIT(M583,","),_xlfn.LAMBDA(_xlpm.x,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3">
        <f>'Audit Report'!F583</f>
        <v>0</v>
      </c>
      <c r="S583">
        <f>'Audit Report'!Q583</f>
        <v>0</v>
      </c>
    </row>
    <row r="584" spans="4:19">
      <c r="D584">
        <f>'Audit Report'!B584</f>
        <v>0</v>
      </c>
      <c r="E584">
        <f>'Audit Report'!C584</f>
        <v>0</v>
      </c>
      <c r="I584">
        <f>'Audit Report'!D584</f>
        <v>0</v>
      </c>
      <c r="J584">
        <f>'Audit Report'!H584</f>
        <v>0</v>
      </c>
      <c r="L584" t="str">
        <f>_xlfn.TEXTJOIN(", ", FALSE, 'Audit Report'!K584,'Audit Report'!L584,'Audit Report'!M584)</f>
        <v xml:space="preserve">, , </v>
      </c>
      <c r="M584">
        <f>'Audit Report'!O584</f>
        <v>0</v>
      </c>
      <c r="N584" t="str" cm="1">
        <f t="array" ref="N584">IF(M584="","",
_xlfn.TEXTJOIN(", ",TRUE,
    _xlfn.MAP(_xlfn.TEXTSPLIT(M584,","),_xlfn.LAMBDA(_xlpm.x,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4">
        <f>'Audit Report'!F584</f>
        <v>0</v>
      </c>
      <c r="S584">
        <f>'Audit Report'!Q584</f>
        <v>0</v>
      </c>
    </row>
    <row r="585" spans="4:19">
      <c r="D585">
        <f>'Audit Report'!B585</f>
        <v>0</v>
      </c>
      <c r="E585">
        <f>'Audit Report'!C585</f>
        <v>0</v>
      </c>
      <c r="I585">
        <f>'Audit Report'!D585</f>
        <v>0</v>
      </c>
      <c r="J585">
        <f>'Audit Report'!H585</f>
        <v>0</v>
      </c>
      <c r="L585" t="str">
        <f>_xlfn.TEXTJOIN(", ", FALSE, 'Audit Report'!K585,'Audit Report'!L585,'Audit Report'!M585)</f>
        <v xml:space="preserve">, , </v>
      </c>
      <c r="M585">
        <f>'Audit Report'!O585</f>
        <v>0</v>
      </c>
      <c r="N585" t="str" cm="1">
        <f t="array" ref="N585">IF(M585="","",
_xlfn.TEXTJOIN(", ",TRUE,
    _xlfn.MAP(_xlfn.TEXTSPLIT(M585,","),_xlfn.LAMBDA(_xlpm.x,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5">
        <f>'Audit Report'!F585</f>
        <v>0</v>
      </c>
      <c r="S585">
        <f>'Audit Report'!Q585</f>
        <v>0</v>
      </c>
    </row>
    <row r="586" spans="4:19">
      <c r="D586">
        <f>'Audit Report'!B586</f>
        <v>0</v>
      </c>
      <c r="E586">
        <f>'Audit Report'!C586</f>
        <v>0</v>
      </c>
      <c r="I586">
        <f>'Audit Report'!D586</f>
        <v>0</v>
      </c>
      <c r="J586">
        <f>'Audit Report'!H586</f>
        <v>0</v>
      </c>
      <c r="L586" t="str">
        <f>_xlfn.TEXTJOIN(", ", FALSE, 'Audit Report'!K586,'Audit Report'!L586,'Audit Report'!M586)</f>
        <v xml:space="preserve">, , </v>
      </c>
      <c r="M586">
        <f>'Audit Report'!O586</f>
        <v>0</v>
      </c>
      <c r="N586" t="str" cm="1">
        <f t="array" ref="N586">IF(M586="","",
_xlfn.TEXTJOIN(", ",TRUE,
    _xlfn.MAP(_xlfn.TEXTSPLIT(M586,","),_xlfn.LAMBDA(_xlpm.x,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6">
        <f>'Audit Report'!F586</f>
        <v>0</v>
      </c>
      <c r="S586">
        <f>'Audit Report'!Q586</f>
        <v>0</v>
      </c>
    </row>
    <row r="587" spans="4:19">
      <c r="D587">
        <f>'Audit Report'!B587</f>
        <v>0</v>
      </c>
      <c r="E587">
        <f>'Audit Report'!C587</f>
        <v>0</v>
      </c>
      <c r="I587">
        <f>'Audit Report'!D587</f>
        <v>0</v>
      </c>
      <c r="J587">
        <f>'Audit Report'!H587</f>
        <v>0</v>
      </c>
      <c r="L587" t="str">
        <f>_xlfn.TEXTJOIN(", ", FALSE, 'Audit Report'!K587,'Audit Report'!L587,'Audit Report'!M587)</f>
        <v xml:space="preserve">, , </v>
      </c>
      <c r="M587">
        <f>'Audit Report'!O587</f>
        <v>0</v>
      </c>
      <c r="N587" t="str" cm="1">
        <f t="array" ref="N587">IF(M587="","",
_xlfn.TEXTJOIN(", ",TRUE,
    _xlfn.MAP(_xlfn.TEXTSPLIT(M587,","),_xlfn.LAMBDA(_xlpm.x,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7">
        <f>'Audit Report'!F587</f>
        <v>0</v>
      </c>
      <c r="S587">
        <f>'Audit Report'!Q587</f>
        <v>0</v>
      </c>
    </row>
    <row r="588" spans="4:19">
      <c r="D588">
        <f>'Audit Report'!B588</f>
        <v>0</v>
      </c>
      <c r="E588">
        <f>'Audit Report'!C588</f>
        <v>0</v>
      </c>
      <c r="I588">
        <f>'Audit Report'!D588</f>
        <v>0</v>
      </c>
      <c r="J588">
        <f>'Audit Report'!H588</f>
        <v>0</v>
      </c>
      <c r="L588" t="str">
        <f>_xlfn.TEXTJOIN(", ", FALSE, 'Audit Report'!K588,'Audit Report'!L588,'Audit Report'!M588)</f>
        <v xml:space="preserve">, , </v>
      </c>
      <c r="M588">
        <f>'Audit Report'!O588</f>
        <v>0</v>
      </c>
      <c r="N588" t="str" cm="1">
        <f t="array" ref="N588">IF(M588="","",
_xlfn.TEXTJOIN(", ",TRUE,
    _xlfn.MAP(_xlfn.TEXTSPLIT(M588,","),_xlfn.LAMBDA(_xlpm.x,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8">
        <f>'Audit Report'!F588</f>
        <v>0</v>
      </c>
      <c r="S588">
        <f>'Audit Report'!Q588</f>
        <v>0</v>
      </c>
    </row>
    <row r="589" spans="4:19">
      <c r="D589">
        <f>'Audit Report'!B589</f>
        <v>0</v>
      </c>
      <c r="E589">
        <f>'Audit Report'!C589</f>
        <v>0</v>
      </c>
      <c r="I589">
        <f>'Audit Report'!D589</f>
        <v>0</v>
      </c>
      <c r="J589">
        <f>'Audit Report'!H589</f>
        <v>0</v>
      </c>
      <c r="L589" t="str">
        <f>_xlfn.TEXTJOIN(", ", FALSE, 'Audit Report'!K589,'Audit Report'!L589,'Audit Report'!M589)</f>
        <v xml:space="preserve">, , </v>
      </c>
      <c r="M589">
        <f>'Audit Report'!O589</f>
        <v>0</v>
      </c>
      <c r="N589" t="str" cm="1">
        <f t="array" ref="N589">IF(M589="","",
_xlfn.TEXTJOIN(", ",TRUE,
    _xlfn.MAP(_xlfn.TEXTSPLIT(M589,","),_xlfn.LAMBDA(_xlpm.x,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9">
        <f>'Audit Report'!F589</f>
        <v>0</v>
      </c>
      <c r="S589">
        <f>'Audit Report'!Q589</f>
        <v>0</v>
      </c>
    </row>
    <row r="590" spans="4:19">
      <c r="D590">
        <f>'Audit Report'!B590</f>
        <v>0</v>
      </c>
      <c r="E590">
        <f>'Audit Report'!C590</f>
        <v>0</v>
      </c>
      <c r="I590">
        <f>'Audit Report'!D590</f>
        <v>0</v>
      </c>
      <c r="J590">
        <f>'Audit Report'!H590</f>
        <v>0</v>
      </c>
      <c r="L590" t="str">
        <f>_xlfn.TEXTJOIN(", ", FALSE, 'Audit Report'!K590,'Audit Report'!L590,'Audit Report'!M590)</f>
        <v xml:space="preserve">, , </v>
      </c>
      <c r="M590">
        <f>'Audit Report'!O590</f>
        <v>0</v>
      </c>
      <c r="N590" t="str" cm="1">
        <f t="array" ref="N590">IF(M590="","",
_xlfn.TEXTJOIN(", ",TRUE,
    _xlfn.MAP(_xlfn.TEXTSPLIT(M590,","),_xlfn.LAMBDA(_xlpm.x,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0">
        <f>'Audit Report'!F590</f>
        <v>0</v>
      </c>
      <c r="S590">
        <f>'Audit Report'!Q590</f>
        <v>0</v>
      </c>
    </row>
    <row r="591" spans="4:19">
      <c r="D591">
        <f>'Audit Report'!B591</f>
        <v>0</v>
      </c>
      <c r="E591">
        <f>'Audit Report'!C591</f>
        <v>0</v>
      </c>
      <c r="I591">
        <f>'Audit Report'!D591</f>
        <v>0</v>
      </c>
      <c r="J591">
        <f>'Audit Report'!H591</f>
        <v>0</v>
      </c>
      <c r="L591" t="str">
        <f>_xlfn.TEXTJOIN(", ", FALSE, 'Audit Report'!K591,'Audit Report'!L591,'Audit Report'!M591)</f>
        <v xml:space="preserve">, , </v>
      </c>
      <c r="M591">
        <f>'Audit Report'!O591</f>
        <v>0</v>
      </c>
      <c r="N591" t="str" cm="1">
        <f t="array" ref="N591">IF(M591="","",
_xlfn.TEXTJOIN(", ",TRUE,
    _xlfn.MAP(_xlfn.TEXTSPLIT(M591,","),_xlfn.LAMBDA(_xlpm.x,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1">
        <f>'Audit Report'!F591</f>
        <v>0</v>
      </c>
      <c r="S591">
        <f>'Audit Report'!Q591</f>
        <v>0</v>
      </c>
    </row>
    <row r="592" spans="4:19">
      <c r="D592">
        <f>'Audit Report'!B592</f>
        <v>0</v>
      </c>
      <c r="E592">
        <f>'Audit Report'!C592</f>
        <v>0</v>
      </c>
      <c r="I592">
        <f>'Audit Report'!D592</f>
        <v>0</v>
      </c>
      <c r="J592">
        <f>'Audit Report'!H592</f>
        <v>0</v>
      </c>
      <c r="L592" t="str">
        <f>_xlfn.TEXTJOIN(", ", FALSE, 'Audit Report'!K592,'Audit Report'!L592,'Audit Report'!M592)</f>
        <v xml:space="preserve">, , </v>
      </c>
      <c r="M592">
        <f>'Audit Report'!O592</f>
        <v>0</v>
      </c>
      <c r="N592" t="str" cm="1">
        <f t="array" ref="N592">IF(M592="","",
_xlfn.TEXTJOIN(", ",TRUE,
    _xlfn.MAP(_xlfn.TEXTSPLIT(M592,","),_xlfn.LAMBDA(_xlpm.x,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2">
        <f>'Audit Report'!F592</f>
        <v>0</v>
      </c>
      <c r="S592">
        <f>'Audit Report'!Q592</f>
        <v>0</v>
      </c>
    </row>
    <row r="593" spans="4:19">
      <c r="D593">
        <f>'Audit Report'!B593</f>
        <v>0</v>
      </c>
      <c r="E593">
        <f>'Audit Report'!C593</f>
        <v>0</v>
      </c>
      <c r="I593">
        <f>'Audit Report'!D593</f>
        <v>0</v>
      </c>
      <c r="J593">
        <f>'Audit Report'!H593</f>
        <v>0</v>
      </c>
      <c r="L593" t="str">
        <f>_xlfn.TEXTJOIN(", ", FALSE, 'Audit Report'!K593,'Audit Report'!L593,'Audit Report'!M593)</f>
        <v xml:space="preserve">, , </v>
      </c>
      <c r="M593">
        <f>'Audit Report'!O593</f>
        <v>0</v>
      </c>
      <c r="N593" t="str" cm="1">
        <f t="array" ref="N593">IF(M593="","",
_xlfn.TEXTJOIN(", ",TRUE,
    _xlfn.MAP(_xlfn.TEXTSPLIT(M593,","),_xlfn.LAMBDA(_xlpm.x,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3">
        <f>'Audit Report'!F593</f>
        <v>0</v>
      </c>
      <c r="S593">
        <f>'Audit Report'!Q593</f>
        <v>0</v>
      </c>
    </row>
    <row r="594" spans="4:19">
      <c r="D594">
        <f>'Audit Report'!B594</f>
        <v>0</v>
      </c>
      <c r="E594">
        <f>'Audit Report'!C594</f>
        <v>0</v>
      </c>
      <c r="I594">
        <f>'Audit Report'!D594</f>
        <v>0</v>
      </c>
      <c r="J594">
        <f>'Audit Report'!H594</f>
        <v>0</v>
      </c>
      <c r="L594" t="str">
        <f>_xlfn.TEXTJOIN(", ", FALSE, 'Audit Report'!K594,'Audit Report'!L594,'Audit Report'!M594)</f>
        <v xml:space="preserve">, , </v>
      </c>
      <c r="M594">
        <f>'Audit Report'!O594</f>
        <v>0</v>
      </c>
      <c r="N594" t="str" cm="1">
        <f t="array" ref="N594">IF(M594="","",
_xlfn.TEXTJOIN(", ",TRUE,
    _xlfn.MAP(_xlfn.TEXTSPLIT(M594,","),_xlfn.LAMBDA(_xlpm.x,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4">
        <f>'Audit Report'!F594</f>
        <v>0</v>
      </c>
      <c r="S594">
        <f>'Audit Report'!Q594</f>
        <v>0</v>
      </c>
    </row>
    <row r="595" spans="4:19">
      <c r="D595">
        <f>'Audit Report'!B595</f>
        <v>0</v>
      </c>
      <c r="E595">
        <f>'Audit Report'!C595</f>
        <v>0</v>
      </c>
      <c r="I595">
        <f>'Audit Report'!D595</f>
        <v>0</v>
      </c>
      <c r="J595">
        <f>'Audit Report'!H595</f>
        <v>0</v>
      </c>
      <c r="L595" t="str">
        <f>_xlfn.TEXTJOIN(", ", FALSE, 'Audit Report'!K595,'Audit Report'!L595,'Audit Report'!M595)</f>
        <v xml:space="preserve">, , </v>
      </c>
      <c r="M595">
        <f>'Audit Report'!O595</f>
        <v>0</v>
      </c>
      <c r="N595" t="str" cm="1">
        <f t="array" ref="N595">IF(M595="","",
_xlfn.TEXTJOIN(", ",TRUE,
    _xlfn.MAP(_xlfn.TEXTSPLIT(M595,","),_xlfn.LAMBDA(_xlpm.x,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5">
        <f>'Audit Report'!F595</f>
        <v>0</v>
      </c>
      <c r="S595">
        <f>'Audit Report'!Q595</f>
        <v>0</v>
      </c>
    </row>
    <row r="596" spans="4:19">
      <c r="D596">
        <f>'Audit Report'!B596</f>
        <v>0</v>
      </c>
      <c r="E596">
        <f>'Audit Report'!C596</f>
        <v>0</v>
      </c>
      <c r="I596">
        <f>'Audit Report'!D596</f>
        <v>0</v>
      </c>
      <c r="J596">
        <f>'Audit Report'!H596</f>
        <v>0</v>
      </c>
      <c r="L596" t="str">
        <f>_xlfn.TEXTJOIN(", ", FALSE, 'Audit Report'!K596,'Audit Report'!L596,'Audit Report'!M596)</f>
        <v xml:space="preserve">, , </v>
      </c>
      <c r="M596">
        <f>'Audit Report'!O596</f>
        <v>0</v>
      </c>
      <c r="N596" t="str" cm="1">
        <f t="array" ref="N596">IF(M596="","",
_xlfn.TEXTJOIN(", ",TRUE,
    _xlfn.MAP(_xlfn.TEXTSPLIT(M596,","),_xlfn.LAMBDA(_xlpm.x,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6">
        <f>'Audit Report'!F596</f>
        <v>0</v>
      </c>
      <c r="S596">
        <f>'Audit Report'!Q596</f>
        <v>0</v>
      </c>
    </row>
    <row r="597" spans="4:19">
      <c r="D597">
        <f>'Audit Report'!B597</f>
        <v>0</v>
      </c>
      <c r="E597">
        <f>'Audit Report'!C597</f>
        <v>0</v>
      </c>
      <c r="I597">
        <f>'Audit Report'!D597</f>
        <v>0</v>
      </c>
      <c r="J597">
        <f>'Audit Report'!H597</f>
        <v>0</v>
      </c>
      <c r="L597" t="str">
        <f>_xlfn.TEXTJOIN(", ", FALSE, 'Audit Report'!K597,'Audit Report'!L597,'Audit Report'!M597)</f>
        <v xml:space="preserve">, , </v>
      </c>
      <c r="M597">
        <f>'Audit Report'!O597</f>
        <v>0</v>
      </c>
      <c r="N597" t="str" cm="1">
        <f t="array" ref="N597">IF(M597="","",
_xlfn.TEXTJOIN(", ",TRUE,
    _xlfn.MAP(_xlfn.TEXTSPLIT(M597,","),_xlfn.LAMBDA(_xlpm.x,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7">
        <f>'Audit Report'!F597</f>
        <v>0</v>
      </c>
      <c r="S597">
        <f>'Audit Report'!Q597</f>
        <v>0</v>
      </c>
    </row>
    <row r="598" spans="4:19">
      <c r="D598">
        <f>'Audit Report'!B598</f>
        <v>0</v>
      </c>
      <c r="E598">
        <f>'Audit Report'!C598</f>
        <v>0</v>
      </c>
      <c r="I598">
        <f>'Audit Report'!D598</f>
        <v>0</v>
      </c>
      <c r="J598">
        <f>'Audit Report'!H598</f>
        <v>0</v>
      </c>
      <c r="L598" t="str">
        <f>_xlfn.TEXTJOIN(", ", FALSE, 'Audit Report'!K598,'Audit Report'!L598,'Audit Report'!M598)</f>
        <v xml:space="preserve">, , </v>
      </c>
      <c r="M598">
        <f>'Audit Report'!O598</f>
        <v>0</v>
      </c>
      <c r="N598" t="str" cm="1">
        <f t="array" ref="N598">IF(M598="","",
_xlfn.TEXTJOIN(", ",TRUE,
    _xlfn.MAP(_xlfn.TEXTSPLIT(M598,","),_xlfn.LAMBDA(_xlpm.x,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8">
        <f>'Audit Report'!F598</f>
        <v>0</v>
      </c>
      <c r="S598">
        <f>'Audit Report'!Q598</f>
        <v>0</v>
      </c>
    </row>
    <row r="599" spans="4:19">
      <c r="D599">
        <f>'Audit Report'!B599</f>
        <v>0</v>
      </c>
      <c r="E599">
        <f>'Audit Report'!C599</f>
        <v>0</v>
      </c>
      <c r="I599">
        <f>'Audit Report'!D599</f>
        <v>0</v>
      </c>
      <c r="J599">
        <f>'Audit Report'!H599</f>
        <v>0</v>
      </c>
      <c r="L599" t="str">
        <f>_xlfn.TEXTJOIN(", ", FALSE, 'Audit Report'!K599,'Audit Report'!L599,'Audit Report'!M599)</f>
        <v xml:space="preserve">, , </v>
      </c>
      <c r="M599">
        <f>'Audit Report'!O599</f>
        <v>0</v>
      </c>
      <c r="N599" t="str" cm="1">
        <f t="array" ref="N599">IF(M599="","",
_xlfn.TEXTJOIN(", ",TRUE,
    _xlfn.MAP(_xlfn.TEXTSPLIT(M599,","),_xlfn.LAMBDA(_xlpm.x,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9">
        <f>'Audit Report'!F599</f>
        <v>0</v>
      </c>
      <c r="S599">
        <f>'Audit Report'!Q599</f>
        <v>0</v>
      </c>
    </row>
    <row r="600" spans="4:19">
      <c r="D600">
        <f>'Audit Report'!B600</f>
        <v>0</v>
      </c>
      <c r="E600">
        <f>'Audit Report'!C600</f>
        <v>0</v>
      </c>
      <c r="I600">
        <f>'Audit Report'!D600</f>
        <v>0</v>
      </c>
      <c r="J600">
        <f>'Audit Report'!H600</f>
        <v>0</v>
      </c>
      <c r="L600" t="str">
        <f>_xlfn.TEXTJOIN(", ", FALSE, 'Audit Report'!K600,'Audit Report'!L600,'Audit Report'!M600)</f>
        <v xml:space="preserve">, , </v>
      </c>
      <c r="M600">
        <f>'Audit Report'!O600</f>
        <v>0</v>
      </c>
      <c r="N600" t="str" cm="1">
        <f t="array" ref="N600">IF(M600="","",
_xlfn.TEXTJOIN(", ",TRUE,
    _xlfn.MAP(_xlfn.TEXTSPLIT(M600,","),_xlfn.LAMBDA(_xlpm.x,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0">
        <f>'Audit Report'!F600</f>
        <v>0</v>
      </c>
      <c r="S600">
        <f>'Audit Report'!Q600</f>
        <v>0</v>
      </c>
    </row>
    <row r="601" spans="4:19">
      <c r="D601">
        <f>'Audit Report'!B601</f>
        <v>0</v>
      </c>
      <c r="E601">
        <f>'Audit Report'!C601</f>
        <v>0</v>
      </c>
      <c r="I601">
        <f>'Audit Report'!D601</f>
        <v>0</v>
      </c>
      <c r="J601">
        <f>'Audit Report'!H601</f>
        <v>0</v>
      </c>
      <c r="L601" t="str">
        <f>_xlfn.TEXTJOIN(", ", FALSE, 'Audit Report'!K601,'Audit Report'!L601,'Audit Report'!M601)</f>
        <v xml:space="preserve">, , </v>
      </c>
      <c r="M601">
        <f>'Audit Report'!O601</f>
        <v>0</v>
      </c>
      <c r="N601" t="str" cm="1">
        <f t="array" ref="N601">IF(M601="","",
_xlfn.TEXTJOIN(", ",TRUE,
    _xlfn.MAP(_xlfn.TEXTSPLIT(M601,","),_xlfn.LAMBDA(_xlpm.x,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1">
        <f>'Audit Report'!F601</f>
        <v>0</v>
      </c>
      <c r="S601">
        <f>'Audit Report'!Q601</f>
        <v>0</v>
      </c>
    </row>
    <row r="602" spans="4:19">
      <c r="D602">
        <f>'Audit Report'!B602</f>
        <v>0</v>
      </c>
      <c r="E602">
        <f>'Audit Report'!C602</f>
        <v>0</v>
      </c>
      <c r="I602">
        <f>'Audit Report'!D602</f>
        <v>0</v>
      </c>
      <c r="J602">
        <f>'Audit Report'!H602</f>
        <v>0</v>
      </c>
      <c r="L602" t="str">
        <f>_xlfn.TEXTJOIN(", ", FALSE, 'Audit Report'!K602,'Audit Report'!L602,'Audit Report'!M602)</f>
        <v xml:space="preserve">, , </v>
      </c>
      <c r="M602">
        <f>'Audit Report'!O602</f>
        <v>0</v>
      </c>
      <c r="N602" t="str" cm="1">
        <f t="array" ref="N602">IF(M602="","",
_xlfn.TEXTJOIN(", ",TRUE,
    _xlfn.MAP(_xlfn.TEXTSPLIT(M602,","),_xlfn.LAMBDA(_xlpm.x,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2">
        <f>'Audit Report'!F602</f>
        <v>0</v>
      </c>
      <c r="S602">
        <f>'Audit Report'!Q602</f>
        <v>0</v>
      </c>
    </row>
    <row r="603" spans="4:19">
      <c r="D603">
        <f>'Audit Report'!B603</f>
        <v>0</v>
      </c>
      <c r="E603">
        <f>'Audit Report'!C603</f>
        <v>0</v>
      </c>
      <c r="I603">
        <f>'Audit Report'!D603</f>
        <v>0</v>
      </c>
      <c r="J603">
        <f>'Audit Report'!H603</f>
        <v>0</v>
      </c>
      <c r="L603" t="str">
        <f>_xlfn.TEXTJOIN(", ", FALSE, 'Audit Report'!K603,'Audit Report'!L603,'Audit Report'!M603)</f>
        <v xml:space="preserve">, , </v>
      </c>
      <c r="M603">
        <f>'Audit Report'!O603</f>
        <v>0</v>
      </c>
      <c r="N603" t="str" cm="1">
        <f t="array" ref="N603">IF(M603="","",
_xlfn.TEXTJOIN(", ",TRUE,
    _xlfn.MAP(_xlfn.TEXTSPLIT(M603,","),_xlfn.LAMBDA(_xlpm.x,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3">
        <f>'Audit Report'!F603</f>
        <v>0</v>
      </c>
      <c r="S603">
        <f>'Audit Report'!Q603</f>
        <v>0</v>
      </c>
    </row>
    <row r="604" spans="4:19">
      <c r="D604">
        <f>'Audit Report'!B604</f>
        <v>0</v>
      </c>
      <c r="E604">
        <f>'Audit Report'!C604</f>
        <v>0</v>
      </c>
      <c r="I604">
        <f>'Audit Report'!D604</f>
        <v>0</v>
      </c>
      <c r="J604">
        <f>'Audit Report'!H604</f>
        <v>0</v>
      </c>
      <c r="L604" t="str">
        <f>_xlfn.TEXTJOIN(", ", FALSE, 'Audit Report'!K604,'Audit Report'!L604,'Audit Report'!M604)</f>
        <v xml:space="preserve">, , </v>
      </c>
      <c r="M604">
        <f>'Audit Report'!O604</f>
        <v>0</v>
      </c>
      <c r="N604" t="str" cm="1">
        <f t="array" ref="N604">IF(M604="","",
_xlfn.TEXTJOIN(", ",TRUE,
    _xlfn.MAP(_xlfn.TEXTSPLIT(M604,","),_xlfn.LAMBDA(_xlpm.x,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4">
        <f>'Audit Report'!F604</f>
        <v>0</v>
      </c>
      <c r="S604">
        <f>'Audit Report'!Q604</f>
        <v>0</v>
      </c>
    </row>
    <row r="605" spans="4:19">
      <c r="D605">
        <f>'Audit Report'!B605</f>
        <v>0</v>
      </c>
      <c r="E605">
        <f>'Audit Report'!C605</f>
        <v>0</v>
      </c>
      <c r="I605">
        <f>'Audit Report'!D605</f>
        <v>0</v>
      </c>
      <c r="J605">
        <f>'Audit Report'!H605</f>
        <v>0</v>
      </c>
      <c r="L605" t="str">
        <f>_xlfn.TEXTJOIN(", ", FALSE, 'Audit Report'!K605,'Audit Report'!L605,'Audit Report'!M605)</f>
        <v xml:space="preserve">, , </v>
      </c>
      <c r="M605">
        <f>'Audit Report'!O605</f>
        <v>0</v>
      </c>
      <c r="N605" t="str" cm="1">
        <f t="array" ref="N605">IF(M605="","",
_xlfn.TEXTJOIN(", ",TRUE,
    _xlfn.MAP(_xlfn.TEXTSPLIT(M605,","),_xlfn.LAMBDA(_xlpm.x,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5">
        <f>'Audit Report'!F605</f>
        <v>0</v>
      </c>
      <c r="S605">
        <f>'Audit Report'!Q605</f>
        <v>0</v>
      </c>
    </row>
    <row r="606" spans="4:19">
      <c r="D606">
        <f>'Audit Report'!B606</f>
        <v>0</v>
      </c>
      <c r="E606">
        <f>'Audit Report'!C606</f>
        <v>0</v>
      </c>
      <c r="I606">
        <f>'Audit Report'!D606</f>
        <v>0</v>
      </c>
      <c r="J606">
        <f>'Audit Report'!H606</f>
        <v>0</v>
      </c>
      <c r="L606" t="str">
        <f>_xlfn.TEXTJOIN(", ", FALSE, 'Audit Report'!K606,'Audit Report'!L606,'Audit Report'!M606)</f>
        <v xml:space="preserve">, , </v>
      </c>
      <c r="M606">
        <f>'Audit Report'!O606</f>
        <v>0</v>
      </c>
      <c r="N606" t="str" cm="1">
        <f t="array" ref="N606">IF(M606="","",
_xlfn.TEXTJOIN(", ",TRUE,
    _xlfn.MAP(_xlfn.TEXTSPLIT(M606,","),_xlfn.LAMBDA(_xlpm.x,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6">
        <f>'Audit Report'!F606</f>
        <v>0</v>
      </c>
      <c r="S606">
        <f>'Audit Report'!Q606</f>
        <v>0</v>
      </c>
    </row>
    <row r="607" spans="4:19">
      <c r="D607">
        <f>'Audit Report'!B607</f>
        <v>0</v>
      </c>
      <c r="E607">
        <f>'Audit Report'!C607</f>
        <v>0</v>
      </c>
      <c r="I607">
        <f>'Audit Report'!D607</f>
        <v>0</v>
      </c>
      <c r="J607">
        <f>'Audit Report'!H607</f>
        <v>0</v>
      </c>
      <c r="L607" t="str">
        <f>_xlfn.TEXTJOIN(", ", FALSE, 'Audit Report'!K607,'Audit Report'!L607,'Audit Report'!M607)</f>
        <v xml:space="preserve">, , </v>
      </c>
      <c r="M607">
        <f>'Audit Report'!O607</f>
        <v>0</v>
      </c>
      <c r="N607" t="str" cm="1">
        <f t="array" ref="N607">IF(M607="","",
_xlfn.TEXTJOIN(", ",TRUE,
    _xlfn.MAP(_xlfn.TEXTSPLIT(M607,","),_xlfn.LAMBDA(_xlpm.x,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7">
        <f>'Audit Report'!F607</f>
        <v>0</v>
      </c>
      <c r="S607">
        <f>'Audit Report'!Q607</f>
        <v>0</v>
      </c>
    </row>
    <row r="608" spans="4:19">
      <c r="D608">
        <f>'Audit Report'!B608</f>
        <v>0</v>
      </c>
      <c r="E608">
        <f>'Audit Report'!C608</f>
        <v>0</v>
      </c>
      <c r="I608">
        <f>'Audit Report'!D608</f>
        <v>0</v>
      </c>
      <c r="J608">
        <f>'Audit Report'!H608</f>
        <v>0</v>
      </c>
      <c r="L608" t="str">
        <f>_xlfn.TEXTJOIN(", ", FALSE, 'Audit Report'!K608,'Audit Report'!L608,'Audit Report'!M608)</f>
        <v xml:space="preserve">, , </v>
      </c>
      <c r="M608">
        <f>'Audit Report'!O608</f>
        <v>0</v>
      </c>
      <c r="N608" t="str" cm="1">
        <f t="array" ref="N608">IF(M608="","",
_xlfn.TEXTJOIN(", ",TRUE,
    _xlfn.MAP(_xlfn.TEXTSPLIT(M608,","),_xlfn.LAMBDA(_xlpm.x,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8">
        <f>'Audit Report'!F608</f>
        <v>0</v>
      </c>
      <c r="S608">
        <f>'Audit Report'!Q608</f>
        <v>0</v>
      </c>
    </row>
    <row r="609" spans="4:19">
      <c r="D609">
        <f>'Audit Report'!B609</f>
        <v>0</v>
      </c>
      <c r="E609">
        <f>'Audit Report'!C609</f>
        <v>0</v>
      </c>
      <c r="I609">
        <f>'Audit Report'!D609</f>
        <v>0</v>
      </c>
      <c r="J609">
        <f>'Audit Report'!H609</f>
        <v>0</v>
      </c>
      <c r="L609" t="str">
        <f>_xlfn.TEXTJOIN(", ", FALSE, 'Audit Report'!K609,'Audit Report'!L609,'Audit Report'!M609)</f>
        <v xml:space="preserve">, , </v>
      </c>
      <c r="M609">
        <f>'Audit Report'!O609</f>
        <v>0</v>
      </c>
      <c r="N609" t="str" cm="1">
        <f t="array" ref="N609">IF(M609="","",
_xlfn.TEXTJOIN(", ",TRUE,
    _xlfn.MAP(_xlfn.TEXTSPLIT(M609,","),_xlfn.LAMBDA(_xlpm.x,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9">
        <f>'Audit Report'!F609</f>
        <v>0</v>
      </c>
      <c r="S609">
        <f>'Audit Report'!Q609</f>
        <v>0</v>
      </c>
    </row>
    <row r="610" spans="4:19">
      <c r="D610">
        <f>'Audit Report'!B610</f>
        <v>0</v>
      </c>
      <c r="E610">
        <f>'Audit Report'!C610</f>
        <v>0</v>
      </c>
      <c r="I610">
        <f>'Audit Report'!D610</f>
        <v>0</v>
      </c>
      <c r="J610">
        <f>'Audit Report'!H610</f>
        <v>0</v>
      </c>
      <c r="L610" t="str">
        <f>_xlfn.TEXTJOIN(", ", FALSE, 'Audit Report'!K610,'Audit Report'!L610,'Audit Report'!M610)</f>
        <v xml:space="preserve">, , </v>
      </c>
      <c r="M610">
        <f>'Audit Report'!O610</f>
        <v>0</v>
      </c>
      <c r="N610" t="str" cm="1">
        <f t="array" ref="N610">IF(M610="","",
_xlfn.TEXTJOIN(", ",TRUE,
    _xlfn.MAP(_xlfn.TEXTSPLIT(M610,","),_xlfn.LAMBDA(_xlpm.x,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0">
        <f>'Audit Report'!F610</f>
        <v>0</v>
      </c>
      <c r="S610">
        <f>'Audit Report'!Q610</f>
        <v>0</v>
      </c>
    </row>
    <row r="611" spans="4:19">
      <c r="D611">
        <f>'Audit Report'!B611</f>
        <v>0</v>
      </c>
      <c r="E611">
        <f>'Audit Report'!C611</f>
        <v>0</v>
      </c>
      <c r="I611">
        <f>'Audit Report'!D611</f>
        <v>0</v>
      </c>
      <c r="J611">
        <f>'Audit Report'!H611</f>
        <v>0</v>
      </c>
      <c r="L611" t="str">
        <f>_xlfn.TEXTJOIN(", ", FALSE, 'Audit Report'!K611,'Audit Report'!L611,'Audit Report'!M611)</f>
        <v xml:space="preserve">, , </v>
      </c>
      <c r="M611">
        <f>'Audit Report'!O611</f>
        <v>0</v>
      </c>
      <c r="N611" t="str" cm="1">
        <f t="array" ref="N611">IF(M611="","",
_xlfn.TEXTJOIN(", ",TRUE,
    _xlfn.MAP(_xlfn.TEXTSPLIT(M611,","),_xlfn.LAMBDA(_xlpm.x,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1">
        <f>'Audit Report'!F611</f>
        <v>0</v>
      </c>
      <c r="S611">
        <f>'Audit Report'!Q611</f>
        <v>0</v>
      </c>
    </row>
    <row r="612" spans="4:19">
      <c r="D612">
        <f>'Audit Report'!B612</f>
        <v>0</v>
      </c>
      <c r="E612">
        <f>'Audit Report'!C612</f>
        <v>0</v>
      </c>
      <c r="I612">
        <f>'Audit Report'!D612</f>
        <v>0</v>
      </c>
      <c r="J612">
        <f>'Audit Report'!H612</f>
        <v>0</v>
      </c>
      <c r="L612" t="str">
        <f>_xlfn.TEXTJOIN(", ", FALSE, 'Audit Report'!K612,'Audit Report'!L612,'Audit Report'!M612)</f>
        <v xml:space="preserve">, , </v>
      </c>
      <c r="M612">
        <f>'Audit Report'!O612</f>
        <v>0</v>
      </c>
      <c r="N612" t="str" cm="1">
        <f t="array" ref="N612">IF(M612="","",
_xlfn.TEXTJOIN(", ",TRUE,
    _xlfn.MAP(_xlfn.TEXTSPLIT(M612,","),_xlfn.LAMBDA(_xlpm.x,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2">
        <f>'Audit Report'!F612</f>
        <v>0</v>
      </c>
      <c r="S612">
        <f>'Audit Report'!Q612</f>
        <v>0</v>
      </c>
    </row>
    <row r="613" spans="4:19">
      <c r="D613">
        <f>'Audit Report'!B613</f>
        <v>0</v>
      </c>
      <c r="E613">
        <f>'Audit Report'!C613</f>
        <v>0</v>
      </c>
      <c r="I613">
        <f>'Audit Report'!D613</f>
        <v>0</v>
      </c>
      <c r="J613">
        <f>'Audit Report'!H613</f>
        <v>0</v>
      </c>
      <c r="L613" t="str">
        <f>_xlfn.TEXTJOIN(", ", FALSE, 'Audit Report'!K613,'Audit Report'!L613,'Audit Report'!M613)</f>
        <v xml:space="preserve">, , </v>
      </c>
      <c r="M613">
        <f>'Audit Report'!O613</f>
        <v>0</v>
      </c>
      <c r="N613" t="str" cm="1">
        <f t="array" ref="N613">IF(M613="","",
_xlfn.TEXTJOIN(", ",TRUE,
    _xlfn.MAP(_xlfn.TEXTSPLIT(M613,","),_xlfn.LAMBDA(_xlpm.x,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3">
        <f>'Audit Report'!F613</f>
        <v>0</v>
      </c>
      <c r="S613">
        <f>'Audit Report'!Q613</f>
        <v>0</v>
      </c>
    </row>
    <row r="614" spans="4:19">
      <c r="D614">
        <f>'Audit Report'!B614</f>
        <v>0</v>
      </c>
      <c r="E614">
        <f>'Audit Report'!C614</f>
        <v>0</v>
      </c>
      <c r="I614">
        <f>'Audit Report'!D614</f>
        <v>0</v>
      </c>
      <c r="J614">
        <f>'Audit Report'!H614</f>
        <v>0</v>
      </c>
      <c r="L614" t="str">
        <f>_xlfn.TEXTJOIN(", ", FALSE, 'Audit Report'!K614,'Audit Report'!L614,'Audit Report'!M614)</f>
        <v xml:space="preserve">, , </v>
      </c>
      <c r="M614">
        <f>'Audit Report'!O614</f>
        <v>0</v>
      </c>
      <c r="N614" t="str" cm="1">
        <f t="array" ref="N614">IF(M614="","",
_xlfn.TEXTJOIN(", ",TRUE,
    _xlfn.MAP(_xlfn.TEXTSPLIT(M614,","),_xlfn.LAMBDA(_xlpm.x,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4">
        <f>'Audit Report'!F614</f>
        <v>0</v>
      </c>
      <c r="S614">
        <f>'Audit Report'!Q614</f>
        <v>0</v>
      </c>
    </row>
    <row r="615" spans="4:19">
      <c r="D615">
        <f>'Audit Report'!B615</f>
        <v>0</v>
      </c>
      <c r="E615">
        <f>'Audit Report'!C615</f>
        <v>0</v>
      </c>
      <c r="I615">
        <f>'Audit Report'!D615</f>
        <v>0</v>
      </c>
      <c r="J615">
        <f>'Audit Report'!H615</f>
        <v>0</v>
      </c>
      <c r="L615" t="str">
        <f>_xlfn.TEXTJOIN(", ", FALSE, 'Audit Report'!K615,'Audit Report'!L615,'Audit Report'!M615)</f>
        <v xml:space="preserve">, , </v>
      </c>
      <c r="M615">
        <f>'Audit Report'!O615</f>
        <v>0</v>
      </c>
      <c r="N615" t="str" cm="1">
        <f t="array" ref="N615">IF(M615="","",
_xlfn.TEXTJOIN(", ",TRUE,
    _xlfn.MAP(_xlfn.TEXTSPLIT(M615,","),_xlfn.LAMBDA(_xlpm.x,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5">
        <f>'Audit Report'!F615</f>
        <v>0</v>
      </c>
      <c r="S615">
        <f>'Audit Report'!Q615</f>
        <v>0</v>
      </c>
    </row>
    <row r="616" spans="4:19">
      <c r="D616">
        <f>'Audit Report'!B616</f>
        <v>0</v>
      </c>
      <c r="E616">
        <f>'Audit Report'!C616</f>
        <v>0</v>
      </c>
      <c r="I616">
        <f>'Audit Report'!D616</f>
        <v>0</v>
      </c>
      <c r="J616">
        <f>'Audit Report'!H616</f>
        <v>0</v>
      </c>
      <c r="L616" t="str">
        <f>_xlfn.TEXTJOIN(", ", FALSE, 'Audit Report'!K616,'Audit Report'!L616,'Audit Report'!M616)</f>
        <v xml:space="preserve">, , </v>
      </c>
      <c r="M616">
        <f>'Audit Report'!O616</f>
        <v>0</v>
      </c>
      <c r="N616" t="str" cm="1">
        <f t="array" ref="N616">IF(M616="","",
_xlfn.TEXTJOIN(", ",TRUE,
    _xlfn.MAP(_xlfn.TEXTSPLIT(M616,","),_xlfn.LAMBDA(_xlpm.x,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6">
        <f>'Audit Report'!F616</f>
        <v>0</v>
      </c>
      <c r="S616">
        <f>'Audit Report'!Q616</f>
        <v>0</v>
      </c>
    </row>
    <row r="617" spans="4:19">
      <c r="D617">
        <f>'Audit Report'!B617</f>
        <v>0</v>
      </c>
      <c r="E617">
        <f>'Audit Report'!C617</f>
        <v>0</v>
      </c>
      <c r="I617">
        <f>'Audit Report'!D617</f>
        <v>0</v>
      </c>
      <c r="J617">
        <f>'Audit Report'!H617</f>
        <v>0</v>
      </c>
      <c r="L617" t="str">
        <f>_xlfn.TEXTJOIN(", ", FALSE, 'Audit Report'!K617,'Audit Report'!L617,'Audit Report'!M617)</f>
        <v xml:space="preserve">, , </v>
      </c>
      <c r="M617">
        <f>'Audit Report'!O617</f>
        <v>0</v>
      </c>
      <c r="N617" t="str" cm="1">
        <f t="array" ref="N617">IF(M617="","",
_xlfn.TEXTJOIN(", ",TRUE,
    _xlfn.MAP(_xlfn.TEXTSPLIT(M617,","),_xlfn.LAMBDA(_xlpm.x,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7">
        <f>'Audit Report'!F617</f>
        <v>0</v>
      </c>
      <c r="S617">
        <f>'Audit Report'!Q617</f>
        <v>0</v>
      </c>
    </row>
    <row r="618" spans="4:19">
      <c r="D618">
        <f>'Audit Report'!B618</f>
        <v>0</v>
      </c>
      <c r="E618">
        <f>'Audit Report'!C618</f>
        <v>0</v>
      </c>
      <c r="I618">
        <f>'Audit Report'!D618</f>
        <v>0</v>
      </c>
      <c r="J618">
        <f>'Audit Report'!H618</f>
        <v>0</v>
      </c>
      <c r="L618" t="str">
        <f>_xlfn.TEXTJOIN(", ", FALSE, 'Audit Report'!K618,'Audit Report'!L618,'Audit Report'!M618)</f>
        <v xml:space="preserve">, , </v>
      </c>
      <c r="M618">
        <f>'Audit Report'!O618</f>
        <v>0</v>
      </c>
      <c r="N618" t="str" cm="1">
        <f t="array" ref="N618">IF(M618="","",
_xlfn.TEXTJOIN(", ",TRUE,
    _xlfn.MAP(_xlfn.TEXTSPLIT(M618,","),_xlfn.LAMBDA(_xlpm.x,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8">
        <f>'Audit Report'!F618</f>
        <v>0</v>
      </c>
      <c r="S618">
        <f>'Audit Report'!Q618</f>
        <v>0</v>
      </c>
    </row>
    <row r="619" spans="4:19">
      <c r="D619">
        <f>'Audit Report'!B619</f>
        <v>0</v>
      </c>
      <c r="E619">
        <f>'Audit Report'!C619</f>
        <v>0</v>
      </c>
      <c r="I619">
        <f>'Audit Report'!D619</f>
        <v>0</v>
      </c>
      <c r="J619">
        <f>'Audit Report'!H619</f>
        <v>0</v>
      </c>
      <c r="L619" t="str">
        <f>_xlfn.TEXTJOIN(", ", FALSE, 'Audit Report'!K619,'Audit Report'!L619,'Audit Report'!M619)</f>
        <v xml:space="preserve">, , </v>
      </c>
      <c r="M619">
        <f>'Audit Report'!O619</f>
        <v>0</v>
      </c>
      <c r="N619" t="str" cm="1">
        <f t="array" ref="N619">IF(M619="","",
_xlfn.TEXTJOIN(", ",TRUE,
    _xlfn.MAP(_xlfn.TEXTSPLIT(M619,","),_xlfn.LAMBDA(_xlpm.x,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9">
        <f>'Audit Report'!F619</f>
        <v>0</v>
      </c>
      <c r="S619">
        <f>'Audit Report'!Q619</f>
        <v>0</v>
      </c>
    </row>
    <row r="620" spans="4:19">
      <c r="D620">
        <f>'Audit Report'!B620</f>
        <v>0</v>
      </c>
      <c r="E620">
        <f>'Audit Report'!C620</f>
        <v>0</v>
      </c>
      <c r="I620">
        <f>'Audit Report'!D620</f>
        <v>0</v>
      </c>
      <c r="J620">
        <f>'Audit Report'!H620</f>
        <v>0</v>
      </c>
      <c r="L620" t="str">
        <f>_xlfn.TEXTJOIN(", ", FALSE, 'Audit Report'!K620,'Audit Report'!L620,'Audit Report'!M620)</f>
        <v xml:space="preserve">, , </v>
      </c>
      <c r="M620">
        <f>'Audit Report'!O620</f>
        <v>0</v>
      </c>
      <c r="N620" t="str" cm="1">
        <f t="array" ref="N620">IF(M620="","",
_xlfn.TEXTJOIN(", ",TRUE,
    _xlfn.MAP(_xlfn.TEXTSPLIT(M620,","),_xlfn.LAMBDA(_xlpm.x,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0">
        <f>'Audit Report'!F620</f>
        <v>0</v>
      </c>
      <c r="S620">
        <f>'Audit Report'!Q620</f>
        <v>0</v>
      </c>
    </row>
    <row r="621" spans="4:19">
      <c r="D621">
        <f>'Audit Report'!B621</f>
        <v>0</v>
      </c>
      <c r="E621">
        <f>'Audit Report'!C621</f>
        <v>0</v>
      </c>
      <c r="I621">
        <f>'Audit Report'!D621</f>
        <v>0</v>
      </c>
      <c r="J621">
        <f>'Audit Report'!H621</f>
        <v>0</v>
      </c>
      <c r="L621" t="str">
        <f>_xlfn.TEXTJOIN(", ", FALSE, 'Audit Report'!K621,'Audit Report'!L621,'Audit Report'!M621)</f>
        <v xml:space="preserve">, , </v>
      </c>
      <c r="M621">
        <f>'Audit Report'!O621</f>
        <v>0</v>
      </c>
      <c r="N621" t="str" cm="1">
        <f t="array" ref="N621">IF(M621="","",
_xlfn.TEXTJOIN(", ",TRUE,
    _xlfn.MAP(_xlfn.TEXTSPLIT(M621,","),_xlfn.LAMBDA(_xlpm.x,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1">
        <f>'Audit Report'!F621</f>
        <v>0</v>
      </c>
      <c r="S621">
        <f>'Audit Report'!Q621</f>
        <v>0</v>
      </c>
    </row>
    <row r="622" spans="4:19">
      <c r="D622">
        <f>'Audit Report'!B622</f>
        <v>0</v>
      </c>
      <c r="E622">
        <f>'Audit Report'!C622</f>
        <v>0</v>
      </c>
      <c r="I622">
        <f>'Audit Report'!D622</f>
        <v>0</v>
      </c>
      <c r="J622">
        <f>'Audit Report'!H622</f>
        <v>0</v>
      </c>
      <c r="L622" t="str">
        <f>_xlfn.TEXTJOIN(", ", FALSE, 'Audit Report'!K622,'Audit Report'!L622,'Audit Report'!M622)</f>
        <v xml:space="preserve">, , </v>
      </c>
      <c r="M622">
        <f>'Audit Report'!O622</f>
        <v>0</v>
      </c>
      <c r="N622" t="str" cm="1">
        <f t="array" ref="N622">IF(M622="","",
_xlfn.TEXTJOIN(", ",TRUE,
    _xlfn.MAP(_xlfn.TEXTSPLIT(M622,","),_xlfn.LAMBDA(_xlpm.x,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2">
        <f>'Audit Report'!F622</f>
        <v>0</v>
      </c>
      <c r="S622">
        <f>'Audit Report'!Q622</f>
        <v>0</v>
      </c>
    </row>
    <row r="623" spans="4:19">
      <c r="D623">
        <f>'Audit Report'!B623</f>
        <v>0</v>
      </c>
      <c r="E623">
        <f>'Audit Report'!C623</f>
        <v>0</v>
      </c>
      <c r="I623">
        <f>'Audit Report'!D623</f>
        <v>0</v>
      </c>
      <c r="J623">
        <f>'Audit Report'!H623</f>
        <v>0</v>
      </c>
      <c r="L623" t="str">
        <f>_xlfn.TEXTJOIN(", ", FALSE, 'Audit Report'!K623,'Audit Report'!L623,'Audit Report'!M623)</f>
        <v xml:space="preserve">, , </v>
      </c>
      <c r="M623">
        <f>'Audit Report'!O623</f>
        <v>0</v>
      </c>
      <c r="N623" t="str" cm="1">
        <f t="array" ref="N623">IF(M623="","",
_xlfn.TEXTJOIN(", ",TRUE,
    _xlfn.MAP(_xlfn.TEXTSPLIT(M623,","),_xlfn.LAMBDA(_xlpm.x,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3">
        <f>'Audit Report'!F623</f>
        <v>0</v>
      </c>
      <c r="S623">
        <f>'Audit Report'!Q623</f>
        <v>0</v>
      </c>
    </row>
    <row r="624" spans="4:19">
      <c r="D624">
        <f>'Audit Report'!B624</f>
        <v>0</v>
      </c>
      <c r="E624">
        <f>'Audit Report'!C624</f>
        <v>0</v>
      </c>
      <c r="I624">
        <f>'Audit Report'!D624</f>
        <v>0</v>
      </c>
      <c r="J624">
        <f>'Audit Report'!H624</f>
        <v>0</v>
      </c>
      <c r="L624" t="str">
        <f>_xlfn.TEXTJOIN(", ", FALSE, 'Audit Report'!K624,'Audit Report'!L624,'Audit Report'!M624)</f>
        <v xml:space="preserve">, , </v>
      </c>
      <c r="M624">
        <f>'Audit Report'!O624</f>
        <v>0</v>
      </c>
      <c r="N624" t="str" cm="1">
        <f t="array" ref="N624">IF(M624="","",
_xlfn.TEXTJOIN(", ",TRUE,
    _xlfn.MAP(_xlfn.TEXTSPLIT(M624,","),_xlfn.LAMBDA(_xlpm.x,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4">
        <f>'Audit Report'!F624</f>
        <v>0</v>
      </c>
      <c r="S624">
        <f>'Audit Report'!Q624</f>
        <v>0</v>
      </c>
    </row>
    <row r="625" spans="4:19">
      <c r="D625">
        <f>'Audit Report'!B625</f>
        <v>0</v>
      </c>
      <c r="E625">
        <f>'Audit Report'!C625</f>
        <v>0</v>
      </c>
      <c r="I625">
        <f>'Audit Report'!D625</f>
        <v>0</v>
      </c>
      <c r="J625">
        <f>'Audit Report'!H625</f>
        <v>0</v>
      </c>
      <c r="L625" t="str">
        <f>_xlfn.TEXTJOIN(", ", FALSE, 'Audit Report'!K625,'Audit Report'!L625,'Audit Report'!M625)</f>
        <v xml:space="preserve">, , </v>
      </c>
      <c r="M625">
        <f>'Audit Report'!O625</f>
        <v>0</v>
      </c>
      <c r="N625" t="str" cm="1">
        <f t="array" ref="N625">IF(M625="","",
_xlfn.TEXTJOIN(", ",TRUE,
    _xlfn.MAP(_xlfn.TEXTSPLIT(M625,","),_xlfn.LAMBDA(_xlpm.x,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5">
        <f>'Audit Report'!F625</f>
        <v>0</v>
      </c>
      <c r="S625">
        <f>'Audit Report'!Q625</f>
        <v>0</v>
      </c>
    </row>
    <row r="626" spans="4:19">
      <c r="D626">
        <f>'Audit Report'!B626</f>
        <v>0</v>
      </c>
      <c r="E626">
        <f>'Audit Report'!C626</f>
        <v>0</v>
      </c>
      <c r="I626">
        <f>'Audit Report'!D626</f>
        <v>0</v>
      </c>
      <c r="J626">
        <f>'Audit Report'!H626</f>
        <v>0</v>
      </c>
      <c r="L626" t="str">
        <f>_xlfn.TEXTJOIN(", ", FALSE, 'Audit Report'!K626,'Audit Report'!L626,'Audit Report'!M626)</f>
        <v xml:space="preserve">, , </v>
      </c>
      <c r="M626">
        <f>'Audit Report'!O626</f>
        <v>0</v>
      </c>
      <c r="N626" t="str" cm="1">
        <f t="array" ref="N626">IF(M626="","",
_xlfn.TEXTJOIN(", ",TRUE,
    _xlfn.MAP(_xlfn.TEXTSPLIT(M626,","),_xlfn.LAMBDA(_xlpm.x,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6">
        <f>'Audit Report'!F626</f>
        <v>0</v>
      </c>
      <c r="S626">
        <f>'Audit Report'!Q626</f>
        <v>0</v>
      </c>
    </row>
    <row r="627" spans="4:19">
      <c r="D627">
        <f>'Audit Report'!B627</f>
        <v>0</v>
      </c>
      <c r="E627">
        <f>'Audit Report'!C627</f>
        <v>0</v>
      </c>
      <c r="I627">
        <f>'Audit Report'!D627</f>
        <v>0</v>
      </c>
      <c r="J627">
        <f>'Audit Report'!H627</f>
        <v>0</v>
      </c>
      <c r="L627" t="str">
        <f>_xlfn.TEXTJOIN(", ", FALSE, 'Audit Report'!K627,'Audit Report'!L627,'Audit Report'!M627)</f>
        <v xml:space="preserve">, , </v>
      </c>
      <c r="M627">
        <f>'Audit Report'!O627</f>
        <v>0</v>
      </c>
      <c r="N627" t="str" cm="1">
        <f t="array" ref="N627">IF(M627="","",
_xlfn.TEXTJOIN(", ",TRUE,
    _xlfn.MAP(_xlfn.TEXTSPLIT(M627,","),_xlfn.LAMBDA(_xlpm.x,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7">
        <f>'Audit Report'!F627</f>
        <v>0</v>
      </c>
      <c r="S627">
        <f>'Audit Report'!Q627</f>
        <v>0</v>
      </c>
    </row>
    <row r="628" spans="4:19">
      <c r="D628">
        <f>'Audit Report'!B628</f>
        <v>0</v>
      </c>
      <c r="E628">
        <f>'Audit Report'!C628</f>
        <v>0</v>
      </c>
      <c r="I628">
        <f>'Audit Report'!D628</f>
        <v>0</v>
      </c>
      <c r="J628">
        <f>'Audit Report'!H628</f>
        <v>0</v>
      </c>
      <c r="L628" t="str">
        <f>_xlfn.TEXTJOIN(", ", FALSE, 'Audit Report'!K628,'Audit Report'!L628,'Audit Report'!M628)</f>
        <v xml:space="preserve">, , </v>
      </c>
      <c r="M628">
        <f>'Audit Report'!O628</f>
        <v>0</v>
      </c>
      <c r="N628" t="str" cm="1">
        <f t="array" ref="N628">IF(M628="","",
_xlfn.TEXTJOIN(", ",TRUE,
    _xlfn.MAP(_xlfn.TEXTSPLIT(M628,","),_xlfn.LAMBDA(_xlpm.x,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8">
        <f>'Audit Report'!F628</f>
        <v>0</v>
      </c>
      <c r="S628">
        <f>'Audit Report'!Q628</f>
        <v>0</v>
      </c>
    </row>
    <row r="629" spans="4:19">
      <c r="D629">
        <f>'Audit Report'!B629</f>
        <v>0</v>
      </c>
      <c r="E629">
        <f>'Audit Report'!C629</f>
        <v>0</v>
      </c>
      <c r="I629">
        <f>'Audit Report'!D629</f>
        <v>0</v>
      </c>
      <c r="J629">
        <f>'Audit Report'!H629</f>
        <v>0</v>
      </c>
      <c r="L629" t="str">
        <f>_xlfn.TEXTJOIN(", ", FALSE, 'Audit Report'!K629,'Audit Report'!L629,'Audit Report'!M629)</f>
        <v xml:space="preserve">, , </v>
      </c>
      <c r="M629">
        <f>'Audit Report'!O629</f>
        <v>0</v>
      </c>
      <c r="N629" t="str" cm="1">
        <f t="array" ref="N629">IF(M629="","",
_xlfn.TEXTJOIN(", ",TRUE,
    _xlfn.MAP(_xlfn.TEXTSPLIT(M629,","),_xlfn.LAMBDA(_xlpm.x,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9">
        <f>'Audit Report'!F629</f>
        <v>0</v>
      </c>
      <c r="S629">
        <f>'Audit Report'!Q629</f>
        <v>0</v>
      </c>
    </row>
    <row r="630" spans="4:19">
      <c r="D630">
        <f>'Audit Report'!B630</f>
        <v>0</v>
      </c>
      <c r="E630">
        <f>'Audit Report'!C630</f>
        <v>0</v>
      </c>
      <c r="I630">
        <f>'Audit Report'!D630</f>
        <v>0</v>
      </c>
      <c r="J630">
        <f>'Audit Report'!H630</f>
        <v>0</v>
      </c>
      <c r="L630" t="str">
        <f>_xlfn.TEXTJOIN(", ", FALSE, 'Audit Report'!K630,'Audit Report'!L630,'Audit Report'!M630)</f>
        <v xml:space="preserve">, , </v>
      </c>
      <c r="M630">
        <f>'Audit Report'!O630</f>
        <v>0</v>
      </c>
      <c r="N630" t="str" cm="1">
        <f t="array" ref="N630">IF(M630="","",
_xlfn.TEXTJOIN(", ",TRUE,
    _xlfn.MAP(_xlfn.TEXTSPLIT(M630,","),_xlfn.LAMBDA(_xlpm.x,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0">
        <f>'Audit Report'!F630</f>
        <v>0</v>
      </c>
      <c r="S630">
        <f>'Audit Report'!Q630</f>
        <v>0</v>
      </c>
    </row>
    <row r="631" spans="4:19">
      <c r="D631">
        <f>'Audit Report'!B631</f>
        <v>0</v>
      </c>
      <c r="E631">
        <f>'Audit Report'!C631</f>
        <v>0</v>
      </c>
      <c r="I631">
        <f>'Audit Report'!D631</f>
        <v>0</v>
      </c>
      <c r="J631">
        <f>'Audit Report'!H631</f>
        <v>0</v>
      </c>
      <c r="L631" t="str">
        <f>_xlfn.TEXTJOIN(", ", FALSE, 'Audit Report'!K631,'Audit Report'!L631,'Audit Report'!M631)</f>
        <v xml:space="preserve">, , </v>
      </c>
      <c r="M631">
        <f>'Audit Report'!O631</f>
        <v>0</v>
      </c>
      <c r="N631" t="str" cm="1">
        <f t="array" ref="N631">IF(M631="","",
_xlfn.TEXTJOIN(", ",TRUE,
    _xlfn.MAP(_xlfn.TEXTSPLIT(M631,","),_xlfn.LAMBDA(_xlpm.x,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1">
        <f>'Audit Report'!F631</f>
        <v>0</v>
      </c>
      <c r="S631">
        <f>'Audit Report'!Q631</f>
        <v>0</v>
      </c>
    </row>
    <row r="632" spans="4:19">
      <c r="D632">
        <f>'Audit Report'!B632</f>
        <v>0</v>
      </c>
      <c r="E632">
        <f>'Audit Report'!C632</f>
        <v>0</v>
      </c>
      <c r="I632">
        <f>'Audit Report'!D632</f>
        <v>0</v>
      </c>
      <c r="J632">
        <f>'Audit Report'!H632</f>
        <v>0</v>
      </c>
      <c r="L632" t="str">
        <f>_xlfn.TEXTJOIN(", ", FALSE, 'Audit Report'!K632,'Audit Report'!L632,'Audit Report'!M632)</f>
        <v xml:space="preserve">, , </v>
      </c>
      <c r="M632">
        <f>'Audit Report'!O632</f>
        <v>0</v>
      </c>
      <c r="N632" t="str" cm="1">
        <f t="array" ref="N632">IF(M632="","",
_xlfn.TEXTJOIN(", ",TRUE,
    _xlfn.MAP(_xlfn.TEXTSPLIT(M632,","),_xlfn.LAMBDA(_xlpm.x,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2">
        <f>'Audit Report'!F632</f>
        <v>0</v>
      </c>
      <c r="S632">
        <f>'Audit Report'!Q632</f>
        <v>0</v>
      </c>
    </row>
    <row r="633" spans="4:19">
      <c r="D633">
        <f>'Audit Report'!B633</f>
        <v>0</v>
      </c>
      <c r="E633">
        <f>'Audit Report'!C633</f>
        <v>0</v>
      </c>
      <c r="I633">
        <f>'Audit Report'!D633</f>
        <v>0</v>
      </c>
      <c r="J633">
        <f>'Audit Report'!H633</f>
        <v>0</v>
      </c>
      <c r="L633" t="str">
        <f>_xlfn.TEXTJOIN(", ", FALSE, 'Audit Report'!K633,'Audit Report'!L633,'Audit Report'!M633)</f>
        <v xml:space="preserve">, , </v>
      </c>
      <c r="M633">
        <f>'Audit Report'!O633</f>
        <v>0</v>
      </c>
      <c r="N633" t="str" cm="1">
        <f t="array" ref="N633">IF(M633="","",
_xlfn.TEXTJOIN(", ",TRUE,
    _xlfn.MAP(_xlfn.TEXTSPLIT(M633,","),_xlfn.LAMBDA(_xlpm.x,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3">
        <f>'Audit Report'!F633</f>
        <v>0</v>
      </c>
      <c r="S633">
        <f>'Audit Report'!Q633</f>
        <v>0</v>
      </c>
    </row>
    <row r="634" spans="4:19">
      <c r="D634">
        <f>'Audit Report'!B634</f>
        <v>0</v>
      </c>
      <c r="E634">
        <f>'Audit Report'!C634</f>
        <v>0</v>
      </c>
      <c r="I634">
        <f>'Audit Report'!D634</f>
        <v>0</v>
      </c>
      <c r="J634">
        <f>'Audit Report'!H634</f>
        <v>0</v>
      </c>
      <c r="L634" t="str">
        <f>_xlfn.TEXTJOIN(", ", FALSE, 'Audit Report'!K634,'Audit Report'!L634,'Audit Report'!M634)</f>
        <v xml:space="preserve">, , </v>
      </c>
      <c r="M634">
        <f>'Audit Report'!O634</f>
        <v>0</v>
      </c>
      <c r="N634" t="str" cm="1">
        <f t="array" ref="N634">IF(M634="","",
_xlfn.TEXTJOIN(", ",TRUE,
    _xlfn.MAP(_xlfn.TEXTSPLIT(M634,","),_xlfn.LAMBDA(_xlpm.x,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4">
        <f>'Audit Report'!F634</f>
        <v>0</v>
      </c>
      <c r="S634">
        <f>'Audit Report'!Q634</f>
        <v>0</v>
      </c>
    </row>
    <row r="635" spans="4:19">
      <c r="D635">
        <f>'Audit Report'!B635</f>
        <v>0</v>
      </c>
      <c r="E635">
        <f>'Audit Report'!C635</f>
        <v>0</v>
      </c>
      <c r="I635">
        <f>'Audit Report'!D635</f>
        <v>0</v>
      </c>
      <c r="J635">
        <f>'Audit Report'!H635</f>
        <v>0</v>
      </c>
      <c r="L635" t="str">
        <f>_xlfn.TEXTJOIN(", ", FALSE, 'Audit Report'!K635,'Audit Report'!L635,'Audit Report'!M635)</f>
        <v xml:space="preserve">, , </v>
      </c>
      <c r="M635">
        <f>'Audit Report'!O635</f>
        <v>0</v>
      </c>
      <c r="N635" t="str" cm="1">
        <f t="array" ref="N635">IF(M635="","",
_xlfn.TEXTJOIN(", ",TRUE,
    _xlfn.MAP(_xlfn.TEXTSPLIT(M635,","),_xlfn.LAMBDA(_xlpm.x,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5">
        <f>'Audit Report'!F635</f>
        <v>0</v>
      </c>
      <c r="S635">
        <f>'Audit Report'!Q635</f>
        <v>0</v>
      </c>
    </row>
    <row r="636" spans="4:19">
      <c r="D636">
        <f>'Audit Report'!B636</f>
        <v>0</v>
      </c>
      <c r="E636">
        <f>'Audit Report'!C636</f>
        <v>0</v>
      </c>
      <c r="I636">
        <f>'Audit Report'!D636</f>
        <v>0</v>
      </c>
      <c r="J636">
        <f>'Audit Report'!H636</f>
        <v>0</v>
      </c>
      <c r="L636" t="str">
        <f>_xlfn.TEXTJOIN(", ", FALSE, 'Audit Report'!K636,'Audit Report'!L636,'Audit Report'!M636)</f>
        <v xml:space="preserve">, , </v>
      </c>
      <c r="M636">
        <f>'Audit Report'!O636</f>
        <v>0</v>
      </c>
      <c r="N636" t="str" cm="1">
        <f t="array" ref="N636">IF(M636="","",
_xlfn.TEXTJOIN(", ",TRUE,
    _xlfn.MAP(_xlfn.TEXTSPLIT(M636,","),_xlfn.LAMBDA(_xlpm.x,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6">
        <f>'Audit Report'!F636</f>
        <v>0</v>
      </c>
      <c r="S636">
        <f>'Audit Report'!Q636</f>
        <v>0</v>
      </c>
    </row>
    <row r="637" spans="4:19">
      <c r="D637">
        <f>'Audit Report'!B637</f>
        <v>0</v>
      </c>
      <c r="E637">
        <f>'Audit Report'!C637</f>
        <v>0</v>
      </c>
      <c r="I637">
        <f>'Audit Report'!D637</f>
        <v>0</v>
      </c>
      <c r="J637">
        <f>'Audit Report'!H637</f>
        <v>0</v>
      </c>
      <c r="L637" t="str">
        <f>_xlfn.TEXTJOIN(", ", FALSE, 'Audit Report'!K637,'Audit Report'!L637,'Audit Report'!M637)</f>
        <v xml:space="preserve">, , </v>
      </c>
      <c r="M637">
        <f>'Audit Report'!O637</f>
        <v>0</v>
      </c>
      <c r="N637" t="str" cm="1">
        <f t="array" ref="N637">IF(M637="","",
_xlfn.TEXTJOIN(", ",TRUE,
    _xlfn.MAP(_xlfn.TEXTSPLIT(M637,","),_xlfn.LAMBDA(_xlpm.x,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7">
        <f>'Audit Report'!F637</f>
        <v>0</v>
      </c>
      <c r="S637">
        <f>'Audit Report'!Q637</f>
        <v>0</v>
      </c>
    </row>
    <row r="638" spans="4:19">
      <c r="D638">
        <f>'Audit Report'!B638</f>
        <v>0</v>
      </c>
      <c r="E638">
        <f>'Audit Report'!C638</f>
        <v>0</v>
      </c>
      <c r="I638">
        <f>'Audit Report'!D638</f>
        <v>0</v>
      </c>
      <c r="J638">
        <f>'Audit Report'!H638</f>
        <v>0</v>
      </c>
      <c r="L638" t="str">
        <f>_xlfn.TEXTJOIN(", ", FALSE, 'Audit Report'!K638,'Audit Report'!L638,'Audit Report'!M638)</f>
        <v xml:space="preserve">, , </v>
      </c>
      <c r="M638">
        <f>'Audit Report'!O638</f>
        <v>0</v>
      </c>
      <c r="N638" t="str" cm="1">
        <f t="array" ref="N638">IF(M638="","",
_xlfn.TEXTJOIN(", ",TRUE,
    _xlfn.MAP(_xlfn.TEXTSPLIT(M638,","),_xlfn.LAMBDA(_xlpm.x,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8">
        <f>'Audit Report'!F638</f>
        <v>0</v>
      </c>
      <c r="S638">
        <f>'Audit Report'!Q638</f>
        <v>0</v>
      </c>
    </row>
    <row r="639" spans="4:19">
      <c r="D639">
        <f>'Audit Report'!B639</f>
        <v>0</v>
      </c>
      <c r="E639">
        <f>'Audit Report'!C639</f>
        <v>0</v>
      </c>
      <c r="I639">
        <f>'Audit Report'!D639</f>
        <v>0</v>
      </c>
      <c r="J639">
        <f>'Audit Report'!H639</f>
        <v>0</v>
      </c>
      <c r="L639" t="str">
        <f>_xlfn.TEXTJOIN(", ", FALSE, 'Audit Report'!K639,'Audit Report'!L639,'Audit Report'!M639)</f>
        <v xml:space="preserve">, , </v>
      </c>
      <c r="M639">
        <f>'Audit Report'!O639</f>
        <v>0</v>
      </c>
      <c r="N639" t="str" cm="1">
        <f t="array" ref="N639">IF(M639="","",
_xlfn.TEXTJOIN(", ",TRUE,
    _xlfn.MAP(_xlfn.TEXTSPLIT(M639,","),_xlfn.LAMBDA(_xlpm.x,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9">
        <f>'Audit Report'!F639</f>
        <v>0</v>
      </c>
      <c r="S639">
        <f>'Audit Report'!Q639</f>
        <v>0</v>
      </c>
    </row>
    <row r="640" spans="4:19">
      <c r="D640">
        <f>'Audit Report'!B640</f>
        <v>0</v>
      </c>
      <c r="E640">
        <f>'Audit Report'!C640</f>
        <v>0</v>
      </c>
      <c r="I640">
        <f>'Audit Report'!D640</f>
        <v>0</v>
      </c>
      <c r="J640">
        <f>'Audit Report'!H640</f>
        <v>0</v>
      </c>
      <c r="L640" t="str">
        <f>_xlfn.TEXTJOIN(", ", FALSE, 'Audit Report'!K640,'Audit Report'!L640,'Audit Report'!M640)</f>
        <v xml:space="preserve">, , </v>
      </c>
      <c r="M640">
        <f>'Audit Report'!O640</f>
        <v>0</v>
      </c>
      <c r="N640" t="str" cm="1">
        <f t="array" ref="N640">IF(M640="","",
_xlfn.TEXTJOIN(", ",TRUE,
    _xlfn.MAP(_xlfn.TEXTSPLIT(M640,","),_xlfn.LAMBDA(_xlpm.x,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0">
        <f>'Audit Report'!F640</f>
        <v>0</v>
      </c>
      <c r="S640">
        <f>'Audit Report'!Q640</f>
        <v>0</v>
      </c>
    </row>
    <row r="641" spans="4:19">
      <c r="D641">
        <f>'Audit Report'!B641</f>
        <v>0</v>
      </c>
      <c r="E641">
        <f>'Audit Report'!C641</f>
        <v>0</v>
      </c>
      <c r="I641">
        <f>'Audit Report'!D641</f>
        <v>0</v>
      </c>
      <c r="J641">
        <f>'Audit Report'!H641</f>
        <v>0</v>
      </c>
      <c r="L641" t="str">
        <f>_xlfn.TEXTJOIN(", ", FALSE, 'Audit Report'!K641,'Audit Report'!L641,'Audit Report'!M641)</f>
        <v xml:space="preserve">, , </v>
      </c>
      <c r="M641">
        <f>'Audit Report'!O641</f>
        <v>0</v>
      </c>
      <c r="N641" t="str" cm="1">
        <f t="array" ref="N641">IF(M641="","",
_xlfn.TEXTJOIN(", ",TRUE,
    _xlfn.MAP(_xlfn.TEXTSPLIT(M641,","),_xlfn.LAMBDA(_xlpm.x,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1">
        <f>'Audit Report'!F641</f>
        <v>0</v>
      </c>
      <c r="S641">
        <f>'Audit Report'!Q641</f>
        <v>0</v>
      </c>
    </row>
    <row r="642" spans="4:19">
      <c r="D642">
        <f>'Audit Report'!B642</f>
        <v>0</v>
      </c>
      <c r="E642">
        <f>'Audit Report'!C642</f>
        <v>0</v>
      </c>
      <c r="I642">
        <f>'Audit Report'!D642</f>
        <v>0</v>
      </c>
      <c r="J642">
        <f>'Audit Report'!H642</f>
        <v>0</v>
      </c>
      <c r="L642" t="str">
        <f>_xlfn.TEXTJOIN(", ", FALSE, 'Audit Report'!K642,'Audit Report'!L642,'Audit Report'!M642)</f>
        <v xml:space="preserve">, , </v>
      </c>
      <c r="M642">
        <f>'Audit Report'!O642</f>
        <v>0</v>
      </c>
      <c r="N642" t="str" cm="1">
        <f t="array" ref="N642">IF(M642="","",
_xlfn.TEXTJOIN(", ",TRUE,
    _xlfn.MAP(_xlfn.TEXTSPLIT(M642,","),_xlfn.LAMBDA(_xlpm.x,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2">
        <f>'Audit Report'!F642</f>
        <v>0</v>
      </c>
      <c r="S642">
        <f>'Audit Report'!Q642</f>
        <v>0</v>
      </c>
    </row>
    <row r="643" spans="4:19">
      <c r="D643">
        <f>'Audit Report'!B643</f>
        <v>0</v>
      </c>
      <c r="E643">
        <f>'Audit Report'!C643</f>
        <v>0</v>
      </c>
      <c r="I643">
        <f>'Audit Report'!D643</f>
        <v>0</v>
      </c>
      <c r="J643">
        <f>'Audit Report'!H643</f>
        <v>0</v>
      </c>
      <c r="L643" t="str">
        <f>_xlfn.TEXTJOIN(", ", FALSE, 'Audit Report'!K643,'Audit Report'!L643,'Audit Report'!M643)</f>
        <v xml:space="preserve">, , </v>
      </c>
      <c r="M643">
        <f>'Audit Report'!O643</f>
        <v>0</v>
      </c>
      <c r="N643" t="str" cm="1">
        <f t="array" ref="N643">IF(M643="","",
_xlfn.TEXTJOIN(", ",TRUE,
    _xlfn.MAP(_xlfn.TEXTSPLIT(M643,","),_xlfn.LAMBDA(_xlpm.x,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3">
        <f>'Audit Report'!F643</f>
        <v>0</v>
      </c>
      <c r="S643">
        <f>'Audit Report'!Q643</f>
        <v>0</v>
      </c>
    </row>
    <row r="644" spans="4:19">
      <c r="D644">
        <f>'Audit Report'!B644</f>
        <v>0</v>
      </c>
      <c r="E644">
        <f>'Audit Report'!C644</f>
        <v>0</v>
      </c>
      <c r="I644">
        <f>'Audit Report'!D644</f>
        <v>0</v>
      </c>
      <c r="J644">
        <f>'Audit Report'!H644</f>
        <v>0</v>
      </c>
      <c r="L644" t="str">
        <f>_xlfn.TEXTJOIN(", ", FALSE, 'Audit Report'!K644,'Audit Report'!L644,'Audit Report'!M644)</f>
        <v xml:space="preserve">, , </v>
      </c>
      <c r="M644">
        <f>'Audit Report'!O644</f>
        <v>0</v>
      </c>
      <c r="N644" t="str" cm="1">
        <f t="array" ref="N644">IF(M644="","",
_xlfn.TEXTJOIN(", ",TRUE,
    _xlfn.MAP(_xlfn.TEXTSPLIT(M644,","),_xlfn.LAMBDA(_xlpm.x,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4">
        <f>'Audit Report'!F644</f>
        <v>0</v>
      </c>
      <c r="S644">
        <f>'Audit Report'!Q644</f>
        <v>0</v>
      </c>
    </row>
    <row r="645" spans="4:19">
      <c r="D645">
        <f>'Audit Report'!B645</f>
        <v>0</v>
      </c>
      <c r="E645">
        <f>'Audit Report'!C645</f>
        <v>0</v>
      </c>
      <c r="I645">
        <f>'Audit Report'!D645</f>
        <v>0</v>
      </c>
      <c r="J645">
        <f>'Audit Report'!H645</f>
        <v>0</v>
      </c>
      <c r="L645" t="str">
        <f>_xlfn.TEXTJOIN(", ", FALSE, 'Audit Report'!K645,'Audit Report'!L645,'Audit Report'!M645)</f>
        <v xml:space="preserve">, , </v>
      </c>
      <c r="M645">
        <f>'Audit Report'!O645</f>
        <v>0</v>
      </c>
      <c r="N645" t="str" cm="1">
        <f t="array" ref="N645">IF(M645="","",
_xlfn.TEXTJOIN(", ",TRUE,
    _xlfn.MAP(_xlfn.TEXTSPLIT(M645,","),_xlfn.LAMBDA(_xlpm.x,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5">
        <f>'Audit Report'!F645</f>
        <v>0</v>
      </c>
      <c r="S645">
        <f>'Audit Report'!Q645</f>
        <v>0</v>
      </c>
    </row>
    <row r="646" spans="4:19">
      <c r="D646">
        <f>'Audit Report'!B646</f>
        <v>0</v>
      </c>
      <c r="E646">
        <f>'Audit Report'!C646</f>
        <v>0</v>
      </c>
      <c r="I646">
        <f>'Audit Report'!D646</f>
        <v>0</v>
      </c>
      <c r="J646">
        <f>'Audit Report'!H646</f>
        <v>0</v>
      </c>
      <c r="L646" t="str">
        <f>_xlfn.TEXTJOIN(", ", FALSE, 'Audit Report'!K646,'Audit Report'!L646,'Audit Report'!M646)</f>
        <v xml:space="preserve">, , </v>
      </c>
      <c r="M646">
        <f>'Audit Report'!O646</f>
        <v>0</v>
      </c>
      <c r="N646" t="str" cm="1">
        <f t="array" ref="N646">IF(M646="","",
_xlfn.TEXTJOIN(", ",TRUE,
    _xlfn.MAP(_xlfn.TEXTSPLIT(M646,","),_xlfn.LAMBDA(_xlpm.x,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6">
        <f>'Audit Report'!F646</f>
        <v>0</v>
      </c>
      <c r="S646">
        <f>'Audit Report'!Q646</f>
        <v>0</v>
      </c>
    </row>
    <row r="647" spans="4:19">
      <c r="D647">
        <f>'Audit Report'!B647</f>
        <v>0</v>
      </c>
      <c r="E647">
        <f>'Audit Report'!C647</f>
        <v>0</v>
      </c>
      <c r="I647">
        <f>'Audit Report'!D647</f>
        <v>0</v>
      </c>
      <c r="J647">
        <f>'Audit Report'!H647</f>
        <v>0</v>
      </c>
      <c r="L647" t="str">
        <f>_xlfn.TEXTJOIN(", ", FALSE, 'Audit Report'!K647,'Audit Report'!L647,'Audit Report'!M647)</f>
        <v xml:space="preserve">, , </v>
      </c>
      <c r="M647">
        <f>'Audit Report'!O647</f>
        <v>0</v>
      </c>
      <c r="N647" t="str" cm="1">
        <f t="array" ref="N647">IF(M647="","",
_xlfn.TEXTJOIN(", ",TRUE,
    _xlfn.MAP(_xlfn.TEXTSPLIT(M647,","),_xlfn.LAMBDA(_xlpm.x,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7">
        <f>'Audit Report'!F647</f>
        <v>0</v>
      </c>
      <c r="S647">
        <f>'Audit Report'!Q647</f>
        <v>0</v>
      </c>
    </row>
    <row r="648" spans="4:19">
      <c r="D648">
        <f>'Audit Report'!B648</f>
        <v>0</v>
      </c>
      <c r="E648">
        <f>'Audit Report'!C648</f>
        <v>0</v>
      </c>
      <c r="I648">
        <f>'Audit Report'!D648</f>
        <v>0</v>
      </c>
      <c r="J648">
        <f>'Audit Report'!H648</f>
        <v>0</v>
      </c>
      <c r="L648" t="str">
        <f>_xlfn.TEXTJOIN(", ", FALSE, 'Audit Report'!K648,'Audit Report'!L648,'Audit Report'!M648)</f>
        <v xml:space="preserve">, , </v>
      </c>
      <c r="M648">
        <f>'Audit Report'!O648</f>
        <v>0</v>
      </c>
      <c r="N648" t="str" cm="1">
        <f t="array" ref="N648">IF(M648="","",
_xlfn.TEXTJOIN(", ",TRUE,
    _xlfn.MAP(_xlfn.TEXTSPLIT(M648,","),_xlfn.LAMBDA(_xlpm.x,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8">
        <f>'Audit Report'!F648</f>
        <v>0</v>
      </c>
      <c r="S648">
        <f>'Audit Report'!Q648</f>
        <v>0</v>
      </c>
    </row>
    <row r="649" spans="4:19">
      <c r="D649">
        <f>'Audit Report'!B649</f>
        <v>0</v>
      </c>
      <c r="E649">
        <f>'Audit Report'!C649</f>
        <v>0</v>
      </c>
      <c r="I649">
        <f>'Audit Report'!D649</f>
        <v>0</v>
      </c>
      <c r="J649">
        <f>'Audit Report'!H649</f>
        <v>0</v>
      </c>
      <c r="L649" t="str">
        <f>_xlfn.TEXTJOIN(", ", FALSE, 'Audit Report'!K649,'Audit Report'!L649,'Audit Report'!M649)</f>
        <v xml:space="preserve">, , </v>
      </c>
      <c r="M649">
        <f>'Audit Report'!O649</f>
        <v>0</v>
      </c>
      <c r="N649" t="str" cm="1">
        <f t="array" ref="N649">IF(M649="","",
_xlfn.TEXTJOIN(", ",TRUE,
    _xlfn.MAP(_xlfn.TEXTSPLIT(M649,","),_xlfn.LAMBDA(_xlpm.x,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9">
        <f>'Audit Report'!F649</f>
        <v>0</v>
      </c>
      <c r="S649">
        <f>'Audit Report'!Q649</f>
        <v>0</v>
      </c>
    </row>
    <row r="650" spans="4:19">
      <c r="D650">
        <f>'Audit Report'!B650</f>
        <v>0</v>
      </c>
      <c r="E650">
        <f>'Audit Report'!C650</f>
        <v>0</v>
      </c>
      <c r="I650">
        <f>'Audit Report'!D650</f>
        <v>0</v>
      </c>
      <c r="J650">
        <f>'Audit Report'!H650</f>
        <v>0</v>
      </c>
      <c r="L650" t="str">
        <f>_xlfn.TEXTJOIN(", ", FALSE, 'Audit Report'!K650,'Audit Report'!L650,'Audit Report'!M650)</f>
        <v xml:space="preserve">, , </v>
      </c>
      <c r="M650">
        <f>'Audit Report'!O650</f>
        <v>0</v>
      </c>
      <c r="N650" t="str" cm="1">
        <f t="array" ref="N650">IF(M650="","",
_xlfn.TEXTJOIN(", ",TRUE,
    _xlfn.MAP(_xlfn.TEXTSPLIT(M650,","),_xlfn.LAMBDA(_xlpm.x,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0">
        <f>'Audit Report'!F650</f>
        <v>0</v>
      </c>
      <c r="S650">
        <f>'Audit Report'!Q650</f>
        <v>0</v>
      </c>
    </row>
    <row r="651" spans="4:19">
      <c r="D651">
        <f>'Audit Report'!B651</f>
        <v>0</v>
      </c>
      <c r="E651">
        <f>'Audit Report'!C651</f>
        <v>0</v>
      </c>
      <c r="I651">
        <f>'Audit Report'!D651</f>
        <v>0</v>
      </c>
      <c r="J651">
        <f>'Audit Report'!H651</f>
        <v>0</v>
      </c>
      <c r="L651" t="str">
        <f>_xlfn.TEXTJOIN(", ", FALSE, 'Audit Report'!K651,'Audit Report'!L651,'Audit Report'!M651)</f>
        <v xml:space="preserve">, , </v>
      </c>
      <c r="M651">
        <f>'Audit Report'!O651</f>
        <v>0</v>
      </c>
      <c r="N651" t="str" cm="1">
        <f t="array" ref="N651">IF(M651="","",
_xlfn.TEXTJOIN(", ",TRUE,
    _xlfn.MAP(_xlfn.TEXTSPLIT(M651,","),_xlfn.LAMBDA(_xlpm.x,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1">
        <f>'Audit Report'!F651</f>
        <v>0</v>
      </c>
      <c r="S651">
        <f>'Audit Report'!Q651</f>
        <v>0</v>
      </c>
    </row>
    <row r="652" spans="4:19">
      <c r="D652">
        <f>'Audit Report'!B652</f>
        <v>0</v>
      </c>
      <c r="E652">
        <f>'Audit Report'!C652</f>
        <v>0</v>
      </c>
      <c r="I652">
        <f>'Audit Report'!D652</f>
        <v>0</v>
      </c>
      <c r="J652">
        <f>'Audit Report'!H652</f>
        <v>0</v>
      </c>
      <c r="L652" t="str">
        <f>_xlfn.TEXTJOIN(", ", FALSE, 'Audit Report'!K652,'Audit Report'!L652,'Audit Report'!M652)</f>
        <v xml:space="preserve">, , </v>
      </c>
      <c r="M652">
        <f>'Audit Report'!O652</f>
        <v>0</v>
      </c>
      <c r="N652" t="str" cm="1">
        <f t="array" ref="N652">IF(M652="","",
_xlfn.TEXTJOIN(", ",TRUE,
    _xlfn.MAP(_xlfn.TEXTSPLIT(M652,","),_xlfn.LAMBDA(_xlpm.x,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2">
        <f>'Audit Report'!F652</f>
        <v>0</v>
      </c>
      <c r="S652">
        <f>'Audit Report'!Q652</f>
        <v>0</v>
      </c>
    </row>
    <row r="653" spans="4:19">
      <c r="D653">
        <f>'Audit Report'!B653</f>
        <v>0</v>
      </c>
      <c r="E653">
        <f>'Audit Report'!C653</f>
        <v>0</v>
      </c>
      <c r="I653">
        <f>'Audit Report'!D653</f>
        <v>0</v>
      </c>
      <c r="J653">
        <f>'Audit Report'!H653</f>
        <v>0</v>
      </c>
      <c r="L653" t="str">
        <f>_xlfn.TEXTJOIN(", ", FALSE, 'Audit Report'!K653,'Audit Report'!L653,'Audit Report'!M653)</f>
        <v xml:space="preserve">, , </v>
      </c>
      <c r="M653">
        <f>'Audit Report'!O653</f>
        <v>0</v>
      </c>
      <c r="N653" t="str" cm="1">
        <f t="array" ref="N653">IF(M653="","",
_xlfn.TEXTJOIN(", ",TRUE,
    _xlfn.MAP(_xlfn.TEXTSPLIT(M653,","),_xlfn.LAMBDA(_xlpm.x,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3">
        <f>'Audit Report'!F653</f>
        <v>0</v>
      </c>
      <c r="S653">
        <f>'Audit Report'!Q653</f>
        <v>0</v>
      </c>
    </row>
    <row r="654" spans="4:19">
      <c r="D654">
        <f>'Audit Report'!B654</f>
        <v>0</v>
      </c>
      <c r="E654">
        <f>'Audit Report'!C654</f>
        <v>0</v>
      </c>
      <c r="I654">
        <f>'Audit Report'!D654</f>
        <v>0</v>
      </c>
      <c r="J654">
        <f>'Audit Report'!H654</f>
        <v>0</v>
      </c>
      <c r="L654" t="str">
        <f>_xlfn.TEXTJOIN(", ", FALSE, 'Audit Report'!K654,'Audit Report'!L654,'Audit Report'!M654)</f>
        <v xml:space="preserve">, , </v>
      </c>
      <c r="M654">
        <f>'Audit Report'!O654</f>
        <v>0</v>
      </c>
      <c r="N654" t="str" cm="1">
        <f t="array" ref="N654">IF(M654="","",
_xlfn.TEXTJOIN(", ",TRUE,
    _xlfn.MAP(_xlfn.TEXTSPLIT(M654,","),_xlfn.LAMBDA(_xlpm.x,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4">
        <f>'Audit Report'!F654</f>
        <v>0</v>
      </c>
      <c r="S654">
        <f>'Audit Report'!Q654</f>
        <v>0</v>
      </c>
    </row>
    <row r="655" spans="4:19">
      <c r="D655">
        <f>'Audit Report'!B655</f>
        <v>0</v>
      </c>
      <c r="E655">
        <f>'Audit Report'!C655</f>
        <v>0</v>
      </c>
      <c r="I655">
        <f>'Audit Report'!D655</f>
        <v>0</v>
      </c>
      <c r="J655">
        <f>'Audit Report'!H655</f>
        <v>0</v>
      </c>
      <c r="L655" t="str">
        <f>_xlfn.TEXTJOIN(", ", FALSE, 'Audit Report'!K655,'Audit Report'!L655,'Audit Report'!M655)</f>
        <v xml:space="preserve">, , </v>
      </c>
      <c r="M655">
        <f>'Audit Report'!O655</f>
        <v>0</v>
      </c>
      <c r="N655" t="str" cm="1">
        <f t="array" ref="N655">IF(M655="","",
_xlfn.TEXTJOIN(", ",TRUE,
    _xlfn.MAP(_xlfn.TEXTSPLIT(M655,","),_xlfn.LAMBDA(_xlpm.x,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5">
        <f>'Audit Report'!F655</f>
        <v>0</v>
      </c>
      <c r="S655">
        <f>'Audit Report'!Q655</f>
        <v>0</v>
      </c>
    </row>
    <row r="656" spans="4:19">
      <c r="D656">
        <f>'Audit Report'!B656</f>
        <v>0</v>
      </c>
      <c r="E656">
        <f>'Audit Report'!C656</f>
        <v>0</v>
      </c>
      <c r="I656">
        <f>'Audit Report'!D656</f>
        <v>0</v>
      </c>
      <c r="J656">
        <f>'Audit Report'!H656</f>
        <v>0</v>
      </c>
      <c r="L656" t="str">
        <f>_xlfn.TEXTJOIN(", ", FALSE, 'Audit Report'!K656,'Audit Report'!L656,'Audit Report'!M656)</f>
        <v xml:space="preserve">, , </v>
      </c>
      <c r="M656">
        <f>'Audit Report'!O656</f>
        <v>0</v>
      </c>
      <c r="N656" t="str" cm="1">
        <f t="array" ref="N656">IF(M656="","",
_xlfn.TEXTJOIN(", ",TRUE,
    _xlfn.MAP(_xlfn.TEXTSPLIT(M656,","),_xlfn.LAMBDA(_xlpm.x,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6">
        <f>'Audit Report'!F656</f>
        <v>0</v>
      </c>
      <c r="S656">
        <f>'Audit Report'!Q656</f>
        <v>0</v>
      </c>
    </row>
    <row r="657" spans="4:19">
      <c r="D657">
        <f>'Audit Report'!B657</f>
        <v>0</v>
      </c>
      <c r="E657">
        <f>'Audit Report'!C657</f>
        <v>0</v>
      </c>
      <c r="I657">
        <f>'Audit Report'!D657</f>
        <v>0</v>
      </c>
      <c r="J657">
        <f>'Audit Report'!H657</f>
        <v>0</v>
      </c>
      <c r="L657" t="str">
        <f>_xlfn.TEXTJOIN(", ", FALSE, 'Audit Report'!K657,'Audit Report'!L657,'Audit Report'!M657)</f>
        <v xml:space="preserve">, , </v>
      </c>
      <c r="M657">
        <f>'Audit Report'!O657</f>
        <v>0</v>
      </c>
      <c r="N657" t="str" cm="1">
        <f t="array" ref="N657">IF(M657="","",
_xlfn.TEXTJOIN(", ",TRUE,
    _xlfn.MAP(_xlfn.TEXTSPLIT(M657,","),_xlfn.LAMBDA(_xlpm.x,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7">
        <f>'Audit Report'!F657</f>
        <v>0</v>
      </c>
      <c r="S657">
        <f>'Audit Report'!Q657</f>
        <v>0</v>
      </c>
    </row>
    <row r="658" spans="4:19">
      <c r="D658">
        <f>'Audit Report'!B658</f>
        <v>0</v>
      </c>
      <c r="E658">
        <f>'Audit Report'!C658</f>
        <v>0</v>
      </c>
      <c r="I658">
        <f>'Audit Report'!D658</f>
        <v>0</v>
      </c>
      <c r="J658">
        <f>'Audit Report'!H658</f>
        <v>0</v>
      </c>
      <c r="L658" t="str">
        <f>_xlfn.TEXTJOIN(", ", FALSE, 'Audit Report'!K658,'Audit Report'!L658,'Audit Report'!M658)</f>
        <v xml:space="preserve">, , </v>
      </c>
      <c r="M658">
        <f>'Audit Report'!O658</f>
        <v>0</v>
      </c>
      <c r="N658" t="str" cm="1">
        <f t="array" ref="N658">IF(M658="","",
_xlfn.TEXTJOIN(", ",TRUE,
    _xlfn.MAP(_xlfn.TEXTSPLIT(M658,","),_xlfn.LAMBDA(_xlpm.x,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8">
        <f>'Audit Report'!F658</f>
        <v>0</v>
      </c>
      <c r="S658">
        <f>'Audit Report'!Q658</f>
        <v>0</v>
      </c>
    </row>
    <row r="659" spans="4:19">
      <c r="D659">
        <f>'Audit Report'!B659</f>
        <v>0</v>
      </c>
      <c r="E659">
        <f>'Audit Report'!C659</f>
        <v>0</v>
      </c>
      <c r="I659">
        <f>'Audit Report'!D659</f>
        <v>0</v>
      </c>
      <c r="J659">
        <f>'Audit Report'!H659</f>
        <v>0</v>
      </c>
      <c r="L659" t="str">
        <f>_xlfn.TEXTJOIN(", ", FALSE, 'Audit Report'!K659,'Audit Report'!L659,'Audit Report'!M659)</f>
        <v xml:space="preserve">, , </v>
      </c>
      <c r="M659">
        <f>'Audit Report'!O659</f>
        <v>0</v>
      </c>
      <c r="N659" t="str" cm="1">
        <f t="array" ref="N659">IF(M659="","",
_xlfn.TEXTJOIN(", ",TRUE,
    _xlfn.MAP(_xlfn.TEXTSPLIT(M659,","),_xlfn.LAMBDA(_xlpm.x,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9">
        <f>'Audit Report'!F659</f>
        <v>0</v>
      </c>
      <c r="S659">
        <f>'Audit Report'!Q659</f>
        <v>0</v>
      </c>
    </row>
    <row r="660" spans="4:19">
      <c r="D660">
        <f>'Audit Report'!B660</f>
        <v>0</v>
      </c>
      <c r="E660">
        <f>'Audit Report'!C660</f>
        <v>0</v>
      </c>
      <c r="I660">
        <f>'Audit Report'!D660</f>
        <v>0</v>
      </c>
      <c r="J660">
        <f>'Audit Report'!H660</f>
        <v>0</v>
      </c>
      <c r="L660" t="str">
        <f>_xlfn.TEXTJOIN(", ", FALSE, 'Audit Report'!K660,'Audit Report'!L660,'Audit Report'!M660)</f>
        <v xml:space="preserve">, , </v>
      </c>
      <c r="M660">
        <f>'Audit Report'!O660</f>
        <v>0</v>
      </c>
      <c r="N660" t="str" cm="1">
        <f t="array" ref="N660">IF(M660="","",
_xlfn.TEXTJOIN(", ",TRUE,
    _xlfn.MAP(_xlfn.TEXTSPLIT(M660,","),_xlfn.LAMBDA(_xlpm.x,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0">
        <f>'Audit Report'!F660</f>
        <v>0</v>
      </c>
      <c r="S660">
        <f>'Audit Report'!Q660</f>
        <v>0</v>
      </c>
    </row>
    <row r="661" spans="4:19">
      <c r="D661">
        <f>'Audit Report'!B661</f>
        <v>0</v>
      </c>
      <c r="E661">
        <f>'Audit Report'!C661</f>
        <v>0</v>
      </c>
      <c r="I661">
        <f>'Audit Report'!D661</f>
        <v>0</v>
      </c>
      <c r="J661">
        <f>'Audit Report'!H661</f>
        <v>0</v>
      </c>
      <c r="L661" t="str">
        <f>_xlfn.TEXTJOIN(", ", FALSE, 'Audit Report'!K661,'Audit Report'!L661,'Audit Report'!M661)</f>
        <v xml:space="preserve">, , </v>
      </c>
      <c r="M661">
        <f>'Audit Report'!O661</f>
        <v>0</v>
      </c>
      <c r="N661" t="str" cm="1">
        <f t="array" ref="N661">IF(M661="","",
_xlfn.TEXTJOIN(", ",TRUE,
    _xlfn.MAP(_xlfn.TEXTSPLIT(M661,","),_xlfn.LAMBDA(_xlpm.x,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1">
        <f>'Audit Report'!F661</f>
        <v>0</v>
      </c>
      <c r="S661">
        <f>'Audit Report'!Q661</f>
        <v>0</v>
      </c>
    </row>
    <row r="662" spans="4:19">
      <c r="D662">
        <f>'Audit Report'!B662</f>
        <v>0</v>
      </c>
      <c r="E662">
        <f>'Audit Report'!C662</f>
        <v>0</v>
      </c>
      <c r="I662">
        <f>'Audit Report'!D662</f>
        <v>0</v>
      </c>
      <c r="J662">
        <f>'Audit Report'!H662</f>
        <v>0</v>
      </c>
      <c r="L662" t="str">
        <f>_xlfn.TEXTJOIN(", ", FALSE, 'Audit Report'!K662,'Audit Report'!L662,'Audit Report'!M662)</f>
        <v xml:space="preserve">, , </v>
      </c>
      <c r="M662">
        <f>'Audit Report'!O662</f>
        <v>0</v>
      </c>
      <c r="N662" t="str" cm="1">
        <f t="array" ref="N662">IF(M662="","",
_xlfn.TEXTJOIN(", ",TRUE,
    _xlfn.MAP(_xlfn.TEXTSPLIT(M662,","),_xlfn.LAMBDA(_xlpm.x,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2">
        <f>'Audit Report'!F662</f>
        <v>0</v>
      </c>
      <c r="S662">
        <f>'Audit Report'!Q662</f>
        <v>0</v>
      </c>
    </row>
    <row r="663" spans="4:19">
      <c r="D663">
        <f>'Audit Report'!B663</f>
        <v>0</v>
      </c>
      <c r="E663">
        <f>'Audit Report'!C663</f>
        <v>0</v>
      </c>
      <c r="I663">
        <f>'Audit Report'!D663</f>
        <v>0</v>
      </c>
      <c r="J663">
        <f>'Audit Report'!H663</f>
        <v>0</v>
      </c>
      <c r="L663" t="str">
        <f>_xlfn.TEXTJOIN(", ", FALSE, 'Audit Report'!K663,'Audit Report'!L663,'Audit Report'!M663)</f>
        <v xml:space="preserve">, , </v>
      </c>
      <c r="M663">
        <f>'Audit Report'!O663</f>
        <v>0</v>
      </c>
      <c r="N663" t="str" cm="1">
        <f t="array" ref="N663">IF(M663="","",
_xlfn.TEXTJOIN(", ",TRUE,
    _xlfn.MAP(_xlfn.TEXTSPLIT(M663,","),_xlfn.LAMBDA(_xlpm.x,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3">
        <f>'Audit Report'!F663</f>
        <v>0</v>
      </c>
      <c r="S663">
        <f>'Audit Report'!Q663</f>
        <v>0</v>
      </c>
    </row>
    <row r="664" spans="4:19">
      <c r="D664">
        <f>'Audit Report'!B664</f>
        <v>0</v>
      </c>
      <c r="E664">
        <f>'Audit Report'!C664</f>
        <v>0</v>
      </c>
      <c r="I664">
        <f>'Audit Report'!D664</f>
        <v>0</v>
      </c>
      <c r="J664">
        <f>'Audit Report'!H664</f>
        <v>0</v>
      </c>
      <c r="L664" t="str">
        <f>_xlfn.TEXTJOIN(", ", FALSE, 'Audit Report'!K664,'Audit Report'!L664,'Audit Report'!M664)</f>
        <v xml:space="preserve">, , </v>
      </c>
      <c r="M664">
        <f>'Audit Report'!O664</f>
        <v>0</v>
      </c>
      <c r="N664" t="str" cm="1">
        <f t="array" ref="N664">IF(M664="","",
_xlfn.TEXTJOIN(", ",TRUE,
    _xlfn.MAP(_xlfn.TEXTSPLIT(M664,","),_xlfn.LAMBDA(_xlpm.x,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4">
        <f>'Audit Report'!F664</f>
        <v>0</v>
      </c>
      <c r="S664">
        <f>'Audit Report'!Q664</f>
        <v>0</v>
      </c>
    </row>
    <row r="665" spans="4:19">
      <c r="D665">
        <f>'Audit Report'!B665</f>
        <v>0</v>
      </c>
      <c r="E665">
        <f>'Audit Report'!C665</f>
        <v>0</v>
      </c>
      <c r="I665">
        <f>'Audit Report'!D665</f>
        <v>0</v>
      </c>
      <c r="J665">
        <f>'Audit Report'!H665</f>
        <v>0</v>
      </c>
      <c r="L665" t="str">
        <f>_xlfn.TEXTJOIN(", ", FALSE, 'Audit Report'!K665,'Audit Report'!L665,'Audit Report'!M665)</f>
        <v xml:space="preserve">, , </v>
      </c>
      <c r="M665">
        <f>'Audit Report'!O665</f>
        <v>0</v>
      </c>
      <c r="N665" t="str" cm="1">
        <f t="array" ref="N665">IF(M665="","",
_xlfn.TEXTJOIN(", ",TRUE,
    _xlfn.MAP(_xlfn.TEXTSPLIT(M665,","),_xlfn.LAMBDA(_xlpm.x,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5">
        <f>'Audit Report'!F665</f>
        <v>0</v>
      </c>
      <c r="S665">
        <f>'Audit Report'!Q665</f>
        <v>0</v>
      </c>
    </row>
    <row r="666" spans="4:19">
      <c r="D666">
        <f>'Audit Report'!B666</f>
        <v>0</v>
      </c>
      <c r="E666">
        <f>'Audit Report'!C666</f>
        <v>0</v>
      </c>
      <c r="I666">
        <f>'Audit Report'!D666</f>
        <v>0</v>
      </c>
      <c r="J666">
        <f>'Audit Report'!H666</f>
        <v>0</v>
      </c>
      <c r="L666" t="str">
        <f>_xlfn.TEXTJOIN(", ", FALSE, 'Audit Report'!K666,'Audit Report'!L666,'Audit Report'!M666)</f>
        <v xml:space="preserve">, , </v>
      </c>
      <c r="M666">
        <f>'Audit Report'!O666</f>
        <v>0</v>
      </c>
      <c r="N666" t="str" cm="1">
        <f t="array" ref="N666">IF(M666="","",
_xlfn.TEXTJOIN(", ",TRUE,
    _xlfn.MAP(_xlfn.TEXTSPLIT(M666,","),_xlfn.LAMBDA(_xlpm.x,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6">
        <f>'Audit Report'!F666</f>
        <v>0</v>
      </c>
      <c r="S666">
        <f>'Audit Report'!Q666</f>
        <v>0</v>
      </c>
    </row>
    <row r="667" spans="4:19">
      <c r="D667">
        <f>'Audit Report'!B667</f>
        <v>0</v>
      </c>
      <c r="E667">
        <f>'Audit Report'!C667</f>
        <v>0</v>
      </c>
      <c r="I667">
        <f>'Audit Report'!D667</f>
        <v>0</v>
      </c>
      <c r="J667">
        <f>'Audit Report'!H667</f>
        <v>0</v>
      </c>
      <c r="L667" t="str">
        <f>_xlfn.TEXTJOIN(", ", FALSE, 'Audit Report'!K667,'Audit Report'!L667,'Audit Report'!M667)</f>
        <v xml:space="preserve">, , </v>
      </c>
      <c r="M667">
        <f>'Audit Report'!O667</f>
        <v>0</v>
      </c>
      <c r="N667" t="str" cm="1">
        <f t="array" ref="N667">IF(M667="","",
_xlfn.TEXTJOIN(", ",TRUE,
    _xlfn.MAP(_xlfn.TEXTSPLIT(M667,","),_xlfn.LAMBDA(_xlpm.x,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7">
        <f>'Audit Report'!F667</f>
        <v>0</v>
      </c>
      <c r="S667">
        <f>'Audit Report'!Q667</f>
        <v>0</v>
      </c>
    </row>
    <row r="668" spans="4:19">
      <c r="D668">
        <f>'Audit Report'!B668</f>
        <v>0</v>
      </c>
      <c r="E668">
        <f>'Audit Report'!C668</f>
        <v>0</v>
      </c>
      <c r="I668">
        <f>'Audit Report'!D668</f>
        <v>0</v>
      </c>
      <c r="J668">
        <f>'Audit Report'!H668</f>
        <v>0</v>
      </c>
      <c r="L668" t="str">
        <f>_xlfn.TEXTJOIN(", ", FALSE, 'Audit Report'!K668,'Audit Report'!L668,'Audit Report'!M668)</f>
        <v xml:space="preserve">, , </v>
      </c>
      <c r="M668">
        <f>'Audit Report'!O668</f>
        <v>0</v>
      </c>
      <c r="N668" t="str" cm="1">
        <f t="array" ref="N668">IF(M668="","",
_xlfn.TEXTJOIN(", ",TRUE,
    _xlfn.MAP(_xlfn.TEXTSPLIT(M668,","),_xlfn.LAMBDA(_xlpm.x,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8">
        <f>'Audit Report'!F668</f>
        <v>0</v>
      </c>
      <c r="S668">
        <f>'Audit Report'!Q668</f>
        <v>0</v>
      </c>
    </row>
    <row r="669" spans="4:19">
      <c r="D669">
        <f>'Audit Report'!B669</f>
        <v>0</v>
      </c>
      <c r="E669">
        <f>'Audit Report'!C669</f>
        <v>0</v>
      </c>
      <c r="I669">
        <f>'Audit Report'!D669</f>
        <v>0</v>
      </c>
      <c r="J669">
        <f>'Audit Report'!H669</f>
        <v>0</v>
      </c>
      <c r="L669" t="str">
        <f>_xlfn.TEXTJOIN(", ", FALSE, 'Audit Report'!K669,'Audit Report'!L669,'Audit Report'!M669)</f>
        <v xml:space="preserve">, , </v>
      </c>
      <c r="M669">
        <f>'Audit Report'!O669</f>
        <v>0</v>
      </c>
      <c r="N669" t="str" cm="1">
        <f t="array" ref="N669">IF(M669="","",
_xlfn.TEXTJOIN(", ",TRUE,
    _xlfn.MAP(_xlfn.TEXTSPLIT(M669,","),_xlfn.LAMBDA(_xlpm.x,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9">
        <f>'Audit Report'!F669</f>
        <v>0</v>
      </c>
      <c r="S669">
        <f>'Audit Report'!Q669</f>
        <v>0</v>
      </c>
    </row>
    <row r="670" spans="4:19">
      <c r="D670">
        <f>'Audit Report'!B670</f>
        <v>0</v>
      </c>
      <c r="E670">
        <f>'Audit Report'!C670</f>
        <v>0</v>
      </c>
      <c r="I670">
        <f>'Audit Report'!D670</f>
        <v>0</v>
      </c>
      <c r="J670">
        <f>'Audit Report'!H670</f>
        <v>0</v>
      </c>
      <c r="L670" t="str">
        <f>_xlfn.TEXTJOIN(", ", FALSE, 'Audit Report'!K670,'Audit Report'!L670,'Audit Report'!M670)</f>
        <v xml:space="preserve">, , </v>
      </c>
      <c r="M670">
        <f>'Audit Report'!O670</f>
        <v>0</v>
      </c>
      <c r="N670" t="str" cm="1">
        <f t="array" ref="N670">IF(M670="","",
_xlfn.TEXTJOIN(", ",TRUE,
    _xlfn.MAP(_xlfn.TEXTSPLIT(M670,","),_xlfn.LAMBDA(_xlpm.x,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0">
        <f>'Audit Report'!F670</f>
        <v>0</v>
      </c>
      <c r="S670">
        <f>'Audit Report'!Q670</f>
        <v>0</v>
      </c>
    </row>
    <row r="671" spans="4:19">
      <c r="D671">
        <f>'Audit Report'!B671</f>
        <v>0</v>
      </c>
      <c r="E671">
        <f>'Audit Report'!C671</f>
        <v>0</v>
      </c>
      <c r="I671">
        <f>'Audit Report'!D671</f>
        <v>0</v>
      </c>
      <c r="J671">
        <f>'Audit Report'!H671</f>
        <v>0</v>
      </c>
      <c r="L671" t="str">
        <f>_xlfn.TEXTJOIN(", ", FALSE, 'Audit Report'!K671,'Audit Report'!L671,'Audit Report'!M671)</f>
        <v xml:space="preserve">, , </v>
      </c>
      <c r="M671">
        <f>'Audit Report'!O671</f>
        <v>0</v>
      </c>
      <c r="N671" t="str" cm="1">
        <f t="array" ref="N671">IF(M671="","",
_xlfn.TEXTJOIN(", ",TRUE,
    _xlfn.MAP(_xlfn.TEXTSPLIT(M671,","),_xlfn.LAMBDA(_xlpm.x,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1">
        <f>'Audit Report'!F671</f>
        <v>0</v>
      </c>
      <c r="S671">
        <f>'Audit Report'!Q671</f>
        <v>0</v>
      </c>
    </row>
    <row r="672" spans="4:19">
      <c r="D672">
        <f>'Audit Report'!B672</f>
        <v>0</v>
      </c>
      <c r="E672">
        <f>'Audit Report'!C672</f>
        <v>0</v>
      </c>
      <c r="I672">
        <f>'Audit Report'!D672</f>
        <v>0</v>
      </c>
      <c r="J672">
        <f>'Audit Report'!H672</f>
        <v>0</v>
      </c>
      <c r="L672" t="str">
        <f>_xlfn.TEXTJOIN(", ", FALSE, 'Audit Report'!K672,'Audit Report'!L672,'Audit Report'!M672)</f>
        <v xml:space="preserve">, , </v>
      </c>
      <c r="M672">
        <f>'Audit Report'!O672</f>
        <v>0</v>
      </c>
      <c r="N672" t="str" cm="1">
        <f t="array" ref="N672">IF(M672="","",
_xlfn.TEXTJOIN(", ",TRUE,
    _xlfn.MAP(_xlfn.TEXTSPLIT(M672,","),_xlfn.LAMBDA(_xlpm.x,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2">
        <f>'Audit Report'!F672</f>
        <v>0</v>
      </c>
      <c r="S672">
        <f>'Audit Report'!Q672</f>
        <v>0</v>
      </c>
    </row>
    <row r="673" spans="4:19">
      <c r="D673">
        <f>'Audit Report'!B673</f>
        <v>0</v>
      </c>
      <c r="E673">
        <f>'Audit Report'!C673</f>
        <v>0</v>
      </c>
      <c r="I673">
        <f>'Audit Report'!D673</f>
        <v>0</v>
      </c>
      <c r="J673">
        <f>'Audit Report'!H673</f>
        <v>0</v>
      </c>
      <c r="L673" t="str">
        <f>_xlfn.TEXTJOIN(", ", FALSE, 'Audit Report'!K673,'Audit Report'!L673,'Audit Report'!M673)</f>
        <v xml:space="preserve">, , </v>
      </c>
      <c r="M673">
        <f>'Audit Report'!O673</f>
        <v>0</v>
      </c>
      <c r="N673" t="str" cm="1">
        <f t="array" ref="N673">IF(M673="","",
_xlfn.TEXTJOIN(", ",TRUE,
    _xlfn.MAP(_xlfn.TEXTSPLIT(M673,","),_xlfn.LAMBDA(_xlpm.x,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3">
        <f>'Audit Report'!F673</f>
        <v>0</v>
      </c>
      <c r="S673">
        <f>'Audit Report'!Q673</f>
        <v>0</v>
      </c>
    </row>
    <row r="674" spans="4:19">
      <c r="D674">
        <f>'Audit Report'!B674</f>
        <v>0</v>
      </c>
      <c r="E674">
        <f>'Audit Report'!C674</f>
        <v>0</v>
      </c>
      <c r="I674">
        <f>'Audit Report'!D674</f>
        <v>0</v>
      </c>
      <c r="J674">
        <f>'Audit Report'!H674</f>
        <v>0</v>
      </c>
      <c r="L674" t="str">
        <f>_xlfn.TEXTJOIN(", ", FALSE, 'Audit Report'!K674,'Audit Report'!L674,'Audit Report'!M674)</f>
        <v xml:space="preserve">, , </v>
      </c>
      <c r="M674">
        <f>'Audit Report'!O674</f>
        <v>0</v>
      </c>
      <c r="N674" t="str" cm="1">
        <f t="array" ref="N674">IF(M674="","",
_xlfn.TEXTJOIN(", ",TRUE,
    _xlfn.MAP(_xlfn.TEXTSPLIT(M674,","),_xlfn.LAMBDA(_xlpm.x,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4">
        <f>'Audit Report'!F674</f>
        <v>0</v>
      </c>
      <c r="S674">
        <f>'Audit Report'!Q674</f>
        <v>0</v>
      </c>
    </row>
    <row r="675" spans="4:19">
      <c r="D675">
        <f>'Audit Report'!B675</f>
        <v>0</v>
      </c>
      <c r="E675">
        <f>'Audit Report'!C675</f>
        <v>0</v>
      </c>
      <c r="I675">
        <f>'Audit Report'!D675</f>
        <v>0</v>
      </c>
      <c r="J675">
        <f>'Audit Report'!H675</f>
        <v>0</v>
      </c>
      <c r="L675" t="str">
        <f>_xlfn.TEXTJOIN(", ", FALSE, 'Audit Report'!K675,'Audit Report'!L675,'Audit Report'!M675)</f>
        <v xml:space="preserve">, , </v>
      </c>
      <c r="M675">
        <f>'Audit Report'!O675</f>
        <v>0</v>
      </c>
      <c r="N675" t="str" cm="1">
        <f t="array" ref="N675">IF(M675="","",
_xlfn.TEXTJOIN(", ",TRUE,
    _xlfn.MAP(_xlfn.TEXTSPLIT(M675,","),_xlfn.LAMBDA(_xlpm.x,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5">
        <f>'Audit Report'!F675</f>
        <v>0</v>
      </c>
      <c r="S675">
        <f>'Audit Report'!Q675</f>
        <v>0</v>
      </c>
    </row>
    <row r="676" spans="4:19">
      <c r="D676">
        <f>'Audit Report'!B676</f>
        <v>0</v>
      </c>
      <c r="E676">
        <f>'Audit Report'!C676</f>
        <v>0</v>
      </c>
      <c r="I676">
        <f>'Audit Report'!D676</f>
        <v>0</v>
      </c>
      <c r="J676">
        <f>'Audit Report'!H676</f>
        <v>0</v>
      </c>
      <c r="L676" t="str">
        <f>_xlfn.TEXTJOIN(", ", FALSE, 'Audit Report'!K676,'Audit Report'!L676,'Audit Report'!M676)</f>
        <v xml:space="preserve">, , </v>
      </c>
      <c r="M676">
        <f>'Audit Report'!O676</f>
        <v>0</v>
      </c>
      <c r="N676" t="str" cm="1">
        <f t="array" ref="N676">IF(M676="","",
_xlfn.TEXTJOIN(", ",TRUE,
    _xlfn.MAP(_xlfn.TEXTSPLIT(M676,","),_xlfn.LAMBDA(_xlpm.x,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6">
        <f>'Audit Report'!F676</f>
        <v>0</v>
      </c>
      <c r="S676">
        <f>'Audit Report'!Q676</f>
        <v>0</v>
      </c>
    </row>
    <row r="677" spans="4:19">
      <c r="D677">
        <f>'Audit Report'!B677</f>
        <v>0</v>
      </c>
      <c r="E677">
        <f>'Audit Report'!C677</f>
        <v>0</v>
      </c>
      <c r="I677">
        <f>'Audit Report'!D677</f>
        <v>0</v>
      </c>
      <c r="J677">
        <f>'Audit Report'!H677</f>
        <v>0</v>
      </c>
      <c r="L677" t="str">
        <f>_xlfn.TEXTJOIN(", ", FALSE, 'Audit Report'!K677,'Audit Report'!L677,'Audit Report'!M677)</f>
        <v xml:space="preserve">, , </v>
      </c>
      <c r="M677">
        <f>'Audit Report'!O677</f>
        <v>0</v>
      </c>
      <c r="N677" t="str" cm="1">
        <f t="array" ref="N677">IF(M677="","",
_xlfn.TEXTJOIN(", ",TRUE,
    _xlfn.MAP(_xlfn.TEXTSPLIT(M677,","),_xlfn.LAMBDA(_xlpm.x,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7">
        <f>'Audit Report'!F677</f>
        <v>0</v>
      </c>
      <c r="S677">
        <f>'Audit Report'!Q677</f>
        <v>0</v>
      </c>
    </row>
    <row r="678" spans="4:19">
      <c r="D678">
        <f>'Audit Report'!B678</f>
        <v>0</v>
      </c>
      <c r="E678">
        <f>'Audit Report'!C678</f>
        <v>0</v>
      </c>
      <c r="I678">
        <f>'Audit Report'!D678</f>
        <v>0</v>
      </c>
      <c r="J678">
        <f>'Audit Report'!H678</f>
        <v>0</v>
      </c>
      <c r="L678" t="str">
        <f>_xlfn.TEXTJOIN(", ", FALSE, 'Audit Report'!K678,'Audit Report'!L678,'Audit Report'!M678)</f>
        <v xml:space="preserve">, , </v>
      </c>
      <c r="M678">
        <f>'Audit Report'!O678</f>
        <v>0</v>
      </c>
      <c r="N678" t="str" cm="1">
        <f t="array" ref="N678">IF(M678="","",
_xlfn.TEXTJOIN(", ",TRUE,
    _xlfn.MAP(_xlfn.TEXTSPLIT(M678,","),_xlfn.LAMBDA(_xlpm.x,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8">
        <f>'Audit Report'!F678</f>
        <v>0</v>
      </c>
      <c r="S678">
        <f>'Audit Report'!Q678</f>
        <v>0</v>
      </c>
    </row>
    <row r="679" spans="4:19">
      <c r="D679">
        <f>'Audit Report'!B679</f>
        <v>0</v>
      </c>
      <c r="E679">
        <f>'Audit Report'!C679</f>
        <v>0</v>
      </c>
      <c r="I679">
        <f>'Audit Report'!D679</f>
        <v>0</v>
      </c>
      <c r="J679">
        <f>'Audit Report'!H679</f>
        <v>0</v>
      </c>
      <c r="L679" t="str">
        <f>_xlfn.TEXTJOIN(", ", FALSE, 'Audit Report'!K679,'Audit Report'!L679,'Audit Report'!M679)</f>
        <v xml:space="preserve">, , </v>
      </c>
      <c r="M679">
        <f>'Audit Report'!O679</f>
        <v>0</v>
      </c>
      <c r="N679" t="str" cm="1">
        <f t="array" ref="N679">IF(M679="","",
_xlfn.TEXTJOIN(", ",TRUE,
    _xlfn.MAP(_xlfn.TEXTSPLIT(M679,","),_xlfn.LAMBDA(_xlpm.x,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9">
        <f>'Audit Report'!F679</f>
        <v>0</v>
      </c>
      <c r="S679">
        <f>'Audit Report'!Q679</f>
        <v>0</v>
      </c>
    </row>
    <row r="680" spans="4:19">
      <c r="D680">
        <f>'Audit Report'!B680</f>
        <v>0</v>
      </c>
      <c r="E680">
        <f>'Audit Report'!C680</f>
        <v>0</v>
      </c>
      <c r="I680">
        <f>'Audit Report'!D680</f>
        <v>0</v>
      </c>
      <c r="J680">
        <f>'Audit Report'!H680</f>
        <v>0</v>
      </c>
      <c r="L680" t="str">
        <f>_xlfn.TEXTJOIN(", ", FALSE, 'Audit Report'!K680,'Audit Report'!L680,'Audit Report'!M680)</f>
        <v xml:space="preserve">, , </v>
      </c>
      <c r="M680">
        <f>'Audit Report'!O680</f>
        <v>0</v>
      </c>
      <c r="N680" t="str" cm="1">
        <f t="array" ref="N680">IF(M680="","",
_xlfn.TEXTJOIN(", ",TRUE,
    _xlfn.MAP(_xlfn.TEXTSPLIT(M680,","),_xlfn.LAMBDA(_xlpm.x,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0">
        <f>'Audit Report'!F680</f>
        <v>0</v>
      </c>
      <c r="S680">
        <f>'Audit Report'!Q680</f>
        <v>0</v>
      </c>
    </row>
    <row r="681" spans="4:19">
      <c r="D681">
        <f>'Audit Report'!B681</f>
        <v>0</v>
      </c>
      <c r="E681">
        <f>'Audit Report'!C681</f>
        <v>0</v>
      </c>
      <c r="I681">
        <f>'Audit Report'!D681</f>
        <v>0</v>
      </c>
      <c r="J681">
        <f>'Audit Report'!H681</f>
        <v>0</v>
      </c>
      <c r="L681" t="str">
        <f>_xlfn.TEXTJOIN(", ", FALSE, 'Audit Report'!K681,'Audit Report'!L681,'Audit Report'!M681)</f>
        <v xml:space="preserve">, , </v>
      </c>
      <c r="M681">
        <f>'Audit Report'!O681</f>
        <v>0</v>
      </c>
      <c r="N681" t="str" cm="1">
        <f t="array" ref="N681">IF(M681="","",
_xlfn.TEXTJOIN(", ",TRUE,
    _xlfn.MAP(_xlfn.TEXTSPLIT(M681,","),_xlfn.LAMBDA(_xlpm.x,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1">
        <f>'Audit Report'!F681</f>
        <v>0</v>
      </c>
      <c r="S681">
        <f>'Audit Report'!Q681</f>
        <v>0</v>
      </c>
    </row>
    <row r="682" spans="4:19">
      <c r="D682">
        <f>'Audit Report'!B682</f>
        <v>0</v>
      </c>
      <c r="E682">
        <f>'Audit Report'!C682</f>
        <v>0</v>
      </c>
      <c r="I682">
        <f>'Audit Report'!D682</f>
        <v>0</v>
      </c>
      <c r="J682">
        <f>'Audit Report'!H682</f>
        <v>0</v>
      </c>
      <c r="L682" t="str">
        <f>_xlfn.TEXTJOIN(", ", FALSE, 'Audit Report'!K682,'Audit Report'!L682,'Audit Report'!M682)</f>
        <v xml:space="preserve">, , </v>
      </c>
      <c r="M682">
        <f>'Audit Report'!O682</f>
        <v>0</v>
      </c>
      <c r="N682" t="str" cm="1">
        <f t="array" ref="N682">IF(M682="","",
_xlfn.TEXTJOIN(", ",TRUE,
    _xlfn.MAP(_xlfn.TEXTSPLIT(M682,","),_xlfn.LAMBDA(_xlpm.x,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2">
        <f>'Audit Report'!F682</f>
        <v>0</v>
      </c>
      <c r="S682">
        <f>'Audit Report'!Q682</f>
        <v>0</v>
      </c>
    </row>
    <row r="683" spans="4:19">
      <c r="D683">
        <f>'Audit Report'!B683</f>
        <v>0</v>
      </c>
      <c r="E683">
        <f>'Audit Report'!C683</f>
        <v>0</v>
      </c>
      <c r="I683">
        <f>'Audit Report'!D683</f>
        <v>0</v>
      </c>
      <c r="J683">
        <f>'Audit Report'!H683</f>
        <v>0</v>
      </c>
      <c r="L683" t="str">
        <f>_xlfn.TEXTJOIN(", ", FALSE, 'Audit Report'!K683,'Audit Report'!L683,'Audit Report'!M683)</f>
        <v xml:space="preserve">, , </v>
      </c>
      <c r="M683">
        <f>'Audit Report'!O683</f>
        <v>0</v>
      </c>
      <c r="N683" t="str" cm="1">
        <f t="array" ref="N683">IF(M683="","",
_xlfn.TEXTJOIN(", ",TRUE,
    _xlfn.MAP(_xlfn.TEXTSPLIT(M683,","),_xlfn.LAMBDA(_xlpm.x,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3">
        <f>'Audit Report'!F683</f>
        <v>0</v>
      </c>
      <c r="S683">
        <f>'Audit Report'!Q683</f>
        <v>0</v>
      </c>
    </row>
    <row r="684" spans="4:19">
      <c r="D684">
        <f>'Audit Report'!B684</f>
        <v>0</v>
      </c>
      <c r="E684">
        <f>'Audit Report'!C684</f>
        <v>0</v>
      </c>
      <c r="I684">
        <f>'Audit Report'!D684</f>
        <v>0</v>
      </c>
      <c r="J684">
        <f>'Audit Report'!H684</f>
        <v>0</v>
      </c>
      <c r="L684" t="str">
        <f>_xlfn.TEXTJOIN(", ", FALSE, 'Audit Report'!K684,'Audit Report'!L684,'Audit Report'!M684)</f>
        <v xml:space="preserve">, , </v>
      </c>
      <c r="M684">
        <f>'Audit Report'!O684</f>
        <v>0</v>
      </c>
      <c r="N684" t="str" cm="1">
        <f t="array" ref="N684">IF(M684="","",
_xlfn.TEXTJOIN(", ",TRUE,
    _xlfn.MAP(_xlfn.TEXTSPLIT(M684,","),_xlfn.LAMBDA(_xlpm.x,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4">
        <f>'Audit Report'!F684</f>
        <v>0</v>
      </c>
      <c r="S684">
        <f>'Audit Report'!Q684</f>
        <v>0</v>
      </c>
    </row>
    <row r="685" spans="4:19">
      <c r="D685">
        <f>'Audit Report'!B685</f>
        <v>0</v>
      </c>
      <c r="E685">
        <f>'Audit Report'!C685</f>
        <v>0</v>
      </c>
      <c r="I685">
        <f>'Audit Report'!D685</f>
        <v>0</v>
      </c>
      <c r="J685">
        <f>'Audit Report'!H685</f>
        <v>0</v>
      </c>
      <c r="L685" t="str">
        <f>_xlfn.TEXTJOIN(", ", FALSE, 'Audit Report'!K685,'Audit Report'!L685,'Audit Report'!M685)</f>
        <v xml:space="preserve">, , </v>
      </c>
      <c r="M685">
        <f>'Audit Report'!O685</f>
        <v>0</v>
      </c>
      <c r="N685" t="str" cm="1">
        <f t="array" ref="N685">IF(M685="","",
_xlfn.TEXTJOIN(", ",TRUE,
    _xlfn.MAP(_xlfn.TEXTSPLIT(M685,","),_xlfn.LAMBDA(_xlpm.x,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5">
        <f>'Audit Report'!F685</f>
        <v>0</v>
      </c>
      <c r="S685">
        <f>'Audit Report'!Q685</f>
        <v>0</v>
      </c>
    </row>
    <row r="686" spans="4:19">
      <c r="D686">
        <f>'Audit Report'!B686</f>
        <v>0</v>
      </c>
      <c r="E686">
        <f>'Audit Report'!C686</f>
        <v>0</v>
      </c>
      <c r="I686">
        <f>'Audit Report'!D686</f>
        <v>0</v>
      </c>
      <c r="J686">
        <f>'Audit Report'!H686</f>
        <v>0</v>
      </c>
      <c r="L686" t="str">
        <f>_xlfn.TEXTJOIN(", ", FALSE, 'Audit Report'!K686,'Audit Report'!L686,'Audit Report'!M686)</f>
        <v xml:space="preserve">, , </v>
      </c>
      <c r="M686">
        <f>'Audit Report'!O686</f>
        <v>0</v>
      </c>
      <c r="N686" t="str" cm="1">
        <f t="array" ref="N686">IF(M686="","",
_xlfn.TEXTJOIN(", ",TRUE,
    _xlfn.MAP(_xlfn.TEXTSPLIT(M686,","),_xlfn.LAMBDA(_xlpm.x,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6">
        <f>'Audit Report'!F686</f>
        <v>0</v>
      </c>
      <c r="S686">
        <f>'Audit Report'!Q686</f>
        <v>0</v>
      </c>
    </row>
    <row r="687" spans="4:19">
      <c r="D687">
        <f>'Audit Report'!B687</f>
        <v>0</v>
      </c>
      <c r="E687">
        <f>'Audit Report'!C687</f>
        <v>0</v>
      </c>
      <c r="I687">
        <f>'Audit Report'!D687</f>
        <v>0</v>
      </c>
      <c r="J687">
        <f>'Audit Report'!H687</f>
        <v>0</v>
      </c>
      <c r="L687" t="str">
        <f>_xlfn.TEXTJOIN(", ", FALSE, 'Audit Report'!K687,'Audit Report'!L687,'Audit Report'!M687)</f>
        <v xml:space="preserve">, , </v>
      </c>
      <c r="M687">
        <f>'Audit Report'!O687</f>
        <v>0</v>
      </c>
      <c r="N687" t="str" cm="1">
        <f t="array" ref="N687">IF(M687="","",
_xlfn.TEXTJOIN(", ",TRUE,
    _xlfn.MAP(_xlfn.TEXTSPLIT(M687,","),_xlfn.LAMBDA(_xlpm.x,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7">
        <f>'Audit Report'!F687</f>
        <v>0</v>
      </c>
      <c r="S687">
        <f>'Audit Report'!Q687</f>
        <v>0</v>
      </c>
    </row>
    <row r="688" spans="4:19">
      <c r="D688">
        <f>'Audit Report'!B688</f>
        <v>0</v>
      </c>
      <c r="E688">
        <f>'Audit Report'!C688</f>
        <v>0</v>
      </c>
      <c r="I688">
        <f>'Audit Report'!D688</f>
        <v>0</v>
      </c>
      <c r="J688">
        <f>'Audit Report'!H688</f>
        <v>0</v>
      </c>
      <c r="L688" t="str">
        <f>_xlfn.TEXTJOIN(", ", FALSE, 'Audit Report'!K688,'Audit Report'!L688,'Audit Report'!M688)</f>
        <v xml:space="preserve">, , </v>
      </c>
      <c r="M688">
        <f>'Audit Report'!O688</f>
        <v>0</v>
      </c>
      <c r="N688" t="str" cm="1">
        <f t="array" ref="N688">IF(M688="","",
_xlfn.TEXTJOIN(", ",TRUE,
    _xlfn.MAP(_xlfn.TEXTSPLIT(M688,","),_xlfn.LAMBDA(_xlpm.x,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8">
        <f>'Audit Report'!F688</f>
        <v>0</v>
      </c>
      <c r="S688">
        <f>'Audit Report'!Q688</f>
        <v>0</v>
      </c>
    </row>
    <row r="689" spans="4:19">
      <c r="D689">
        <f>'Audit Report'!B689</f>
        <v>0</v>
      </c>
      <c r="E689">
        <f>'Audit Report'!C689</f>
        <v>0</v>
      </c>
      <c r="I689">
        <f>'Audit Report'!D689</f>
        <v>0</v>
      </c>
      <c r="J689">
        <f>'Audit Report'!H689</f>
        <v>0</v>
      </c>
      <c r="L689" t="str">
        <f>_xlfn.TEXTJOIN(", ", FALSE, 'Audit Report'!K689,'Audit Report'!L689,'Audit Report'!M689)</f>
        <v xml:space="preserve">, , </v>
      </c>
      <c r="M689">
        <f>'Audit Report'!O689</f>
        <v>0</v>
      </c>
      <c r="N689" t="str" cm="1">
        <f t="array" ref="N689">IF(M689="","",
_xlfn.TEXTJOIN(", ",TRUE,
    _xlfn.MAP(_xlfn.TEXTSPLIT(M689,","),_xlfn.LAMBDA(_xlpm.x,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9">
        <f>'Audit Report'!F689</f>
        <v>0</v>
      </c>
      <c r="S689">
        <f>'Audit Report'!Q689</f>
        <v>0</v>
      </c>
    </row>
    <row r="690" spans="4:19">
      <c r="D690">
        <f>'Audit Report'!B690</f>
        <v>0</v>
      </c>
      <c r="E690">
        <f>'Audit Report'!C690</f>
        <v>0</v>
      </c>
      <c r="I690">
        <f>'Audit Report'!D690</f>
        <v>0</v>
      </c>
      <c r="J690">
        <f>'Audit Report'!H690</f>
        <v>0</v>
      </c>
      <c r="L690" t="str">
        <f>_xlfn.TEXTJOIN(", ", FALSE, 'Audit Report'!K690,'Audit Report'!L690,'Audit Report'!M690)</f>
        <v xml:space="preserve">, , </v>
      </c>
      <c r="M690">
        <f>'Audit Report'!O690</f>
        <v>0</v>
      </c>
      <c r="N690" t="str" cm="1">
        <f t="array" ref="N690">IF(M690="","",
_xlfn.TEXTJOIN(", ",TRUE,
    _xlfn.MAP(_xlfn.TEXTSPLIT(M690,","),_xlfn.LAMBDA(_xlpm.x,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0">
        <f>'Audit Report'!F690</f>
        <v>0</v>
      </c>
      <c r="S690">
        <f>'Audit Report'!Q690</f>
        <v>0</v>
      </c>
    </row>
    <row r="691" spans="4:19">
      <c r="D691">
        <f>'Audit Report'!B691</f>
        <v>0</v>
      </c>
      <c r="E691">
        <f>'Audit Report'!C691</f>
        <v>0</v>
      </c>
      <c r="I691">
        <f>'Audit Report'!D691</f>
        <v>0</v>
      </c>
      <c r="J691">
        <f>'Audit Report'!H691</f>
        <v>0</v>
      </c>
      <c r="L691" t="str">
        <f>_xlfn.TEXTJOIN(", ", FALSE, 'Audit Report'!K691,'Audit Report'!L691,'Audit Report'!M691)</f>
        <v xml:space="preserve">, , </v>
      </c>
      <c r="M691">
        <f>'Audit Report'!O691</f>
        <v>0</v>
      </c>
      <c r="N691" t="str" cm="1">
        <f t="array" ref="N691">IF(M691="","",
_xlfn.TEXTJOIN(", ",TRUE,
    _xlfn.MAP(_xlfn.TEXTSPLIT(M691,","),_xlfn.LAMBDA(_xlpm.x,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1">
        <f>'Audit Report'!F691</f>
        <v>0</v>
      </c>
      <c r="S691">
        <f>'Audit Report'!Q691</f>
        <v>0</v>
      </c>
    </row>
    <row r="692" spans="4:19">
      <c r="D692">
        <f>'Audit Report'!B692</f>
        <v>0</v>
      </c>
      <c r="E692">
        <f>'Audit Report'!C692</f>
        <v>0</v>
      </c>
      <c r="I692">
        <f>'Audit Report'!D692</f>
        <v>0</v>
      </c>
      <c r="J692">
        <f>'Audit Report'!H692</f>
        <v>0</v>
      </c>
      <c r="L692" t="str">
        <f>_xlfn.TEXTJOIN(", ", FALSE, 'Audit Report'!K692,'Audit Report'!L692,'Audit Report'!M692)</f>
        <v xml:space="preserve">, , </v>
      </c>
      <c r="M692">
        <f>'Audit Report'!O692</f>
        <v>0</v>
      </c>
      <c r="N692" t="str" cm="1">
        <f t="array" ref="N692">IF(M692="","",
_xlfn.TEXTJOIN(", ",TRUE,
    _xlfn.MAP(_xlfn.TEXTSPLIT(M692,","),_xlfn.LAMBDA(_xlpm.x,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2">
        <f>'Audit Report'!F692</f>
        <v>0</v>
      </c>
      <c r="S692">
        <f>'Audit Report'!Q692</f>
        <v>0</v>
      </c>
    </row>
    <row r="693" spans="4:19">
      <c r="D693">
        <f>'Audit Report'!B693</f>
        <v>0</v>
      </c>
      <c r="E693">
        <f>'Audit Report'!C693</f>
        <v>0</v>
      </c>
      <c r="I693">
        <f>'Audit Report'!D693</f>
        <v>0</v>
      </c>
      <c r="J693">
        <f>'Audit Report'!H693</f>
        <v>0</v>
      </c>
      <c r="L693" t="str">
        <f>_xlfn.TEXTJOIN(", ", FALSE, 'Audit Report'!K693,'Audit Report'!L693,'Audit Report'!M693)</f>
        <v xml:space="preserve">, , </v>
      </c>
      <c r="M693">
        <f>'Audit Report'!O693</f>
        <v>0</v>
      </c>
      <c r="N693" t="str" cm="1">
        <f t="array" ref="N693">IF(M693="","",
_xlfn.TEXTJOIN(", ",TRUE,
    _xlfn.MAP(_xlfn.TEXTSPLIT(M693,","),_xlfn.LAMBDA(_xlpm.x,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3">
        <f>'Audit Report'!F693</f>
        <v>0</v>
      </c>
      <c r="S693">
        <f>'Audit Report'!Q693</f>
        <v>0</v>
      </c>
    </row>
    <row r="694" spans="4:19">
      <c r="D694">
        <f>'Audit Report'!B694</f>
        <v>0</v>
      </c>
      <c r="E694">
        <f>'Audit Report'!C694</f>
        <v>0</v>
      </c>
      <c r="I694">
        <f>'Audit Report'!D694</f>
        <v>0</v>
      </c>
      <c r="J694">
        <f>'Audit Report'!H694</f>
        <v>0</v>
      </c>
      <c r="L694" t="str">
        <f>_xlfn.TEXTJOIN(", ", FALSE, 'Audit Report'!K694,'Audit Report'!L694,'Audit Report'!M694)</f>
        <v xml:space="preserve">, , </v>
      </c>
      <c r="M694">
        <f>'Audit Report'!O694</f>
        <v>0</v>
      </c>
      <c r="N694" t="str" cm="1">
        <f t="array" ref="N694">IF(M694="","",
_xlfn.TEXTJOIN(", ",TRUE,
    _xlfn.MAP(_xlfn.TEXTSPLIT(M694,","),_xlfn.LAMBDA(_xlpm.x,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4">
        <f>'Audit Report'!F694</f>
        <v>0</v>
      </c>
      <c r="S694">
        <f>'Audit Report'!Q694</f>
        <v>0</v>
      </c>
    </row>
    <row r="695" spans="4:19">
      <c r="D695">
        <f>'Audit Report'!B695</f>
        <v>0</v>
      </c>
      <c r="E695">
        <f>'Audit Report'!C695</f>
        <v>0</v>
      </c>
      <c r="I695">
        <f>'Audit Report'!D695</f>
        <v>0</v>
      </c>
      <c r="J695">
        <f>'Audit Report'!H695</f>
        <v>0</v>
      </c>
      <c r="L695" t="str">
        <f>_xlfn.TEXTJOIN(", ", FALSE, 'Audit Report'!K695,'Audit Report'!L695,'Audit Report'!M695)</f>
        <v xml:space="preserve">, , </v>
      </c>
      <c r="M695">
        <f>'Audit Report'!O695</f>
        <v>0</v>
      </c>
      <c r="N695" t="str" cm="1">
        <f t="array" ref="N695">IF(M695="","",
_xlfn.TEXTJOIN(", ",TRUE,
    _xlfn.MAP(_xlfn.TEXTSPLIT(M695,","),_xlfn.LAMBDA(_xlpm.x,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5">
        <f>'Audit Report'!F695</f>
        <v>0</v>
      </c>
      <c r="S695">
        <f>'Audit Report'!Q695</f>
        <v>0</v>
      </c>
    </row>
    <row r="696" spans="4:19">
      <c r="D696">
        <f>'Audit Report'!B696</f>
        <v>0</v>
      </c>
      <c r="E696">
        <f>'Audit Report'!C696</f>
        <v>0</v>
      </c>
      <c r="I696">
        <f>'Audit Report'!D696</f>
        <v>0</v>
      </c>
      <c r="J696">
        <f>'Audit Report'!H696</f>
        <v>0</v>
      </c>
      <c r="L696" t="str">
        <f>_xlfn.TEXTJOIN(", ", FALSE, 'Audit Report'!K696,'Audit Report'!L696,'Audit Report'!M696)</f>
        <v xml:space="preserve">, , </v>
      </c>
      <c r="M696">
        <f>'Audit Report'!O696</f>
        <v>0</v>
      </c>
      <c r="N696" t="str" cm="1">
        <f t="array" ref="N696">IF(M696="","",
_xlfn.TEXTJOIN(", ",TRUE,
    _xlfn.MAP(_xlfn.TEXTSPLIT(M696,","),_xlfn.LAMBDA(_xlpm.x,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6">
        <f>'Audit Report'!F696</f>
        <v>0</v>
      </c>
      <c r="S696">
        <f>'Audit Report'!Q696</f>
        <v>0</v>
      </c>
    </row>
    <row r="697" spans="4:19">
      <c r="D697">
        <f>'Audit Report'!B697</f>
        <v>0</v>
      </c>
      <c r="E697">
        <f>'Audit Report'!C697</f>
        <v>0</v>
      </c>
      <c r="I697">
        <f>'Audit Report'!D697</f>
        <v>0</v>
      </c>
      <c r="J697">
        <f>'Audit Report'!H697</f>
        <v>0</v>
      </c>
      <c r="L697" t="str">
        <f>_xlfn.TEXTJOIN(", ", FALSE, 'Audit Report'!K697,'Audit Report'!L697,'Audit Report'!M697)</f>
        <v xml:space="preserve">, , </v>
      </c>
      <c r="M697">
        <f>'Audit Report'!O697</f>
        <v>0</v>
      </c>
      <c r="N697" t="str" cm="1">
        <f t="array" ref="N697">IF(M697="","",
_xlfn.TEXTJOIN(", ",TRUE,
    _xlfn.MAP(_xlfn.TEXTSPLIT(M697,","),_xlfn.LAMBDA(_xlpm.x,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7">
        <f>'Audit Report'!F697</f>
        <v>0</v>
      </c>
      <c r="S697">
        <f>'Audit Report'!Q697</f>
        <v>0</v>
      </c>
    </row>
    <row r="698" spans="4:19">
      <c r="D698">
        <f>'Audit Report'!B698</f>
        <v>0</v>
      </c>
      <c r="E698">
        <f>'Audit Report'!C698</f>
        <v>0</v>
      </c>
      <c r="I698">
        <f>'Audit Report'!D698</f>
        <v>0</v>
      </c>
      <c r="J698">
        <f>'Audit Report'!H698</f>
        <v>0</v>
      </c>
      <c r="L698" t="str">
        <f>_xlfn.TEXTJOIN(", ", FALSE, 'Audit Report'!K698,'Audit Report'!L698,'Audit Report'!M698)</f>
        <v xml:space="preserve">, , </v>
      </c>
      <c r="M698">
        <f>'Audit Report'!O698</f>
        <v>0</v>
      </c>
      <c r="N698" t="str" cm="1">
        <f t="array" ref="N698">IF(M698="","",
_xlfn.TEXTJOIN(", ",TRUE,
    _xlfn.MAP(_xlfn.TEXTSPLIT(M698,","),_xlfn.LAMBDA(_xlpm.x,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8">
        <f>'Audit Report'!F698</f>
        <v>0</v>
      </c>
      <c r="S698">
        <f>'Audit Report'!Q698</f>
        <v>0</v>
      </c>
    </row>
    <row r="699" spans="4:19">
      <c r="D699">
        <f>'Audit Report'!B699</f>
        <v>0</v>
      </c>
      <c r="E699">
        <f>'Audit Report'!C699</f>
        <v>0</v>
      </c>
      <c r="I699">
        <f>'Audit Report'!D699</f>
        <v>0</v>
      </c>
      <c r="J699">
        <f>'Audit Report'!H699</f>
        <v>0</v>
      </c>
      <c r="L699" t="str">
        <f>_xlfn.TEXTJOIN(", ", FALSE, 'Audit Report'!K699,'Audit Report'!L699,'Audit Report'!M699)</f>
        <v xml:space="preserve">, , </v>
      </c>
      <c r="M699">
        <f>'Audit Report'!O699</f>
        <v>0</v>
      </c>
      <c r="N699" t="str" cm="1">
        <f t="array" ref="N699">IF(M699="","",
_xlfn.TEXTJOIN(", ",TRUE,
    _xlfn.MAP(_xlfn.TEXTSPLIT(M699,","),_xlfn.LAMBDA(_xlpm.x,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9">
        <f>'Audit Report'!F699</f>
        <v>0</v>
      </c>
      <c r="S699">
        <f>'Audit Report'!Q699</f>
        <v>0</v>
      </c>
    </row>
    <row r="700" spans="4:19">
      <c r="D700">
        <f>'Audit Report'!B700</f>
        <v>0</v>
      </c>
      <c r="E700">
        <f>'Audit Report'!C700</f>
        <v>0</v>
      </c>
      <c r="I700">
        <f>'Audit Report'!D700</f>
        <v>0</v>
      </c>
      <c r="J700">
        <f>'Audit Report'!H700</f>
        <v>0</v>
      </c>
      <c r="L700" t="str">
        <f>_xlfn.TEXTJOIN(", ", FALSE, 'Audit Report'!K700,'Audit Report'!L700,'Audit Report'!M700)</f>
        <v xml:space="preserve">, , </v>
      </c>
      <c r="M700">
        <f>'Audit Report'!O700</f>
        <v>0</v>
      </c>
      <c r="N700" t="str" cm="1">
        <f t="array" ref="N700">IF(M700="","",
_xlfn.TEXTJOIN(", ",TRUE,
    _xlfn.MAP(_xlfn.TEXTSPLIT(M700,","),_xlfn.LAMBDA(_xlpm.x,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0">
        <f>'Audit Report'!F700</f>
        <v>0</v>
      </c>
      <c r="S700">
        <f>'Audit Report'!Q700</f>
        <v>0</v>
      </c>
    </row>
    <row r="701" spans="4:19">
      <c r="D701">
        <f>'Audit Report'!B701</f>
        <v>0</v>
      </c>
      <c r="E701">
        <f>'Audit Report'!C701</f>
        <v>0</v>
      </c>
      <c r="I701">
        <f>'Audit Report'!D701</f>
        <v>0</v>
      </c>
      <c r="J701">
        <f>'Audit Report'!H701</f>
        <v>0</v>
      </c>
      <c r="L701" t="str">
        <f>_xlfn.TEXTJOIN(", ", FALSE, 'Audit Report'!K701,'Audit Report'!L701,'Audit Report'!M701)</f>
        <v xml:space="preserve">, , </v>
      </c>
      <c r="M701">
        <f>'Audit Report'!O701</f>
        <v>0</v>
      </c>
      <c r="N701" t="str" cm="1">
        <f t="array" ref="N701">IF(M701="","",
_xlfn.TEXTJOIN(", ",TRUE,
    _xlfn.MAP(_xlfn.TEXTSPLIT(M701,","),_xlfn.LAMBDA(_xlpm.x,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1">
        <f>'Audit Report'!F701</f>
        <v>0</v>
      </c>
      <c r="S701">
        <f>'Audit Report'!Q701</f>
        <v>0</v>
      </c>
    </row>
    <row r="702" spans="4:19">
      <c r="D702">
        <f>'Audit Report'!B702</f>
        <v>0</v>
      </c>
      <c r="E702">
        <f>'Audit Report'!C702</f>
        <v>0</v>
      </c>
      <c r="I702">
        <f>'Audit Report'!D702</f>
        <v>0</v>
      </c>
      <c r="J702">
        <f>'Audit Report'!H702</f>
        <v>0</v>
      </c>
      <c r="L702" t="str">
        <f>_xlfn.TEXTJOIN(", ", FALSE, 'Audit Report'!K702,'Audit Report'!L702,'Audit Report'!M702)</f>
        <v xml:space="preserve">, , </v>
      </c>
      <c r="M702">
        <f>'Audit Report'!O702</f>
        <v>0</v>
      </c>
      <c r="N702" t="str" cm="1">
        <f t="array" ref="N702">IF(M702="","",
_xlfn.TEXTJOIN(", ",TRUE,
    _xlfn.MAP(_xlfn.TEXTSPLIT(M702,","),_xlfn.LAMBDA(_xlpm.x,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2">
        <f>'Audit Report'!F702</f>
        <v>0</v>
      </c>
      <c r="S702">
        <f>'Audit Report'!Q702</f>
        <v>0</v>
      </c>
    </row>
    <row r="703" spans="4:19">
      <c r="D703">
        <f>'Audit Report'!B703</f>
        <v>0</v>
      </c>
      <c r="E703">
        <f>'Audit Report'!C703</f>
        <v>0</v>
      </c>
      <c r="I703">
        <f>'Audit Report'!D703</f>
        <v>0</v>
      </c>
      <c r="J703">
        <f>'Audit Report'!H703</f>
        <v>0</v>
      </c>
      <c r="L703" t="str">
        <f>_xlfn.TEXTJOIN(", ", FALSE, 'Audit Report'!K703,'Audit Report'!L703,'Audit Report'!M703)</f>
        <v xml:space="preserve">, , </v>
      </c>
      <c r="M703">
        <f>'Audit Report'!O703</f>
        <v>0</v>
      </c>
      <c r="N703" t="str" cm="1">
        <f t="array" ref="N703">IF(M703="","",
_xlfn.TEXTJOIN(", ",TRUE,
    _xlfn.MAP(_xlfn.TEXTSPLIT(M703,","),_xlfn.LAMBDA(_xlpm.x,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3">
        <f>'Audit Report'!F703</f>
        <v>0</v>
      </c>
      <c r="S703">
        <f>'Audit Report'!Q703</f>
        <v>0</v>
      </c>
    </row>
    <row r="704" spans="4:19">
      <c r="D704">
        <f>'Audit Report'!B704</f>
        <v>0</v>
      </c>
      <c r="E704">
        <f>'Audit Report'!C704</f>
        <v>0</v>
      </c>
      <c r="I704">
        <f>'Audit Report'!D704</f>
        <v>0</v>
      </c>
      <c r="J704">
        <f>'Audit Report'!H704</f>
        <v>0</v>
      </c>
      <c r="L704" t="str">
        <f>_xlfn.TEXTJOIN(", ", FALSE, 'Audit Report'!K704,'Audit Report'!L704,'Audit Report'!M704)</f>
        <v xml:space="preserve">, , </v>
      </c>
      <c r="M704">
        <f>'Audit Report'!O704</f>
        <v>0</v>
      </c>
      <c r="N704" t="str" cm="1">
        <f t="array" ref="N704">IF(M704="","",
_xlfn.TEXTJOIN(", ",TRUE,
    _xlfn.MAP(_xlfn.TEXTSPLIT(M704,","),_xlfn.LAMBDA(_xlpm.x,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4">
        <f>'Audit Report'!F704</f>
        <v>0</v>
      </c>
      <c r="S704">
        <f>'Audit Report'!Q704</f>
        <v>0</v>
      </c>
    </row>
    <row r="705" spans="4:19">
      <c r="D705">
        <f>'Audit Report'!B705</f>
        <v>0</v>
      </c>
      <c r="E705">
        <f>'Audit Report'!C705</f>
        <v>0</v>
      </c>
      <c r="I705">
        <f>'Audit Report'!D705</f>
        <v>0</v>
      </c>
      <c r="J705">
        <f>'Audit Report'!H705</f>
        <v>0</v>
      </c>
      <c r="L705" t="str">
        <f>_xlfn.TEXTJOIN(", ", FALSE, 'Audit Report'!K705,'Audit Report'!L705,'Audit Report'!M705)</f>
        <v xml:space="preserve">, , </v>
      </c>
      <c r="M705">
        <f>'Audit Report'!O705</f>
        <v>0</v>
      </c>
      <c r="N705" t="str" cm="1">
        <f t="array" ref="N705">IF(M705="","",
_xlfn.TEXTJOIN(", ",TRUE,
    _xlfn.MAP(_xlfn.TEXTSPLIT(M705,","),_xlfn.LAMBDA(_xlpm.x,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5">
        <f>'Audit Report'!F705</f>
        <v>0</v>
      </c>
      <c r="S705">
        <f>'Audit Report'!Q705</f>
        <v>0</v>
      </c>
    </row>
    <row r="706" spans="4:19">
      <c r="D706">
        <f>'Audit Report'!B706</f>
        <v>0</v>
      </c>
      <c r="E706">
        <f>'Audit Report'!C706</f>
        <v>0</v>
      </c>
      <c r="I706">
        <f>'Audit Report'!D706</f>
        <v>0</v>
      </c>
      <c r="J706">
        <f>'Audit Report'!H706</f>
        <v>0</v>
      </c>
      <c r="L706" t="str">
        <f>_xlfn.TEXTJOIN(", ", FALSE, 'Audit Report'!K706,'Audit Report'!L706,'Audit Report'!M706)</f>
        <v xml:space="preserve">, , </v>
      </c>
      <c r="M706">
        <f>'Audit Report'!O706</f>
        <v>0</v>
      </c>
      <c r="N706" t="str" cm="1">
        <f t="array" ref="N706">IF(M706="","",
_xlfn.TEXTJOIN(", ",TRUE,
    _xlfn.MAP(_xlfn.TEXTSPLIT(M706,","),_xlfn.LAMBDA(_xlpm.x,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6">
        <f>'Audit Report'!F706</f>
        <v>0</v>
      </c>
      <c r="S706">
        <f>'Audit Report'!Q706</f>
        <v>0</v>
      </c>
    </row>
    <row r="707" spans="4:19">
      <c r="D707">
        <f>'Audit Report'!B707</f>
        <v>0</v>
      </c>
      <c r="E707">
        <f>'Audit Report'!C707</f>
        <v>0</v>
      </c>
      <c r="I707">
        <f>'Audit Report'!D707</f>
        <v>0</v>
      </c>
      <c r="J707">
        <f>'Audit Report'!H707</f>
        <v>0</v>
      </c>
      <c r="L707" t="str">
        <f>_xlfn.TEXTJOIN(", ", FALSE, 'Audit Report'!K707,'Audit Report'!L707,'Audit Report'!M707)</f>
        <v xml:space="preserve">, , </v>
      </c>
      <c r="M707">
        <f>'Audit Report'!O707</f>
        <v>0</v>
      </c>
      <c r="N707" t="str" cm="1">
        <f t="array" ref="N707">IF(M707="","",
_xlfn.TEXTJOIN(", ",TRUE,
    _xlfn.MAP(_xlfn.TEXTSPLIT(M707,","),_xlfn.LAMBDA(_xlpm.x,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7">
        <f>'Audit Report'!F707</f>
        <v>0</v>
      </c>
      <c r="S707">
        <f>'Audit Report'!Q707</f>
        <v>0</v>
      </c>
    </row>
    <row r="708" spans="4:19">
      <c r="D708">
        <f>'Audit Report'!B708</f>
        <v>0</v>
      </c>
      <c r="E708">
        <f>'Audit Report'!C708</f>
        <v>0</v>
      </c>
      <c r="I708">
        <f>'Audit Report'!D708</f>
        <v>0</v>
      </c>
      <c r="J708">
        <f>'Audit Report'!H708</f>
        <v>0</v>
      </c>
      <c r="L708" t="str">
        <f>_xlfn.TEXTJOIN(", ", FALSE, 'Audit Report'!K708,'Audit Report'!L708,'Audit Report'!M708)</f>
        <v xml:space="preserve">, , </v>
      </c>
      <c r="M708">
        <f>'Audit Report'!O708</f>
        <v>0</v>
      </c>
      <c r="N708" t="str" cm="1">
        <f t="array" ref="N708">IF(M708="","",
_xlfn.TEXTJOIN(", ",TRUE,
    _xlfn.MAP(_xlfn.TEXTSPLIT(M708,","),_xlfn.LAMBDA(_xlpm.x,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8">
        <f>'Audit Report'!F708</f>
        <v>0</v>
      </c>
      <c r="S708">
        <f>'Audit Report'!Q708</f>
        <v>0</v>
      </c>
    </row>
    <row r="709" spans="4:19">
      <c r="D709">
        <f>'Audit Report'!B709</f>
        <v>0</v>
      </c>
      <c r="E709">
        <f>'Audit Report'!C709</f>
        <v>0</v>
      </c>
      <c r="I709">
        <f>'Audit Report'!D709</f>
        <v>0</v>
      </c>
      <c r="J709">
        <f>'Audit Report'!H709</f>
        <v>0</v>
      </c>
      <c r="L709" t="str">
        <f>_xlfn.TEXTJOIN(", ", FALSE, 'Audit Report'!K709,'Audit Report'!L709,'Audit Report'!M709)</f>
        <v xml:space="preserve">, , </v>
      </c>
      <c r="M709">
        <f>'Audit Report'!O709</f>
        <v>0</v>
      </c>
      <c r="N709" t="str" cm="1">
        <f t="array" ref="N709">IF(M709="","",
_xlfn.TEXTJOIN(", ",TRUE,
    _xlfn.MAP(_xlfn.TEXTSPLIT(M709,","),_xlfn.LAMBDA(_xlpm.x,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9">
        <f>'Audit Report'!F709</f>
        <v>0</v>
      </c>
      <c r="S709">
        <f>'Audit Report'!Q709</f>
        <v>0</v>
      </c>
    </row>
    <row r="710" spans="4:19">
      <c r="D710">
        <f>'Audit Report'!B710</f>
        <v>0</v>
      </c>
      <c r="E710">
        <f>'Audit Report'!C710</f>
        <v>0</v>
      </c>
      <c r="I710">
        <f>'Audit Report'!D710</f>
        <v>0</v>
      </c>
      <c r="J710">
        <f>'Audit Report'!H710</f>
        <v>0</v>
      </c>
      <c r="L710" t="str">
        <f>_xlfn.TEXTJOIN(", ", FALSE, 'Audit Report'!K710,'Audit Report'!L710,'Audit Report'!M710)</f>
        <v xml:space="preserve">, , </v>
      </c>
      <c r="M710">
        <f>'Audit Report'!O710</f>
        <v>0</v>
      </c>
      <c r="N710" t="str" cm="1">
        <f t="array" ref="N710">IF(M710="","",
_xlfn.TEXTJOIN(", ",TRUE,
    _xlfn.MAP(_xlfn.TEXTSPLIT(M710,","),_xlfn.LAMBDA(_xlpm.x,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0">
        <f>'Audit Report'!F710</f>
        <v>0</v>
      </c>
      <c r="S710">
        <f>'Audit Report'!Q710</f>
        <v>0</v>
      </c>
    </row>
    <row r="711" spans="4:19">
      <c r="D711">
        <f>'Audit Report'!B711</f>
        <v>0</v>
      </c>
      <c r="E711">
        <f>'Audit Report'!C711</f>
        <v>0</v>
      </c>
      <c r="I711">
        <f>'Audit Report'!D711</f>
        <v>0</v>
      </c>
      <c r="J711">
        <f>'Audit Report'!H711</f>
        <v>0</v>
      </c>
      <c r="L711" t="str">
        <f>_xlfn.TEXTJOIN(", ", FALSE, 'Audit Report'!K711,'Audit Report'!L711,'Audit Report'!M711)</f>
        <v xml:space="preserve">, , </v>
      </c>
      <c r="M711">
        <f>'Audit Report'!O711</f>
        <v>0</v>
      </c>
      <c r="N711" t="str" cm="1">
        <f t="array" ref="N711">IF(M711="","",
_xlfn.TEXTJOIN(", ",TRUE,
    _xlfn.MAP(_xlfn.TEXTSPLIT(M711,","),_xlfn.LAMBDA(_xlpm.x,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1">
        <f>'Audit Report'!F711</f>
        <v>0</v>
      </c>
      <c r="S711">
        <f>'Audit Report'!Q711</f>
        <v>0</v>
      </c>
    </row>
    <row r="712" spans="4:19">
      <c r="D712">
        <f>'Audit Report'!B712</f>
        <v>0</v>
      </c>
      <c r="E712">
        <f>'Audit Report'!C712</f>
        <v>0</v>
      </c>
      <c r="I712">
        <f>'Audit Report'!D712</f>
        <v>0</v>
      </c>
      <c r="J712">
        <f>'Audit Report'!H712</f>
        <v>0</v>
      </c>
      <c r="L712" t="str">
        <f>_xlfn.TEXTJOIN(", ", FALSE, 'Audit Report'!K712,'Audit Report'!L712,'Audit Report'!M712)</f>
        <v xml:space="preserve">, , </v>
      </c>
      <c r="M712">
        <f>'Audit Report'!O712</f>
        <v>0</v>
      </c>
      <c r="N712" t="str" cm="1">
        <f t="array" ref="N712">IF(M712="","",
_xlfn.TEXTJOIN(", ",TRUE,
    _xlfn.MAP(_xlfn.TEXTSPLIT(M712,","),_xlfn.LAMBDA(_xlpm.x,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2">
        <f>'Audit Report'!F712</f>
        <v>0</v>
      </c>
      <c r="S712">
        <f>'Audit Report'!Q712</f>
        <v>0</v>
      </c>
    </row>
    <row r="713" spans="4:19">
      <c r="D713">
        <f>'Audit Report'!B713</f>
        <v>0</v>
      </c>
      <c r="E713">
        <f>'Audit Report'!C713</f>
        <v>0</v>
      </c>
      <c r="I713">
        <f>'Audit Report'!D713</f>
        <v>0</v>
      </c>
      <c r="J713">
        <f>'Audit Report'!H713</f>
        <v>0</v>
      </c>
      <c r="L713" t="str">
        <f>_xlfn.TEXTJOIN(", ", FALSE, 'Audit Report'!K713,'Audit Report'!L713,'Audit Report'!M713)</f>
        <v xml:space="preserve">, , </v>
      </c>
      <c r="M713">
        <f>'Audit Report'!O713</f>
        <v>0</v>
      </c>
      <c r="N713" t="str" cm="1">
        <f t="array" ref="N713">IF(M713="","",
_xlfn.TEXTJOIN(", ",TRUE,
    _xlfn.MAP(_xlfn.TEXTSPLIT(M713,","),_xlfn.LAMBDA(_xlpm.x,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3">
        <f>'Audit Report'!F713</f>
        <v>0</v>
      </c>
      <c r="S713">
        <f>'Audit Report'!Q713</f>
        <v>0</v>
      </c>
    </row>
    <row r="714" spans="4:19">
      <c r="D714">
        <f>'Audit Report'!B714</f>
        <v>0</v>
      </c>
      <c r="E714">
        <f>'Audit Report'!C714</f>
        <v>0</v>
      </c>
      <c r="I714">
        <f>'Audit Report'!D714</f>
        <v>0</v>
      </c>
      <c r="J714">
        <f>'Audit Report'!H714</f>
        <v>0</v>
      </c>
      <c r="L714" t="str">
        <f>_xlfn.TEXTJOIN(", ", FALSE, 'Audit Report'!K714,'Audit Report'!L714,'Audit Report'!M714)</f>
        <v xml:space="preserve">, , </v>
      </c>
      <c r="M714">
        <f>'Audit Report'!O714</f>
        <v>0</v>
      </c>
      <c r="N714" t="str" cm="1">
        <f t="array" ref="N714">IF(M714="","",
_xlfn.TEXTJOIN(", ",TRUE,
    _xlfn.MAP(_xlfn.TEXTSPLIT(M714,","),_xlfn.LAMBDA(_xlpm.x,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4">
        <f>'Audit Report'!F714</f>
        <v>0</v>
      </c>
      <c r="S714">
        <f>'Audit Report'!Q714</f>
        <v>0</v>
      </c>
    </row>
    <row r="715" spans="4:19">
      <c r="D715">
        <f>'Audit Report'!B715</f>
        <v>0</v>
      </c>
      <c r="E715">
        <f>'Audit Report'!C715</f>
        <v>0</v>
      </c>
      <c r="I715">
        <f>'Audit Report'!D715</f>
        <v>0</v>
      </c>
      <c r="J715">
        <f>'Audit Report'!H715</f>
        <v>0</v>
      </c>
      <c r="L715" t="str">
        <f>_xlfn.TEXTJOIN(", ", FALSE, 'Audit Report'!K715,'Audit Report'!L715,'Audit Report'!M715)</f>
        <v xml:space="preserve">, , </v>
      </c>
      <c r="M715">
        <f>'Audit Report'!O715</f>
        <v>0</v>
      </c>
      <c r="N715" t="str" cm="1">
        <f t="array" ref="N715">IF(M715="","",
_xlfn.TEXTJOIN(", ",TRUE,
    _xlfn.MAP(_xlfn.TEXTSPLIT(M715,","),_xlfn.LAMBDA(_xlpm.x,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5">
        <f>'Audit Report'!F715</f>
        <v>0</v>
      </c>
      <c r="S715">
        <f>'Audit Report'!Q715</f>
        <v>0</v>
      </c>
    </row>
    <row r="716" spans="4:19">
      <c r="D716">
        <f>'Audit Report'!B716</f>
        <v>0</v>
      </c>
      <c r="E716">
        <f>'Audit Report'!C716</f>
        <v>0</v>
      </c>
      <c r="I716">
        <f>'Audit Report'!D716</f>
        <v>0</v>
      </c>
      <c r="J716">
        <f>'Audit Report'!H716</f>
        <v>0</v>
      </c>
      <c r="L716" t="str">
        <f>_xlfn.TEXTJOIN(", ", FALSE, 'Audit Report'!K716,'Audit Report'!L716,'Audit Report'!M716)</f>
        <v xml:space="preserve">, , </v>
      </c>
      <c r="M716">
        <f>'Audit Report'!O716</f>
        <v>0</v>
      </c>
      <c r="N716" t="str" cm="1">
        <f t="array" ref="N716">IF(M716="","",
_xlfn.TEXTJOIN(", ",TRUE,
    _xlfn.MAP(_xlfn.TEXTSPLIT(M716,","),_xlfn.LAMBDA(_xlpm.x,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6">
        <f>'Audit Report'!F716</f>
        <v>0</v>
      </c>
      <c r="S716">
        <f>'Audit Report'!Q716</f>
        <v>0</v>
      </c>
    </row>
    <row r="717" spans="4:19">
      <c r="D717">
        <f>'Audit Report'!B717</f>
        <v>0</v>
      </c>
      <c r="E717">
        <f>'Audit Report'!C717</f>
        <v>0</v>
      </c>
      <c r="I717">
        <f>'Audit Report'!D717</f>
        <v>0</v>
      </c>
      <c r="J717">
        <f>'Audit Report'!H717</f>
        <v>0</v>
      </c>
      <c r="L717" t="str">
        <f>_xlfn.TEXTJOIN(", ", FALSE, 'Audit Report'!K717,'Audit Report'!L717,'Audit Report'!M717)</f>
        <v xml:space="preserve">, , </v>
      </c>
      <c r="M717">
        <f>'Audit Report'!O717</f>
        <v>0</v>
      </c>
      <c r="N717" t="str" cm="1">
        <f t="array" ref="N717">IF(M717="","",
_xlfn.TEXTJOIN(", ",TRUE,
    _xlfn.MAP(_xlfn.TEXTSPLIT(M717,","),_xlfn.LAMBDA(_xlpm.x,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7">
        <f>'Audit Report'!F717</f>
        <v>0</v>
      </c>
      <c r="S717">
        <f>'Audit Report'!Q717</f>
        <v>0</v>
      </c>
    </row>
    <row r="718" spans="4:19">
      <c r="D718">
        <f>'Audit Report'!B718</f>
        <v>0</v>
      </c>
      <c r="E718">
        <f>'Audit Report'!C718</f>
        <v>0</v>
      </c>
      <c r="I718">
        <f>'Audit Report'!D718</f>
        <v>0</v>
      </c>
      <c r="J718">
        <f>'Audit Report'!H718</f>
        <v>0</v>
      </c>
      <c r="L718" t="str">
        <f>_xlfn.TEXTJOIN(", ", FALSE, 'Audit Report'!K718,'Audit Report'!L718,'Audit Report'!M718)</f>
        <v xml:space="preserve">, , </v>
      </c>
      <c r="M718">
        <f>'Audit Report'!O718</f>
        <v>0</v>
      </c>
      <c r="N718" t="str" cm="1">
        <f t="array" ref="N718">IF(M718="","",
_xlfn.TEXTJOIN(", ",TRUE,
    _xlfn.MAP(_xlfn.TEXTSPLIT(M718,","),_xlfn.LAMBDA(_xlpm.x,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8">
        <f>'Audit Report'!F718</f>
        <v>0</v>
      </c>
      <c r="S718">
        <f>'Audit Report'!Q718</f>
        <v>0</v>
      </c>
    </row>
    <row r="719" spans="4:19">
      <c r="D719">
        <f>'Audit Report'!B719</f>
        <v>0</v>
      </c>
      <c r="E719">
        <f>'Audit Report'!C719</f>
        <v>0</v>
      </c>
      <c r="I719">
        <f>'Audit Report'!D719</f>
        <v>0</v>
      </c>
      <c r="J719">
        <f>'Audit Report'!H719</f>
        <v>0</v>
      </c>
      <c r="L719" t="str">
        <f>_xlfn.TEXTJOIN(", ", FALSE, 'Audit Report'!K719,'Audit Report'!L719,'Audit Report'!M719)</f>
        <v xml:space="preserve">, , </v>
      </c>
      <c r="M719">
        <f>'Audit Report'!O719</f>
        <v>0</v>
      </c>
      <c r="N719" t="str" cm="1">
        <f t="array" ref="N719">IF(M719="","",
_xlfn.TEXTJOIN(", ",TRUE,
    _xlfn.MAP(_xlfn.TEXTSPLIT(M719,","),_xlfn.LAMBDA(_xlpm.x,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9">
        <f>'Audit Report'!F719</f>
        <v>0</v>
      </c>
      <c r="S719">
        <f>'Audit Report'!Q719</f>
        <v>0</v>
      </c>
    </row>
    <row r="720" spans="4:19">
      <c r="D720">
        <f>'Audit Report'!B720</f>
        <v>0</v>
      </c>
      <c r="E720">
        <f>'Audit Report'!C720</f>
        <v>0</v>
      </c>
      <c r="I720">
        <f>'Audit Report'!D720</f>
        <v>0</v>
      </c>
      <c r="J720">
        <f>'Audit Report'!H720</f>
        <v>0</v>
      </c>
      <c r="L720" t="str">
        <f>_xlfn.TEXTJOIN(", ", FALSE, 'Audit Report'!K720,'Audit Report'!L720,'Audit Report'!M720)</f>
        <v xml:space="preserve">, , </v>
      </c>
      <c r="M720">
        <f>'Audit Report'!O720</f>
        <v>0</v>
      </c>
      <c r="N720" t="str" cm="1">
        <f t="array" ref="N720">IF(M720="","",
_xlfn.TEXTJOIN(", ",TRUE,
    _xlfn.MAP(_xlfn.TEXTSPLIT(M720,","),_xlfn.LAMBDA(_xlpm.x,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0">
        <f>'Audit Report'!F720</f>
        <v>0</v>
      </c>
      <c r="S720">
        <f>'Audit Report'!Q720</f>
        <v>0</v>
      </c>
    </row>
    <row r="721" spans="4:19">
      <c r="D721">
        <f>'Audit Report'!B721</f>
        <v>0</v>
      </c>
      <c r="E721">
        <f>'Audit Report'!C721</f>
        <v>0</v>
      </c>
      <c r="I721">
        <f>'Audit Report'!D721</f>
        <v>0</v>
      </c>
      <c r="J721">
        <f>'Audit Report'!H721</f>
        <v>0</v>
      </c>
      <c r="L721" t="str">
        <f>_xlfn.TEXTJOIN(", ", FALSE, 'Audit Report'!K721,'Audit Report'!L721,'Audit Report'!M721)</f>
        <v xml:space="preserve">, , </v>
      </c>
      <c r="M721">
        <f>'Audit Report'!O721</f>
        <v>0</v>
      </c>
      <c r="N721" t="str" cm="1">
        <f t="array" ref="N721">IF(M721="","",
_xlfn.TEXTJOIN(", ",TRUE,
    _xlfn.MAP(_xlfn.TEXTSPLIT(M721,","),_xlfn.LAMBDA(_xlpm.x,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1">
        <f>'Audit Report'!F721</f>
        <v>0</v>
      </c>
      <c r="S721">
        <f>'Audit Report'!Q721</f>
        <v>0</v>
      </c>
    </row>
    <row r="722" spans="4:19">
      <c r="D722">
        <f>'Audit Report'!B722</f>
        <v>0</v>
      </c>
      <c r="E722">
        <f>'Audit Report'!C722</f>
        <v>0</v>
      </c>
      <c r="I722">
        <f>'Audit Report'!D722</f>
        <v>0</v>
      </c>
      <c r="J722">
        <f>'Audit Report'!H722</f>
        <v>0</v>
      </c>
      <c r="L722" t="str">
        <f>_xlfn.TEXTJOIN(", ", FALSE, 'Audit Report'!K722,'Audit Report'!L722,'Audit Report'!M722)</f>
        <v xml:space="preserve">, , </v>
      </c>
      <c r="M722">
        <f>'Audit Report'!O722</f>
        <v>0</v>
      </c>
      <c r="N722" t="str" cm="1">
        <f t="array" ref="N722">IF(M722="","",
_xlfn.TEXTJOIN(", ",TRUE,
    _xlfn.MAP(_xlfn.TEXTSPLIT(M722,","),_xlfn.LAMBDA(_xlpm.x,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2">
        <f>'Audit Report'!F722</f>
        <v>0</v>
      </c>
      <c r="S722">
        <f>'Audit Report'!Q722</f>
        <v>0</v>
      </c>
    </row>
    <row r="723" spans="4:19">
      <c r="D723">
        <f>'Audit Report'!B723</f>
        <v>0</v>
      </c>
      <c r="E723">
        <f>'Audit Report'!C723</f>
        <v>0</v>
      </c>
      <c r="I723">
        <f>'Audit Report'!D723</f>
        <v>0</v>
      </c>
      <c r="J723">
        <f>'Audit Report'!H723</f>
        <v>0</v>
      </c>
      <c r="L723" t="str">
        <f>_xlfn.TEXTJOIN(", ", FALSE, 'Audit Report'!K723,'Audit Report'!L723,'Audit Report'!M723)</f>
        <v xml:space="preserve">, , </v>
      </c>
      <c r="M723">
        <f>'Audit Report'!O723</f>
        <v>0</v>
      </c>
      <c r="N723" t="str" cm="1">
        <f t="array" ref="N723">IF(M723="","",
_xlfn.TEXTJOIN(", ",TRUE,
    _xlfn.MAP(_xlfn.TEXTSPLIT(M723,","),_xlfn.LAMBDA(_xlpm.x,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3">
        <f>'Audit Report'!F723</f>
        <v>0</v>
      </c>
      <c r="S723">
        <f>'Audit Report'!Q723</f>
        <v>0</v>
      </c>
    </row>
    <row r="724" spans="4:19">
      <c r="D724">
        <f>'Audit Report'!B724</f>
        <v>0</v>
      </c>
      <c r="E724">
        <f>'Audit Report'!C724</f>
        <v>0</v>
      </c>
      <c r="I724">
        <f>'Audit Report'!D724</f>
        <v>0</v>
      </c>
      <c r="J724">
        <f>'Audit Report'!H724</f>
        <v>0</v>
      </c>
      <c r="L724" t="str">
        <f>_xlfn.TEXTJOIN(", ", FALSE, 'Audit Report'!K724,'Audit Report'!L724,'Audit Report'!M724)</f>
        <v xml:space="preserve">, , </v>
      </c>
      <c r="M724">
        <f>'Audit Report'!O724</f>
        <v>0</v>
      </c>
      <c r="N724" t="str" cm="1">
        <f t="array" ref="N724">IF(M724="","",
_xlfn.TEXTJOIN(", ",TRUE,
    _xlfn.MAP(_xlfn.TEXTSPLIT(M724,","),_xlfn.LAMBDA(_xlpm.x,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4">
        <f>'Audit Report'!F724</f>
        <v>0</v>
      </c>
      <c r="S724">
        <f>'Audit Report'!Q724</f>
        <v>0</v>
      </c>
    </row>
    <row r="725" spans="4:19">
      <c r="D725">
        <f>'Audit Report'!B725</f>
        <v>0</v>
      </c>
      <c r="E725">
        <f>'Audit Report'!C725</f>
        <v>0</v>
      </c>
      <c r="I725">
        <f>'Audit Report'!D725</f>
        <v>0</v>
      </c>
      <c r="J725">
        <f>'Audit Report'!H725</f>
        <v>0</v>
      </c>
      <c r="L725" t="str">
        <f>_xlfn.TEXTJOIN(", ", FALSE, 'Audit Report'!K725,'Audit Report'!L725,'Audit Report'!M725)</f>
        <v xml:space="preserve">, , </v>
      </c>
      <c r="M725">
        <f>'Audit Report'!O725</f>
        <v>0</v>
      </c>
      <c r="N725" t="str" cm="1">
        <f t="array" ref="N725">IF(M725="","",
_xlfn.TEXTJOIN(", ",TRUE,
    _xlfn.MAP(_xlfn.TEXTSPLIT(M725,","),_xlfn.LAMBDA(_xlpm.x,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5">
        <f>'Audit Report'!F725</f>
        <v>0</v>
      </c>
      <c r="S725">
        <f>'Audit Report'!Q725</f>
        <v>0</v>
      </c>
    </row>
    <row r="726" spans="4:19">
      <c r="D726">
        <f>'Audit Report'!B726</f>
        <v>0</v>
      </c>
      <c r="E726">
        <f>'Audit Report'!C726</f>
        <v>0</v>
      </c>
      <c r="I726">
        <f>'Audit Report'!D726</f>
        <v>0</v>
      </c>
      <c r="J726">
        <f>'Audit Report'!H726</f>
        <v>0</v>
      </c>
      <c r="L726" t="str">
        <f>_xlfn.TEXTJOIN(", ", FALSE, 'Audit Report'!K726,'Audit Report'!L726,'Audit Report'!M726)</f>
        <v xml:space="preserve">, , </v>
      </c>
      <c r="M726">
        <f>'Audit Report'!O726</f>
        <v>0</v>
      </c>
      <c r="N726" t="str" cm="1">
        <f t="array" ref="N726">IF(M726="","",
_xlfn.TEXTJOIN(", ",TRUE,
    _xlfn.MAP(_xlfn.TEXTSPLIT(M726,","),_xlfn.LAMBDA(_xlpm.x,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6">
        <f>'Audit Report'!F726</f>
        <v>0</v>
      </c>
      <c r="S726">
        <f>'Audit Report'!Q726</f>
        <v>0</v>
      </c>
    </row>
    <row r="727" spans="4:19">
      <c r="D727">
        <f>'Audit Report'!B727</f>
        <v>0</v>
      </c>
      <c r="E727">
        <f>'Audit Report'!C727</f>
        <v>0</v>
      </c>
      <c r="I727">
        <f>'Audit Report'!D727</f>
        <v>0</v>
      </c>
      <c r="J727">
        <f>'Audit Report'!H727</f>
        <v>0</v>
      </c>
      <c r="L727" t="str">
        <f>_xlfn.TEXTJOIN(", ", FALSE, 'Audit Report'!K727,'Audit Report'!L727,'Audit Report'!M727)</f>
        <v xml:space="preserve">, , </v>
      </c>
      <c r="M727">
        <f>'Audit Report'!O727</f>
        <v>0</v>
      </c>
      <c r="N727" t="str" cm="1">
        <f t="array" ref="N727">IF(M727="","",
_xlfn.TEXTJOIN(", ",TRUE,
    _xlfn.MAP(_xlfn.TEXTSPLIT(M727,","),_xlfn.LAMBDA(_xlpm.x,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7">
        <f>'Audit Report'!F727</f>
        <v>0</v>
      </c>
      <c r="S727">
        <f>'Audit Report'!Q727</f>
        <v>0</v>
      </c>
    </row>
    <row r="728" spans="4:19">
      <c r="D728">
        <f>'Audit Report'!B728</f>
        <v>0</v>
      </c>
      <c r="E728">
        <f>'Audit Report'!C728</f>
        <v>0</v>
      </c>
      <c r="I728">
        <f>'Audit Report'!D728</f>
        <v>0</v>
      </c>
      <c r="J728">
        <f>'Audit Report'!H728</f>
        <v>0</v>
      </c>
      <c r="L728" t="str">
        <f>_xlfn.TEXTJOIN(", ", FALSE, 'Audit Report'!K728,'Audit Report'!L728,'Audit Report'!M728)</f>
        <v xml:space="preserve">, , </v>
      </c>
      <c r="M728">
        <f>'Audit Report'!O728</f>
        <v>0</v>
      </c>
      <c r="N728" t="str" cm="1">
        <f t="array" ref="N728">IF(M728="","",
_xlfn.TEXTJOIN(", ",TRUE,
    _xlfn.MAP(_xlfn.TEXTSPLIT(M728,","),_xlfn.LAMBDA(_xlpm.x,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8">
        <f>'Audit Report'!F728</f>
        <v>0</v>
      </c>
      <c r="S728">
        <f>'Audit Report'!Q728</f>
        <v>0</v>
      </c>
    </row>
    <row r="729" spans="4:19">
      <c r="D729">
        <f>'Audit Report'!B729</f>
        <v>0</v>
      </c>
      <c r="E729">
        <f>'Audit Report'!C729</f>
        <v>0</v>
      </c>
      <c r="I729">
        <f>'Audit Report'!D729</f>
        <v>0</v>
      </c>
      <c r="J729">
        <f>'Audit Report'!H729</f>
        <v>0</v>
      </c>
      <c r="L729" t="str">
        <f>_xlfn.TEXTJOIN(", ", FALSE, 'Audit Report'!K729,'Audit Report'!L729,'Audit Report'!M729)</f>
        <v xml:space="preserve">, , </v>
      </c>
      <c r="M729">
        <f>'Audit Report'!O729</f>
        <v>0</v>
      </c>
      <c r="N729" t="str" cm="1">
        <f t="array" ref="N729">IF(M729="","",
_xlfn.TEXTJOIN(", ",TRUE,
    _xlfn.MAP(_xlfn.TEXTSPLIT(M729,","),_xlfn.LAMBDA(_xlpm.x,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9">
        <f>'Audit Report'!F729</f>
        <v>0</v>
      </c>
      <c r="S729">
        <f>'Audit Report'!Q729</f>
        <v>0</v>
      </c>
    </row>
    <row r="730" spans="4:19">
      <c r="D730">
        <f>'Audit Report'!B730</f>
        <v>0</v>
      </c>
      <c r="E730">
        <f>'Audit Report'!C730</f>
        <v>0</v>
      </c>
      <c r="I730">
        <f>'Audit Report'!D730</f>
        <v>0</v>
      </c>
      <c r="J730">
        <f>'Audit Report'!H730</f>
        <v>0</v>
      </c>
      <c r="L730" t="str">
        <f>_xlfn.TEXTJOIN(", ", FALSE, 'Audit Report'!K730,'Audit Report'!L730,'Audit Report'!M730)</f>
        <v xml:space="preserve">, , </v>
      </c>
      <c r="M730">
        <f>'Audit Report'!O730</f>
        <v>0</v>
      </c>
      <c r="N730" t="str" cm="1">
        <f t="array" ref="N730">IF(M730="","",
_xlfn.TEXTJOIN(", ",TRUE,
    _xlfn.MAP(_xlfn.TEXTSPLIT(M730,","),_xlfn.LAMBDA(_xlpm.x,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0">
        <f>'Audit Report'!F730</f>
        <v>0</v>
      </c>
      <c r="S730">
        <f>'Audit Report'!Q730</f>
        <v>0</v>
      </c>
    </row>
    <row r="731" spans="4:19">
      <c r="D731">
        <f>'Audit Report'!B731</f>
        <v>0</v>
      </c>
      <c r="E731">
        <f>'Audit Report'!C731</f>
        <v>0</v>
      </c>
      <c r="I731">
        <f>'Audit Report'!D731</f>
        <v>0</v>
      </c>
      <c r="J731">
        <f>'Audit Report'!H731</f>
        <v>0</v>
      </c>
      <c r="L731" t="str">
        <f>_xlfn.TEXTJOIN(", ", FALSE, 'Audit Report'!K731,'Audit Report'!L731,'Audit Report'!M731)</f>
        <v xml:space="preserve">, , </v>
      </c>
      <c r="M731">
        <f>'Audit Report'!O731</f>
        <v>0</v>
      </c>
      <c r="N731" t="str" cm="1">
        <f t="array" ref="N731">IF(M731="","",
_xlfn.TEXTJOIN(", ",TRUE,
    _xlfn.MAP(_xlfn.TEXTSPLIT(M731,","),_xlfn.LAMBDA(_xlpm.x,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1">
        <f>'Audit Report'!F731</f>
        <v>0</v>
      </c>
      <c r="S731">
        <f>'Audit Report'!Q731</f>
        <v>0</v>
      </c>
    </row>
    <row r="732" spans="4:19">
      <c r="D732">
        <f>'Audit Report'!B732</f>
        <v>0</v>
      </c>
      <c r="E732">
        <f>'Audit Report'!C732</f>
        <v>0</v>
      </c>
      <c r="I732">
        <f>'Audit Report'!D732</f>
        <v>0</v>
      </c>
      <c r="J732">
        <f>'Audit Report'!H732</f>
        <v>0</v>
      </c>
      <c r="L732" t="str">
        <f>_xlfn.TEXTJOIN(", ", FALSE, 'Audit Report'!K732,'Audit Report'!L732,'Audit Report'!M732)</f>
        <v xml:space="preserve">, , </v>
      </c>
      <c r="M732">
        <f>'Audit Report'!O732</f>
        <v>0</v>
      </c>
      <c r="N732" t="str" cm="1">
        <f t="array" ref="N732">IF(M732="","",
_xlfn.TEXTJOIN(", ",TRUE,
    _xlfn.MAP(_xlfn.TEXTSPLIT(M732,","),_xlfn.LAMBDA(_xlpm.x,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2">
        <f>'Audit Report'!F732</f>
        <v>0</v>
      </c>
      <c r="S732">
        <f>'Audit Report'!Q732</f>
        <v>0</v>
      </c>
    </row>
    <row r="733" spans="4:19">
      <c r="D733">
        <f>'Audit Report'!B733</f>
        <v>0</v>
      </c>
      <c r="E733">
        <f>'Audit Report'!C733</f>
        <v>0</v>
      </c>
      <c r="I733">
        <f>'Audit Report'!D733</f>
        <v>0</v>
      </c>
      <c r="J733">
        <f>'Audit Report'!H733</f>
        <v>0</v>
      </c>
      <c r="L733" t="str">
        <f>_xlfn.TEXTJOIN(", ", FALSE, 'Audit Report'!K733,'Audit Report'!L733,'Audit Report'!M733)</f>
        <v xml:space="preserve">, , </v>
      </c>
      <c r="M733">
        <f>'Audit Report'!O733</f>
        <v>0</v>
      </c>
      <c r="N733" t="str" cm="1">
        <f t="array" ref="N733">IF(M733="","",
_xlfn.TEXTJOIN(", ",TRUE,
    _xlfn.MAP(_xlfn.TEXTSPLIT(M733,","),_xlfn.LAMBDA(_xlpm.x,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3">
        <f>'Audit Report'!F733</f>
        <v>0</v>
      </c>
      <c r="S733">
        <f>'Audit Report'!Q733</f>
        <v>0</v>
      </c>
    </row>
    <row r="734" spans="4:19">
      <c r="D734">
        <f>'Audit Report'!B734</f>
        <v>0</v>
      </c>
      <c r="E734">
        <f>'Audit Report'!C734</f>
        <v>0</v>
      </c>
      <c r="I734">
        <f>'Audit Report'!D734</f>
        <v>0</v>
      </c>
      <c r="J734">
        <f>'Audit Report'!H734</f>
        <v>0</v>
      </c>
      <c r="L734" t="str">
        <f>_xlfn.TEXTJOIN(", ", FALSE, 'Audit Report'!K734,'Audit Report'!L734,'Audit Report'!M734)</f>
        <v xml:space="preserve">, , </v>
      </c>
      <c r="M734">
        <f>'Audit Report'!O734</f>
        <v>0</v>
      </c>
      <c r="N734" t="str" cm="1">
        <f t="array" ref="N734">IF(M734="","",
_xlfn.TEXTJOIN(", ",TRUE,
    _xlfn.MAP(_xlfn.TEXTSPLIT(M734,","),_xlfn.LAMBDA(_xlpm.x,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4">
        <f>'Audit Report'!F734</f>
        <v>0</v>
      </c>
      <c r="S734">
        <f>'Audit Report'!Q734</f>
        <v>0</v>
      </c>
    </row>
    <row r="735" spans="4:19">
      <c r="D735">
        <f>'Audit Report'!B735</f>
        <v>0</v>
      </c>
      <c r="E735">
        <f>'Audit Report'!C735</f>
        <v>0</v>
      </c>
      <c r="I735">
        <f>'Audit Report'!D735</f>
        <v>0</v>
      </c>
      <c r="J735">
        <f>'Audit Report'!H735</f>
        <v>0</v>
      </c>
      <c r="L735" t="str">
        <f>_xlfn.TEXTJOIN(", ", FALSE, 'Audit Report'!K735,'Audit Report'!L735,'Audit Report'!M735)</f>
        <v xml:space="preserve">, , </v>
      </c>
      <c r="M735">
        <f>'Audit Report'!O735</f>
        <v>0</v>
      </c>
      <c r="N735" t="str" cm="1">
        <f t="array" ref="N735">IF(M735="","",
_xlfn.TEXTJOIN(", ",TRUE,
    _xlfn.MAP(_xlfn.TEXTSPLIT(M735,","),_xlfn.LAMBDA(_xlpm.x,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5">
        <f>'Audit Report'!F735</f>
        <v>0</v>
      </c>
      <c r="S735">
        <f>'Audit Report'!Q735</f>
        <v>0</v>
      </c>
    </row>
    <row r="736" spans="4:19">
      <c r="D736">
        <f>'Audit Report'!B736</f>
        <v>0</v>
      </c>
      <c r="E736">
        <f>'Audit Report'!C736</f>
        <v>0</v>
      </c>
      <c r="I736">
        <f>'Audit Report'!D736</f>
        <v>0</v>
      </c>
      <c r="J736">
        <f>'Audit Report'!H736</f>
        <v>0</v>
      </c>
      <c r="L736" t="str">
        <f>_xlfn.TEXTJOIN(", ", FALSE, 'Audit Report'!K736,'Audit Report'!L736,'Audit Report'!M736)</f>
        <v xml:space="preserve">, , </v>
      </c>
      <c r="M736">
        <f>'Audit Report'!O736</f>
        <v>0</v>
      </c>
      <c r="N736" t="str" cm="1">
        <f t="array" ref="N736">IF(M736="","",
_xlfn.TEXTJOIN(", ",TRUE,
    _xlfn.MAP(_xlfn.TEXTSPLIT(M736,","),_xlfn.LAMBDA(_xlpm.x,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6">
        <f>'Audit Report'!F736</f>
        <v>0</v>
      </c>
      <c r="S736">
        <f>'Audit Report'!Q736</f>
        <v>0</v>
      </c>
    </row>
    <row r="737" spans="4:19">
      <c r="D737">
        <f>'Audit Report'!B737</f>
        <v>0</v>
      </c>
      <c r="E737">
        <f>'Audit Report'!C737</f>
        <v>0</v>
      </c>
      <c r="I737">
        <f>'Audit Report'!D737</f>
        <v>0</v>
      </c>
      <c r="J737">
        <f>'Audit Report'!H737</f>
        <v>0</v>
      </c>
      <c r="L737" t="str">
        <f>_xlfn.TEXTJOIN(", ", FALSE, 'Audit Report'!K737,'Audit Report'!L737,'Audit Report'!M737)</f>
        <v xml:space="preserve">, , </v>
      </c>
      <c r="M737">
        <f>'Audit Report'!O737</f>
        <v>0</v>
      </c>
      <c r="N737" t="str" cm="1">
        <f t="array" ref="N737">IF(M737="","",
_xlfn.TEXTJOIN(", ",TRUE,
    _xlfn.MAP(_xlfn.TEXTSPLIT(M737,","),_xlfn.LAMBDA(_xlpm.x,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7">
        <f>'Audit Report'!F737</f>
        <v>0</v>
      </c>
      <c r="S737">
        <f>'Audit Report'!Q737</f>
        <v>0</v>
      </c>
    </row>
    <row r="738" spans="4:19">
      <c r="D738">
        <f>'Audit Report'!B738</f>
        <v>0</v>
      </c>
      <c r="E738">
        <f>'Audit Report'!C738</f>
        <v>0</v>
      </c>
      <c r="I738">
        <f>'Audit Report'!D738</f>
        <v>0</v>
      </c>
      <c r="J738">
        <f>'Audit Report'!H738</f>
        <v>0</v>
      </c>
      <c r="L738" t="str">
        <f>_xlfn.TEXTJOIN(", ", FALSE, 'Audit Report'!K738,'Audit Report'!L738,'Audit Report'!M738)</f>
        <v xml:space="preserve">, , </v>
      </c>
      <c r="M738">
        <f>'Audit Report'!O738</f>
        <v>0</v>
      </c>
      <c r="N738" t="str" cm="1">
        <f t="array" ref="N738">IF(M738="","",
_xlfn.TEXTJOIN(", ",TRUE,
    _xlfn.MAP(_xlfn.TEXTSPLIT(M738,","),_xlfn.LAMBDA(_xlpm.x,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8">
        <f>'Audit Report'!F738</f>
        <v>0</v>
      </c>
      <c r="S738">
        <f>'Audit Report'!Q738</f>
        <v>0</v>
      </c>
    </row>
    <row r="739" spans="4:19">
      <c r="D739">
        <f>'Audit Report'!B739</f>
        <v>0</v>
      </c>
      <c r="E739">
        <f>'Audit Report'!C739</f>
        <v>0</v>
      </c>
      <c r="I739">
        <f>'Audit Report'!D739</f>
        <v>0</v>
      </c>
      <c r="J739">
        <f>'Audit Report'!H739</f>
        <v>0</v>
      </c>
      <c r="L739" t="str">
        <f>_xlfn.TEXTJOIN(", ", FALSE, 'Audit Report'!K739,'Audit Report'!L739,'Audit Report'!M739)</f>
        <v xml:space="preserve">, , </v>
      </c>
      <c r="M739">
        <f>'Audit Report'!O739</f>
        <v>0</v>
      </c>
      <c r="N739" t="str" cm="1">
        <f t="array" ref="N739">IF(M739="","",
_xlfn.TEXTJOIN(", ",TRUE,
    _xlfn.MAP(_xlfn.TEXTSPLIT(M739,","),_xlfn.LAMBDA(_xlpm.x,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9">
        <f>'Audit Report'!F739</f>
        <v>0</v>
      </c>
      <c r="S739">
        <f>'Audit Report'!Q739</f>
        <v>0</v>
      </c>
    </row>
    <row r="740" spans="4:19">
      <c r="D740">
        <f>'Audit Report'!B740</f>
        <v>0</v>
      </c>
      <c r="E740">
        <f>'Audit Report'!C740</f>
        <v>0</v>
      </c>
      <c r="I740">
        <f>'Audit Report'!D740</f>
        <v>0</v>
      </c>
      <c r="J740">
        <f>'Audit Report'!H740</f>
        <v>0</v>
      </c>
      <c r="L740" t="str">
        <f>_xlfn.TEXTJOIN(", ", FALSE, 'Audit Report'!K740,'Audit Report'!L740,'Audit Report'!M740)</f>
        <v xml:space="preserve">, , </v>
      </c>
      <c r="M740">
        <f>'Audit Report'!O740</f>
        <v>0</v>
      </c>
      <c r="N740" t="str" cm="1">
        <f t="array" ref="N740">IF(M740="","",
_xlfn.TEXTJOIN(", ",TRUE,
    _xlfn.MAP(_xlfn.TEXTSPLIT(M740,","),_xlfn.LAMBDA(_xlpm.x,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0">
        <f>'Audit Report'!F740</f>
        <v>0</v>
      </c>
      <c r="S740">
        <f>'Audit Report'!Q740</f>
        <v>0</v>
      </c>
    </row>
    <row r="741" spans="4:19">
      <c r="D741">
        <f>'Audit Report'!B741</f>
        <v>0</v>
      </c>
      <c r="E741">
        <f>'Audit Report'!C741</f>
        <v>0</v>
      </c>
      <c r="I741">
        <f>'Audit Report'!D741</f>
        <v>0</v>
      </c>
      <c r="J741">
        <f>'Audit Report'!H741</f>
        <v>0</v>
      </c>
      <c r="L741" t="str">
        <f>_xlfn.TEXTJOIN(", ", FALSE, 'Audit Report'!K741,'Audit Report'!L741,'Audit Report'!M741)</f>
        <v xml:space="preserve">, , </v>
      </c>
      <c r="M741">
        <f>'Audit Report'!O741</f>
        <v>0</v>
      </c>
      <c r="N741" t="str" cm="1">
        <f t="array" ref="N741">IF(M741="","",
_xlfn.TEXTJOIN(", ",TRUE,
    _xlfn.MAP(_xlfn.TEXTSPLIT(M741,","),_xlfn.LAMBDA(_xlpm.x,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1">
        <f>'Audit Report'!F741</f>
        <v>0</v>
      </c>
      <c r="S741">
        <f>'Audit Report'!Q741</f>
        <v>0</v>
      </c>
    </row>
    <row r="742" spans="4:19">
      <c r="D742">
        <f>'Audit Report'!B742</f>
        <v>0</v>
      </c>
      <c r="E742">
        <f>'Audit Report'!C742</f>
        <v>0</v>
      </c>
      <c r="I742">
        <f>'Audit Report'!D742</f>
        <v>0</v>
      </c>
      <c r="J742">
        <f>'Audit Report'!H742</f>
        <v>0</v>
      </c>
      <c r="L742" t="str">
        <f>_xlfn.TEXTJOIN(", ", FALSE, 'Audit Report'!K742,'Audit Report'!L742,'Audit Report'!M742)</f>
        <v xml:space="preserve">, , </v>
      </c>
      <c r="M742">
        <f>'Audit Report'!O742</f>
        <v>0</v>
      </c>
      <c r="N742" t="str" cm="1">
        <f t="array" ref="N742">IF(M742="","",
_xlfn.TEXTJOIN(", ",TRUE,
    _xlfn.MAP(_xlfn.TEXTSPLIT(M742,","),_xlfn.LAMBDA(_xlpm.x,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2">
        <f>'Audit Report'!F742</f>
        <v>0</v>
      </c>
      <c r="S742">
        <f>'Audit Report'!Q742</f>
        <v>0</v>
      </c>
    </row>
    <row r="743" spans="4:19">
      <c r="D743">
        <f>'Audit Report'!B743</f>
        <v>0</v>
      </c>
      <c r="E743">
        <f>'Audit Report'!C743</f>
        <v>0</v>
      </c>
      <c r="I743">
        <f>'Audit Report'!D743</f>
        <v>0</v>
      </c>
      <c r="J743">
        <f>'Audit Report'!H743</f>
        <v>0</v>
      </c>
      <c r="L743" t="str">
        <f>_xlfn.TEXTJOIN(", ", FALSE, 'Audit Report'!K743,'Audit Report'!L743,'Audit Report'!M743)</f>
        <v xml:space="preserve">, , </v>
      </c>
      <c r="M743">
        <f>'Audit Report'!O743</f>
        <v>0</v>
      </c>
      <c r="N743" t="str" cm="1">
        <f t="array" ref="N743">IF(M743="","",
_xlfn.TEXTJOIN(", ",TRUE,
    _xlfn.MAP(_xlfn.TEXTSPLIT(M743,","),_xlfn.LAMBDA(_xlpm.x,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3">
        <f>'Audit Report'!F743</f>
        <v>0</v>
      </c>
      <c r="S743">
        <f>'Audit Report'!Q743</f>
        <v>0</v>
      </c>
    </row>
    <row r="744" spans="4:19">
      <c r="D744">
        <f>'Audit Report'!B744</f>
        <v>0</v>
      </c>
      <c r="E744">
        <f>'Audit Report'!C744</f>
        <v>0</v>
      </c>
      <c r="I744">
        <f>'Audit Report'!D744</f>
        <v>0</v>
      </c>
      <c r="J744">
        <f>'Audit Report'!H744</f>
        <v>0</v>
      </c>
      <c r="L744" t="str">
        <f>_xlfn.TEXTJOIN(", ", FALSE, 'Audit Report'!K744,'Audit Report'!L744,'Audit Report'!M744)</f>
        <v xml:space="preserve">, , </v>
      </c>
      <c r="M744">
        <f>'Audit Report'!O744</f>
        <v>0</v>
      </c>
      <c r="N744" t="str" cm="1">
        <f t="array" ref="N744">IF(M744="","",
_xlfn.TEXTJOIN(", ",TRUE,
    _xlfn.MAP(_xlfn.TEXTSPLIT(M744,","),_xlfn.LAMBDA(_xlpm.x,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4">
        <f>'Audit Report'!F744</f>
        <v>0</v>
      </c>
      <c r="S744">
        <f>'Audit Report'!Q744</f>
        <v>0</v>
      </c>
    </row>
    <row r="745" spans="4:19">
      <c r="D745">
        <f>'Audit Report'!B745</f>
        <v>0</v>
      </c>
      <c r="E745">
        <f>'Audit Report'!C745</f>
        <v>0</v>
      </c>
      <c r="I745">
        <f>'Audit Report'!D745</f>
        <v>0</v>
      </c>
      <c r="J745">
        <f>'Audit Report'!H745</f>
        <v>0</v>
      </c>
      <c r="L745" t="str">
        <f>_xlfn.TEXTJOIN(", ", FALSE, 'Audit Report'!K745,'Audit Report'!L745,'Audit Report'!M745)</f>
        <v xml:space="preserve">, , </v>
      </c>
      <c r="M745">
        <f>'Audit Report'!O745</f>
        <v>0</v>
      </c>
      <c r="N745" t="str" cm="1">
        <f t="array" ref="N745">IF(M745="","",
_xlfn.TEXTJOIN(", ",TRUE,
    _xlfn.MAP(_xlfn.TEXTSPLIT(M745,","),_xlfn.LAMBDA(_xlpm.x,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5">
        <f>'Audit Report'!F745</f>
        <v>0</v>
      </c>
      <c r="S745">
        <f>'Audit Report'!Q745</f>
        <v>0</v>
      </c>
    </row>
    <row r="746" spans="4:19">
      <c r="D746">
        <f>'Audit Report'!B746</f>
        <v>0</v>
      </c>
      <c r="E746">
        <f>'Audit Report'!C746</f>
        <v>0</v>
      </c>
      <c r="I746">
        <f>'Audit Report'!D746</f>
        <v>0</v>
      </c>
      <c r="J746">
        <f>'Audit Report'!H746</f>
        <v>0</v>
      </c>
      <c r="L746" t="str">
        <f>_xlfn.TEXTJOIN(", ", FALSE, 'Audit Report'!K746,'Audit Report'!L746,'Audit Report'!M746)</f>
        <v xml:space="preserve">, , </v>
      </c>
      <c r="M746">
        <f>'Audit Report'!O746</f>
        <v>0</v>
      </c>
      <c r="N746" t="str" cm="1">
        <f t="array" ref="N746">IF(M746="","",
_xlfn.TEXTJOIN(", ",TRUE,
    _xlfn.MAP(_xlfn.TEXTSPLIT(M746,","),_xlfn.LAMBDA(_xlpm.x,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6">
        <f>'Audit Report'!F746</f>
        <v>0</v>
      </c>
      <c r="S746">
        <f>'Audit Report'!Q746</f>
        <v>0</v>
      </c>
    </row>
    <row r="747" spans="4:19">
      <c r="D747">
        <f>'Audit Report'!B747</f>
        <v>0</v>
      </c>
      <c r="E747">
        <f>'Audit Report'!C747</f>
        <v>0</v>
      </c>
      <c r="I747">
        <f>'Audit Report'!D747</f>
        <v>0</v>
      </c>
      <c r="J747">
        <f>'Audit Report'!H747</f>
        <v>0</v>
      </c>
      <c r="L747" t="str">
        <f>_xlfn.TEXTJOIN(", ", FALSE, 'Audit Report'!K747,'Audit Report'!L747,'Audit Report'!M747)</f>
        <v xml:space="preserve">, , </v>
      </c>
      <c r="M747">
        <f>'Audit Report'!O747</f>
        <v>0</v>
      </c>
      <c r="N747" t="str" cm="1">
        <f t="array" ref="N747">IF(M747="","",
_xlfn.TEXTJOIN(", ",TRUE,
    _xlfn.MAP(_xlfn.TEXTSPLIT(M747,","),_xlfn.LAMBDA(_xlpm.x,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7">
        <f>'Audit Report'!F747</f>
        <v>0</v>
      </c>
      <c r="S747">
        <f>'Audit Report'!Q747</f>
        <v>0</v>
      </c>
    </row>
    <row r="748" spans="4:19">
      <c r="D748">
        <f>'Audit Report'!B748</f>
        <v>0</v>
      </c>
      <c r="E748">
        <f>'Audit Report'!C748</f>
        <v>0</v>
      </c>
      <c r="I748">
        <f>'Audit Report'!D748</f>
        <v>0</v>
      </c>
      <c r="J748">
        <f>'Audit Report'!H748</f>
        <v>0</v>
      </c>
      <c r="L748" t="str">
        <f>_xlfn.TEXTJOIN(", ", FALSE, 'Audit Report'!K748,'Audit Report'!L748,'Audit Report'!M748)</f>
        <v xml:space="preserve">, , </v>
      </c>
      <c r="M748">
        <f>'Audit Report'!O748</f>
        <v>0</v>
      </c>
      <c r="N748" t="str" cm="1">
        <f t="array" ref="N748">IF(M748="","",
_xlfn.TEXTJOIN(", ",TRUE,
    _xlfn.MAP(_xlfn.TEXTSPLIT(M748,","),_xlfn.LAMBDA(_xlpm.x,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8">
        <f>'Audit Report'!F748</f>
        <v>0</v>
      </c>
      <c r="S748">
        <f>'Audit Report'!Q748</f>
        <v>0</v>
      </c>
    </row>
    <row r="749" spans="4:19">
      <c r="D749">
        <f>'Audit Report'!B749</f>
        <v>0</v>
      </c>
      <c r="E749">
        <f>'Audit Report'!C749</f>
        <v>0</v>
      </c>
      <c r="I749">
        <f>'Audit Report'!D749</f>
        <v>0</v>
      </c>
      <c r="J749">
        <f>'Audit Report'!H749</f>
        <v>0</v>
      </c>
      <c r="L749" t="str">
        <f>_xlfn.TEXTJOIN(", ", FALSE, 'Audit Report'!K749,'Audit Report'!L749,'Audit Report'!M749)</f>
        <v xml:space="preserve">, , </v>
      </c>
      <c r="M749">
        <f>'Audit Report'!O749</f>
        <v>0</v>
      </c>
      <c r="N749" t="str" cm="1">
        <f t="array" ref="N749">IF(M749="","",
_xlfn.TEXTJOIN(", ",TRUE,
    _xlfn.MAP(_xlfn.TEXTSPLIT(M749,","),_xlfn.LAMBDA(_xlpm.x,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9">
        <f>'Audit Report'!F749</f>
        <v>0</v>
      </c>
      <c r="S749">
        <f>'Audit Report'!Q749</f>
        <v>0</v>
      </c>
    </row>
    <row r="750" spans="4:19">
      <c r="D750">
        <f>'Audit Report'!B750</f>
        <v>0</v>
      </c>
      <c r="E750">
        <f>'Audit Report'!C750</f>
        <v>0</v>
      </c>
      <c r="I750">
        <f>'Audit Report'!D750</f>
        <v>0</v>
      </c>
      <c r="J750">
        <f>'Audit Report'!H750</f>
        <v>0</v>
      </c>
      <c r="L750" t="str">
        <f>_xlfn.TEXTJOIN(", ", FALSE, 'Audit Report'!K750,'Audit Report'!L750,'Audit Report'!M750)</f>
        <v xml:space="preserve">, , </v>
      </c>
      <c r="M750">
        <f>'Audit Report'!O750</f>
        <v>0</v>
      </c>
      <c r="N750" t="str" cm="1">
        <f t="array" ref="N750">IF(M750="","",
_xlfn.TEXTJOIN(", ",TRUE,
    _xlfn.MAP(_xlfn.TEXTSPLIT(M750,","),_xlfn.LAMBDA(_xlpm.x,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0">
        <f>'Audit Report'!F750</f>
        <v>0</v>
      </c>
      <c r="S750">
        <f>'Audit Report'!Q750</f>
        <v>0</v>
      </c>
    </row>
    <row r="751" spans="4:19">
      <c r="D751">
        <f>'Audit Report'!B751</f>
        <v>0</v>
      </c>
      <c r="E751">
        <f>'Audit Report'!C751</f>
        <v>0</v>
      </c>
      <c r="I751">
        <f>'Audit Report'!D751</f>
        <v>0</v>
      </c>
      <c r="J751">
        <f>'Audit Report'!H751</f>
        <v>0</v>
      </c>
      <c r="L751" t="str">
        <f>_xlfn.TEXTJOIN(", ", FALSE, 'Audit Report'!K751,'Audit Report'!L751,'Audit Report'!M751)</f>
        <v xml:space="preserve">, , </v>
      </c>
      <c r="M751">
        <f>'Audit Report'!O751</f>
        <v>0</v>
      </c>
      <c r="N751" t="str" cm="1">
        <f t="array" ref="N751">IF(M751="","",
_xlfn.TEXTJOIN(", ",TRUE,
    _xlfn.MAP(_xlfn.TEXTSPLIT(M751,","),_xlfn.LAMBDA(_xlpm.x,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1">
        <f>'Audit Report'!F751</f>
        <v>0</v>
      </c>
      <c r="S751">
        <f>'Audit Report'!Q751</f>
        <v>0</v>
      </c>
    </row>
    <row r="752" spans="4:19">
      <c r="D752">
        <f>'Audit Report'!B752</f>
        <v>0</v>
      </c>
      <c r="E752">
        <f>'Audit Report'!C752</f>
        <v>0</v>
      </c>
      <c r="I752">
        <f>'Audit Report'!D752</f>
        <v>0</v>
      </c>
      <c r="J752">
        <f>'Audit Report'!H752</f>
        <v>0</v>
      </c>
      <c r="L752" t="str">
        <f>_xlfn.TEXTJOIN(", ", FALSE, 'Audit Report'!K752,'Audit Report'!L752,'Audit Report'!M752)</f>
        <v xml:space="preserve">, , </v>
      </c>
      <c r="M752">
        <f>'Audit Report'!O752</f>
        <v>0</v>
      </c>
      <c r="N752" t="str" cm="1">
        <f t="array" ref="N752">IF(M752="","",
_xlfn.TEXTJOIN(", ",TRUE,
    _xlfn.MAP(_xlfn.TEXTSPLIT(M752,","),_xlfn.LAMBDA(_xlpm.x,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2">
        <f>'Audit Report'!F752</f>
        <v>0</v>
      </c>
      <c r="S752">
        <f>'Audit Report'!Q752</f>
        <v>0</v>
      </c>
    </row>
    <row r="753" spans="4:19">
      <c r="D753">
        <f>'Audit Report'!B753</f>
        <v>0</v>
      </c>
      <c r="E753">
        <f>'Audit Report'!C753</f>
        <v>0</v>
      </c>
      <c r="I753">
        <f>'Audit Report'!D753</f>
        <v>0</v>
      </c>
      <c r="J753">
        <f>'Audit Report'!H753</f>
        <v>0</v>
      </c>
      <c r="L753" t="str">
        <f>_xlfn.TEXTJOIN(", ", FALSE, 'Audit Report'!K753,'Audit Report'!L753,'Audit Report'!M753)</f>
        <v xml:space="preserve">, , </v>
      </c>
      <c r="M753">
        <f>'Audit Report'!O753</f>
        <v>0</v>
      </c>
      <c r="N753" t="str" cm="1">
        <f t="array" ref="N753">IF(M753="","",
_xlfn.TEXTJOIN(", ",TRUE,
    _xlfn.MAP(_xlfn.TEXTSPLIT(M753,","),_xlfn.LAMBDA(_xlpm.x,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3">
        <f>'Audit Report'!F753</f>
        <v>0</v>
      </c>
      <c r="S753">
        <f>'Audit Report'!Q753</f>
        <v>0</v>
      </c>
    </row>
    <row r="754" spans="4:19">
      <c r="D754">
        <f>'Audit Report'!B754</f>
        <v>0</v>
      </c>
      <c r="E754">
        <f>'Audit Report'!C754</f>
        <v>0</v>
      </c>
      <c r="I754">
        <f>'Audit Report'!D754</f>
        <v>0</v>
      </c>
      <c r="J754">
        <f>'Audit Report'!H754</f>
        <v>0</v>
      </c>
      <c r="L754" t="str">
        <f>_xlfn.TEXTJOIN(", ", FALSE, 'Audit Report'!K754,'Audit Report'!L754,'Audit Report'!M754)</f>
        <v xml:space="preserve">, , </v>
      </c>
      <c r="M754">
        <f>'Audit Report'!O754</f>
        <v>0</v>
      </c>
      <c r="N754" t="str" cm="1">
        <f t="array" ref="N754">IF(M754="","",
_xlfn.TEXTJOIN(", ",TRUE,
    _xlfn.MAP(_xlfn.TEXTSPLIT(M754,","),_xlfn.LAMBDA(_xlpm.x,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4">
        <f>'Audit Report'!F754</f>
        <v>0</v>
      </c>
      <c r="S754">
        <f>'Audit Report'!Q754</f>
        <v>0</v>
      </c>
    </row>
    <row r="755" spans="4:19">
      <c r="D755">
        <f>'Audit Report'!B755</f>
        <v>0</v>
      </c>
      <c r="E755">
        <f>'Audit Report'!C755</f>
        <v>0</v>
      </c>
      <c r="I755">
        <f>'Audit Report'!D755</f>
        <v>0</v>
      </c>
      <c r="J755">
        <f>'Audit Report'!H755</f>
        <v>0</v>
      </c>
      <c r="L755" t="str">
        <f>_xlfn.TEXTJOIN(", ", FALSE, 'Audit Report'!K755,'Audit Report'!L755,'Audit Report'!M755)</f>
        <v xml:space="preserve">, , </v>
      </c>
      <c r="M755">
        <f>'Audit Report'!O755</f>
        <v>0</v>
      </c>
      <c r="N755" t="str" cm="1">
        <f t="array" ref="N755">IF(M755="","",
_xlfn.TEXTJOIN(", ",TRUE,
    _xlfn.MAP(_xlfn.TEXTSPLIT(M755,","),_xlfn.LAMBDA(_xlpm.x,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5">
        <f>'Audit Report'!F755</f>
        <v>0</v>
      </c>
      <c r="S755">
        <f>'Audit Report'!Q755</f>
        <v>0</v>
      </c>
    </row>
    <row r="756" spans="4:19">
      <c r="D756">
        <f>'Audit Report'!B756</f>
        <v>0</v>
      </c>
      <c r="E756">
        <f>'Audit Report'!C756</f>
        <v>0</v>
      </c>
      <c r="I756">
        <f>'Audit Report'!D756</f>
        <v>0</v>
      </c>
      <c r="J756">
        <f>'Audit Report'!H756</f>
        <v>0</v>
      </c>
      <c r="L756" t="str">
        <f>_xlfn.TEXTJOIN(", ", FALSE, 'Audit Report'!K756,'Audit Report'!L756,'Audit Report'!M756)</f>
        <v xml:space="preserve">, , </v>
      </c>
      <c r="M756">
        <f>'Audit Report'!O756</f>
        <v>0</v>
      </c>
      <c r="N756" t="str" cm="1">
        <f t="array" ref="N756">IF(M756="","",
_xlfn.TEXTJOIN(", ",TRUE,
    _xlfn.MAP(_xlfn.TEXTSPLIT(M756,","),_xlfn.LAMBDA(_xlpm.x,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6">
        <f>'Audit Report'!F756</f>
        <v>0</v>
      </c>
      <c r="S756">
        <f>'Audit Report'!Q756</f>
        <v>0</v>
      </c>
    </row>
    <row r="757" spans="4:19">
      <c r="D757">
        <f>'Audit Report'!B757</f>
        <v>0</v>
      </c>
      <c r="E757">
        <f>'Audit Report'!C757</f>
        <v>0</v>
      </c>
      <c r="I757">
        <f>'Audit Report'!D757</f>
        <v>0</v>
      </c>
      <c r="J757">
        <f>'Audit Report'!H757</f>
        <v>0</v>
      </c>
      <c r="L757" t="str">
        <f>_xlfn.TEXTJOIN(", ", FALSE, 'Audit Report'!K757,'Audit Report'!L757,'Audit Report'!M757)</f>
        <v xml:space="preserve">, , </v>
      </c>
      <c r="M757">
        <f>'Audit Report'!O757</f>
        <v>0</v>
      </c>
      <c r="N757" t="str" cm="1">
        <f t="array" ref="N757">IF(M757="","",
_xlfn.TEXTJOIN(", ",TRUE,
    _xlfn.MAP(_xlfn.TEXTSPLIT(M757,","),_xlfn.LAMBDA(_xlpm.x,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7">
        <f>'Audit Report'!F757</f>
        <v>0</v>
      </c>
      <c r="S757">
        <f>'Audit Report'!Q757</f>
        <v>0</v>
      </c>
    </row>
    <row r="758" spans="4:19">
      <c r="D758">
        <f>'Audit Report'!B758</f>
        <v>0</v>
      </c>
      <c r="E758">
        <f>'Audit Report'!C758</f>
        <v>0</v>
      </c>
      <c r="I758">
        <f>'Audit Report'!D758</f>
        <v>0</v>
      </c>
      <c r="J758">
        <f>'Audit Report'!H758</f>
        <v>0</v>
      </c>
      <c r="L758" t="str">
        <f>_xlfn.TEXTJOIN(", ", FALSE, 'Audit Report'!K758,'Audit Report'!L758,'Audit Report'!M758)</f>
        <v xml:space="preserve">, , </v>
      </c>
      <c r="M758">
        <f>'Audit Report'!O758</f>
        <v>0</v>
      </c>
      <c r="N758" t="str" cm="1">
        <f t="array" ref="N758">IF(M758="","",
_xlfn.TEXTJOIN(", ",TRUE,
    _xlfn.MAP(_xlfn.TEXTSPLIT(M758,","),_xlfn.LAMBDA(_xlpm.x,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8">
        <f>'Audit Report'!F758</f>
        <v>0</v>
      </c>
      <c r="S758">
        <f>'Audit Report'!Q758</f>
        <v>0</v>
      </c>
    </row>
    <row r="759" spans="4:19">
      <c r="D759">
        <f>'Audit Report'!B759</f>
        <v>0</v>
      </c>
      <c r="E759">
        <f>'Audit Report'!C759</f>
        <v>0</v>
      </c>
      <c r="I759">
        <f>'Audit Report'!D759</f>
        <v>0</v>
      </c>
      <c r="J759">
        <f>'Audit Report'!H759</f>
        <v>0</v>
      </c>
      <c r="L759" t="str">
        <f>_xlfn.TEXTJOIN(", ", FALSE, 'Audit Report'!K759,'Audit Report'!L759,'Audit Report'!M759)</f>
        <v xml:space="preserve">, , </v>
      </c>
      <c r="M759">
        <f>'Audit Report'!O759</f>
        <v>0</v>
      </c>
      <c r="N759" t="str" cm="1">
        <f t="array" ref="N759">IF(M759="","",
_xlfn.TEXTJOIN(", ",TRUE,
    _xlfn.MAP(_xlfn.TEXTSPLIT(M759,","),_xlfn.LAMBDA(_xlpm.x,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9">
        <f>'Audit Report'!F759</f>
        <v>0</v>
      </c>
      <c r="S759">
        <f>'Audit Report'!Q759</f>
        <v>0</v>
      </c>
    </row>
    <row r="760" spans="4:19">
      <c r="D760">
        <f>'Audit Report'!B760</f>
        <v>0</v>
      </c>
      <c r="E760">
        <f>'Audit Report'!C760</f>
        <v>0</v>
      </c>
      <c r="I760">
        <f>'Audit Report'!D760</f>
        <v>0</v>
      </c>
      <c r="J760">
        <f>'Audit Report'!H760</f>
        <v>0</v>
      </c>
      <c r="L760" t="str">
        <f>_xlfn.TEXTJOIN(", ", FALSE, 'Audit Report'!K760,'Audit Report'!L760,'Audit Report'!M760)</f>
        <v xml:space="preserve">, , </v>
      </c>
      <c r="M760">
        <f>'Audit Report'!O760</f>
        <v>0</v>
      </c>
      <c r="N760" t="str" cm="1">
        <f t="array" ref="N760">IF(M760="","",
_xlfn.TEXTJOIN(", ",TRUE,
    _xlfn.MAP(_xlfn.TEXTSPLIT(M760,","),_xlfn.LAMBDA(_xlpm.x,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0">
        <f>'Audit Report'!F760</f>
        <v>0</v>
      </c>
      <c r="S760">
        <f>'Audit Report'!Q760</f>
        <v>0</v>
      </c>
    </row>
    <row r="761" spans="4:19">
      <c r="D761">
        <f>'Audit Report'!B761</f>
        <v>0</v>
      </c>
      <c r="E761">
        <f>'Audit Report'!C761</f>
        <v>0</v>
      </c>
      <c r="I761">
        <f>'Audit Report'!D761</f>
        <v>0</v>
      </c>
      <c r="J761">
        <f>'Audit Report'!H761</f>
        <v>0</v>
      </c>
      <c r="L761" t="str">
        <f>_xlfn.TEXTJOIN(", ", FALSE, 'Audit Report'!K761,'Audit Report'!L761,'Audit Report'!M761)</f>
        <v xml:space="preserve">, , </v>
      </c>
      <c r="M761">
        <f>'Audit Report'!O761</f>
        <v>0</v>
      </c>
      <c r="N761" t="str" cm="1">
        <f t="array" ref="N761">IF(M761="","",
_xlfn.TEXTJOIN(", ",TRUE,
    _xlfn.MAP(_xlfn.TEXTSPLIT(M761,","),_xlfn.LAMBDA(_xlpm.x,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1">
        <f>'Audit Report'!F761</f>
        <v>0</v>
      </c>
      <c r="S761">
        <f>'Audit Report'!Q761</f>
        <v>0</v>
      </c>
    </row>
    <row r="762" spans="4:19">
      <c r="D762">
        <f>'Audit Report'!B762</f>
        <v>0</v>
      </c>
      <c r="E762">
        <f>'Audit Report'!C762</f>
        <v>0</v>
      </c>
      <c r="I762">
        <f>'Audit Report'!D762</f>
        <v>0</v>
      </c>
      <c r="J762">
        <f>'Audit Report'!H762</f>
        <v>0</v>
      </c>
      <c r="L762" t="str">
        <f>_xlfn.TEXTJOIN(", ", FALSE, 'Audit Report'!K762,'Audit Report'!L762,'Audit Report'!M762)</f>
        <v xml:space="preserve">, , </v>
      </c>
      <c r="M762">
        <f>'Audit Report'!O762</f>
        <v>0</v>
      </c>
      <c r="N762" t="str" cm="1">
        <f t="array" ref="N762">IF(M762="","",
_xlfn.TEXTJOIN(", ",TRUE,
    _xlfn.MAP(_xlfn.TEXTSPLIT(M762,","),_xlfn.LAMBDA(_xlpm.x,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2">
        <f>'Audit Report'!F762</f>
        <v>0</v>
      </c>
      <c r="S762">
        <f>'Audit Report'!Q762</f>
        <v>0</v>
      </c>
    </row>
    <row r="763" spans="4:19">
      <c r="D763">
        <f>'Audit Report'!B763</f>
        <v>0</v>
      </c>
      <c r="E763">
        <f>'Audit Report'!C763</f>
        <v>0</v>
      </c>
      <c r="I763">
        <f>'Audit Report'!D763</f>
        <v>0</v>
      </c>
      <c r="J763">
        <f>'Audit Report'!H763</f>
        <v>0</v>
      </c>
      <c r="L763" t="str">
        <f>_xlfn.TEXTJOIN(", ", FALSE, 'Audit Report'!K763,'Audit Report'!L763,'Audit Report'!M763)</f>
        <v xml:space="preserve">, , </v>
      </c>
      <c r="M763">
        <f>'Audit Report'!O763</f>
        <v>0</v>
      </c>
      <c r="N763" t="str" cm="1">
        <f t="array" ref="N763">IF(M763="","",
_xlfn.TEXTJOIN(", ",TRUE,
    _xlfn.MAP(_xlfn.TEXTSPLIT(M763,","),_xlfn.LAMBDA(_xlpm.x,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3">
        <f>'Audit Report'!F763</f>
        <v>0</v>
      </c>
      <c r="S763">
        <f>'Audit Report'!Q763</f>
        <v>0</v>
      </c>
    </row>
    <row r="764" spans="4:19">
      <c r="D764">
        <f>'Audit Report'!B764</f>
        <v>0</v>
      </c>
      <c r="E764">
        <f>'Audit Report'!C764</f>
        <v>0</v>
      </c>
      <c r="I764">
        <f>'Audit Report'!D764</f>
        <v>0</v>
      </c>
      <c r="J764">
        <f>'Audit Report'!H764</f>
        <v>0</v>
      </c>
      <c r="L764" t="str">
        <f>_xlfn.TEXTJOIN(", ", FALSE, 'Audit Report'!K764,'Audit Report'!L764,'Audit Report'!M764)</f>
        <v xml:space="preserve">, , </v>
      </c>
      <c r="M764">
        <f>'Audit Report'!O764</f>
        <v>0</v>
      </c>
      <c r="N764" t="str" cm="1">
        <f t="array" ref="N764">IF(M764="","",
_xlfn.TEXTJOIN(", ",TRUE,
    _xlfn.MAP(_xlfn.TEXTSPLIT(M764,","),_xlfn.LAMBDA(_xlpm.x,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4">
        <f>'Audit Report'!F764</f>
        <v>0</v>
      </c>
      <c r="S764">
        <f>'Audit Report'!Q764</f>
        <v>0</v>
      </c>
    </row>
    <row r="765" spans="4:19">
      <c r="D765">
        <f>'Audit Report'!B765</f>
        <v>0</v>
      </c>
      <c r="E765">
        <f>'Audit Report'!C765</f>
        <v>0</v>
      </c>
      <c r="I765">
        <f>'Audit Report'!D765</f>
        <v>0</v>
      </c>
      <c r="J765">
        <f>'Audit Report'!H765</f>
        <v>0</v>
      </c>
      <c r="L765" t="str">
        <f>_xlfn.TEXTJOIN(", ", FALSE, 'Audit Report'!K765,'Audit Report'!L765,'Audit Report'!M765)</f>
        <v xml:space="preserve">, , </v>
      </c>
      <c r="M765">
        <f>'Audit Report'!O765</f>
        <v>0</v>
      </c>
      <c r="N765" t="str" cm="1">
        <f t="array" ref="N765">IF(M765="","",
_xlfn.TEXTJOIN(", ",TRUE,
    _xlfn.MAP(_xlfn.TEXTSPLIT(M765,","),_xlfn.LAMBDA(_xlpm.x,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5">
        <f>'Audit Report'!F765</f>
        <v>0</v>
      </c>
      <c r="S765">
        <f>'Audit Report'!Q765</f>
        <v>0</v>
      </c>
    </row>
    <row r="766" spans="4:19">
      <c r="D766">
        <f>'Audit Report'!B766</f>
        <v>0</v>
      </c>
      <c r="E766">
        <f>'Audit Report'!C766</f>
        <v>0</v>
      </c>
      <c r="I766">
        <f>'Audit Report'!D766</f>
        <v>0</v>
      </c>
      <c r="J766">
        <f>'Audit Report'!H766</f>
        <v>0</v>
      </c>
      <c r="L766" t="str">
        <f>_xlfn.TEXTJOIN(", ", FALSE, 'Audit Report'!K766,'Audit Report'!L766,'Audit Report'!M766)</f>
        <v xml:space="preserve">, , </v>
      </c>
      <c r="M766">
        <f>'Audit Report'!O766</f>
        <v>0</v>
      </c>
      <c r="N766" t="str" cm="1">
        <f t="array" ref="N766">IF(M766="","",
_xlfn.TEXTJOIN(", ",TRUE,
    _xlfn.MAP(_xlfn.TEXTSPLIT(M766,","),_xlfn.LAMBDA(_xlpm.x,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6">
        <f>'Audit Report'!F766</f>
        <v>0</v>
      </c>
      <c r="S766">
        <f>'Audit Report'!Q766</f>
        <v>0</v>
      </c>
    </row>
    <row r="767" spans="4:19">
      <c r="D767">
        <f>'Audit Report'!B767</f>
        <v>0</v>
      </c>
      <c r="E767">
        <f>'Audit Report'!C767</f>
        <v>0</v>
      </c>
      <c r="I767">
        <f>'Audit Report'!D767</f>
        <v>0</v>
      </c>
      <c r="J767">
        <f>'Audit Report'!H767</f>
        <v>0</v>
      </c>
      <c r="L767" t="str">
        <f>_xlfn.TEXTJOIN(", ", FALSE, 'Audit Report'!K767,'Audit Report'!L767,'Audit Report'!M767)</f>
        <v xml:space="preserve">, , </v>
      </c>
      <c r="M767">
        <f>'Audit Report'!O767</f>
        <v>0</v>
      </c>
      <c r="N767" t="str" cm="1">
        <f t="array" ref="N767">IF(M767="","",
_xlfn.TEXTJOIN(", ",TRUE,
    _xlfn.MAP(_xlfn.TEXTSPLIT(M767,","),_xlfn.LAMBDA(_xlpm.x,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7">
        <f>'Audit Report'!F767</f>
        <v>0</v>
      </c>
      <c r="S767">
        <f>'Audit Report'!Q767</f>
        <v>0</v>
      </c>
    </row>
    <row r="768" spans="4:19">
      <c r="D768">
        <f>'Audit Report'!B768</f>
        <v>0</v>
      </c>
      <c r="E768">
        <f>'Audit Report'!C768</f>
        <v>0</v>
      </c>
      <c r="I768">
        <f>'Audit Report'!D768</f>
        <v>0</v>
      </c>
      <c r="J768">
        <f>'Audit Report'!H768</f>
        <v>0</v>
      </c>
      <c r="L768" t="str">
        <f>_xlfn.TEXTJOIN(", ", FALSE, 'Audit Report'!K768,'Audit Report'!L768,'Audit Report'!M768)</f>
        <v xml:space="preserve">, , </v>
      </c>
      <c r="M768">
        <f>'Audit Report'!O768</f>
        <v>0</v>
      </c>
      <c r="N768" t="str" cm="1">
        <f t="array" ref="N768">IF(M768="","",
_xlfn.TEXTJOIN(", ",TRUE,
    _xlfn.MAP(_xlfn.TEXTSPLIT(M768,","),_xlfn.LAMBDA(_xlpm.x,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8">
        <f>'Audit Report'!F768</f>
        <v>0</v>
      </c>
      <c r="S768">
        <f>'Audit Report'!Q768</f>
        <v>0</v>
      </c>
    </row>
    <row r="769" spans="4:19">
      <c r="D769">
        <f>'Audit Report'!B769</f>
        <v>0</v>
      </c>
      <c r="E769">
        <f>'Audit Report'!C769</f>
        <v>0</v>
      </c>
      <c r="I769">
        <f>'Audit Report'!D769</f>
        <v>0</v>
      </c>
      <c r="J769">
        <f>'Audit Report'!H769</f>
        <v>0</v>
      </c>
      <c r="L769" t="str">
        <f>_xlfn.TEXTJOIN(", ", FALSE, 'Audit Report'!K769,'Audit Report'!L769,'Audit Report'!M769)</f>
        <v xml:space="preserve">, , </v>
      </c>
      <c r="M769">
        <f>'Audit Report'!O769</f>
        <v>0</v>
      </c>
      <c r="N769" t="str" cm="1">
        <f t="array" ref="N769">IF(M769="","",
_xlfn.TEXTJOIN(", ",TRUE,
    _xlfn.MAP(_xlfn.TEXTSPLIT(M769,","),_xlfn.LAMBDA(_xlpm.x,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9">
        <f>'Audit Report'!F769</f>
        <v>0</v>
      </c>
      <c r="S769">
        <f>'Audit Report'!Q769</f>
        <v>0</v>
      </c>
    </row>
    <row r="770" spans="4:19">
      <c r="D770">
        <f>'Audit Report'!B770</f>
        <v>0</v>
      </c>
      <c r="E770">
        <f>'Audit Report'!C770</f>
        <v>0</v>
      </c>
      <c r="I770">
        <f>'Audit Report'!D770</f>
        <v>0</v>
      </c>
      <c r="J770">
        <f>'Audit Report'!H770</f>
        <v>0</v>
      </c>
      <c r="L770" t="str">
        <f>_xlfn.TEXTJOIN(", ", FALSE, 'Audit Report'!K770,'Audit Report'!L770,'Audit Report'!M770)</f>
        <v xml:space="preserve">, , </v>
      </c>
      <c r="M770">
        <f>'Audit Report'!O770</f>
        <v>0</v>
      </c>
      <c r="N770" t="str" cm="1">
        <f t="array" ref="N770">IF(M770="","",
_xlfn.TEXTJOIN(", ",TRUE,
    _xlfn.MAP(_xlfn.TEXTSPLIT(M770,","),_xlfn.LAMBDA(_xlpm.x,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0">
        <f>'Audit Report'!F770</f>
        <v>0</v>
      </c>
      <c r="S770">
        <f>'Audit Report'!Q770</f>
        <v>0</v>
      </c>
    </row>
    <row r="771" spans="4:19">
      <c r="D771">
        <f>'Audit Report'!B771</f>
        <v>0</v>
      </c>
      <c r="E771">
        <f>'Audit Report'!C771</f>
        <v>0</v>
      </c>
      <c r="I771">
        <f>'Audit Report'!D771</f>
        <v>0</v>
      </c>
      <c r="J771">
        <f>'Audit Report'!H771</f>
        <v>0</v>
      </c>
      <c r="L771" t="str">
        <f>_xlfn.TEXTJOIN(", ", FALSE, 'Audit Report'!K771,'Audit Report'!L771,'Audit Report'!M771)</f>
        <v xml:space="preserve">, , </v>
      </c>
      <c r="M771">
        <f>'Audit Report'!O771</f>
        <v>0</v>
      </c>
      <c r="N771" t="str" cm="1">
        <f t="array" ref="N771">IF(M771="","",
_xlfn.TEXTJOIN(", ",TRUE,
    _xlfn.MAP(_xlfn.TEXTSPLIT(M771,","),_xlfn.LAMBDA(_xlpm.x,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1">
        <f>'Audit Report'!F771</f>
        <v>0</v>
      </c>
      <c r="S771">
        <f>'Audit Report'!Q771</f>
        <v>0</v>
      </c>
    </row>
    <row r="772" spans="4:19">
      <c r="D772">
        <f>'Audit Report'!B772</f>
        <v>0</v>
      </c>
      <c r="E772">
        <f>'Audit Report'!C772</f>
        <v>0</v>
      </c>
      <c r="I772">
        <f>'Audit Report'!D772</f>
        <v>0</v>
      </c>
      <c r="J772">
        <f>'Audit Report'!H772</f>
        <v>0</v>
      </c>
      <c r="L772" t="str">
        <f>_xlfn.TEXTJOIN(", ", FALSE, 'Audit Report'!K772,'Audit Report'!L772,'Audit Report'!M772)</f>
        <v xml:space="preserve">, , </v>
      </c>
      <c r="M772">
        <f>'Audit Report'!O772</f>
        <v>0</v>
      </c>
      <c r="N772" t="str" cm="1">
        <f t="array" ref="N772">IF(M772="","",
_xlfn.TEXTJOIN(", ",TRUE,
    _xlfn.MAP(_xlfn.TEXTSPLIT(M772,","),_xlfn.LAMBDA(_xlpm.x,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2">
        <f>'Audit Report'!F772</f>
        <v>0</v>
      </c>
      <c r="S772">
        <f>'Audit Report'!Q772</f>
        <v>0</v>
      </c>
    </row>
    <row r="773" spans="4:19">
      <c r="D773">
        <f>'Audit Report'!B773</f>
        <v>0</v>
      </c>
      <c r="E773">
        <f>'Audit Report'!C773</f>
        <v>0</v>
      </c>
      <c r="I773">
        <f>'Audit Report'!D773</f>
        <v>0</v>
      </c>
      <c r="J773">
        <f>'Audit Report'!H773</f>
        <v>0</v>
      </c>
      <c r="L773" t="str">
        <f>_xlfn.TEXTJOIN(", ", FALSE, 'Audit Report'!K773,'Audit Report'!L773,'Audit Report'!M773)</f>
        <v xml:space="preserve">, , </v>
      </c>
      <c r="M773">
        <f>'Audit Report'!O773</f>
        <v>0</v>
      </c>
      <c r="N773" t="str" cm="1">
        <f t="array" ref="N773">IF(M773="","",
_xlfn.TEXTJOIN(", ",TRUE,
    _xlfn.MAP(_xlfn.TEXTSPLIT(M773,","),_xlfn.LAMBDA(_xlpm.x,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3">
        <f>'Audit Report'!F773</f>
        <v>0</v>
      </c>
      <c r="S773">
        <f>'Audit Report'!Q773</f>
        <v>0</v>
      </c>
    </row>
    <row r="774" spans="4:19">
      <c r="D774">
        <f>'Audit Report'!B774</f>
        <v>0</v>
      </c>
      <c r="E774">
        <f>'Audit Report'!C774</f>
        <v>0</v>
      </c>
      <c r="I774">
        <f>'Audit Report'!D774</f>
        <v>0</v>
      </c>
      <c r="J774">
        <f>'Audit Report'!H774</f>
        <v>0</v>
      </c>
      <c r="L774" t="str">
        <f>_xlfn.TEXTJOIN(", ", FALSE, 'Audit Report'!K774,'Audit Report'!L774,'Audit Report'!M774)</f>
        <v xml:space="preserve">, , </v>
      </c>
      <c r="M774">
        <f>'Audit Report'!O774</f>
        <v>0</v>
      </c>
      <c r="N774" t="str" cm="1">
        <f t="array" ref="N774">IF(M774="","",
_xlfn.TEXTJOIN(", ",TRUE,
    _xlfn.MAP(_xlfn.TEXTSPLIT(M774,","),_xlfn.LAMBDA(_xlpm.x,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4">
        <f>'Audit Report'!F774</f>
        <v>0</v>
      </c>
      <c r="S774">
        <f>'Audit Report'!Q774</f>
        <v>0</v>
      </c>
    </row>
    <row r="775" spans="4:19">
      <c r="D775">
        <f>'Audit Report'!B775</f>
        <v>0</v>
      </c>
      <c r="E775">
        <f>'Audit Report'!C775</f>
        <v>0</v>
      </c>
      <c r="I775">
        <f>'Audit Report'!D775</f>
        <v>0</v>
      </c>
      <c r="J775">
        <f>'Audit Report'!H775</f>
        <v>0</v>
      </c>
      <c r="L775" t="str">
        <f>_xlfn.TEXTJOIN(", ", FALSE, 'Audit Report'!K775,'Audit Report'!L775,'Audit Report'!M775)</f>
        <v xml:space="preserve">, , </v>
      </c>
      <c r="M775">
        <f>'Audit Report'!O775</f>
        <v>0</v>
      </c>
      <c r="N775" t="str" cm="1">
        <f t="array" ref="N775">IF(M775="","",
_xlfn.TEXTJOIN(", ",TRUE,
    _xlfn.MAP(_xlfn.TEXTSPLIT(M775,","),_xlfn.LAMBDA(_xlpm.x,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5">
        <f>'Audit Report'!F775</f>
        <v>0</v>
      </c>
      <c r="S775">
        <f>'Audit Report'!Q775</f>
        <v>0</v>
      </c>
    </row>
    <row r="776" spans="4:19">
      <c r="D776">
        <f>'Audit Report'!B776</f>
        <v>0</v>
      </c>
      <c r="E776">
        <f>'Audit Report'!C776</f>
        <v>0</v>
      </c>
      <c r="I776">
        <f>'Audit Report'!D776</f>
        <v>0</v>
      </c>
      <c r="J776">
        <f>'Audit Report'!H776</f>
        <v>0</v>
      </c>
      <c r="L776" t="str">
        <f>_xlfn.TEXTJOIN(", ", FALSE, 'Audit Report'!K776,'Audit Report'!L776,'Audit Report'!M776)</f>
        <v xml:space="preserve">, , </v>
      </c>
      <c r="M776">
        <f>'Audit Report'!O776</f>
        <v>0</v>
      </c>
      <c r="N776" t="str" cm="1">
        <f t="array" ref="N776">IF(M776="","",
_xlfn.TEXTJOIN(", ",TRUE,
    _xlfn.MAP(_xlfn.TEXTSPLIT(M776,","),_xlfn.LAMBDA(_xlpm.x,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6">
        <f>'Audit Report'!F776</f>
        <v>0</v>
      </c>
      <c r="S776">
        <f>'Audit Report'!Q776</f>
        <v>0</v>
      </c>
    </row>
    <row r="777" spans="4:19">
      <c r="D777">
        <f>'Audit Report'!B777</f>
        <v>0</v>
      </c>
      <c r="E777">
        <f>'Audit Report'!C777</f>
        <v>0</v>
      </c>
      <c r="I777">
        <f>'Audit Report'!D777</f>
        <v>0</v>
      </c>
      <c r="J777">
        <f>'Audit Report'!H777</f>
        <v>0</v>
      </c>
      <c r="L777" t="str">
        <f>_xlfn.TEXTJOIN(", ", FALSE, 'Audit Report'!K777,'Audit Report'!L777,'Audit Report'!M777)</f>
        <v xml:space="preserve">, , </v>
      </c>
      <c r="M777">
        <f>'Audit Report'!O777</f>
        <v>0</v>
      </c>
      <c r="N777" t="str" cm="1">
        <f t="array" ref="N777">IF(M777="","",
_xlfn.TEXTJOIN(", ",TRUE,
    _xlfn.MAP(_xlfn.TEXTSPLIT(M777,","),_xlfn.LAMBDA(_xlpm.x,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7">
        <f>'Audit Report'!F777</f>
        <v>0</v>
      </c>
      <c r="S777">
        <f>'Audit Report'!Q777</f>
        <v>0</v>
      </c>
    </row>
    <row r="778" spans="4:19">
      <c r="D778">
        <f>'Audit Report'!B778</f>
        <v>0</v>
      </c>
      <c r="E778">
        <f>'Audit Report'!C778</f>
        <v>0</v>
      </c>
      <c r="I778">
        <f>'Audit Report'!D778</f>
        <v>0</v>
      </c>
      <c r="J778">
        <f>'Audit Report'!H778</f>
        <v>0</v>
      </c>
      <c r="L778" t="str">
        <f>_xlfn.TEXTJOIN(", ", FALSE, 'Audit Report'!K778,'Audit Report'!L778,'Audit Report'!M778)</f>
        <v xml:space="preserve">, , </v>
      </c>
      <c r="M778">
        <f>'Audit Report'!O778</f>
        <v>0</v>
      </c>
      <c r="N778" t="str" cm="1">
        <f t="array" ref="N778">IF(M778="","",
_xlfn.TEXTJOIN(", ",TRUE,
    _xlfn.MAP(_xlfn.TEXTSPLIT(M778,","),_xlfn.LAMBDA(_xlpm.x,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8">
        <f>'Audit Report'!F778</f>
        <v>0</v>
      </c>
      <c r="S778">
        <f>'Audit Report'!Q778</f>
        <v>0</v>
      </c>
    </row>
    <row r="779" spans="4:19">
      <c r="D779">
        <f>'Audit Report'!B779</f>
        <v>0</v>
      </c>
      <c r="E779">
        <f>'Audit Report'!C779</f>
        <v>0</v>
      </c>
      <c r="I779">
        <f>'Audit Report'!D779</f>
        <v>0</v>
      </c>
      <c r="J779">
        <f>'Audit Report'!H779</f>
        <v>0</v>
      </c>
      <c r="L779" t="str">
        <f>_xlfn.TEXTJOIN(", ", FALSE, 'Audit Report'!K779,'Audit Report'!L779,'Audit Report'!M779)</f>
        <v xml:space="preserve">, , </v>
      </c>
      <c r="M779">
        <f>'Audit Report'!O779</f>
        <v>0</v>
      </c>
      <c r="N779" t="str" cm="1">
        <f t="array" ref="N779">IF(M779="","",
_xlfn.TEXTJOIN(", ",TRUE,
    _xlfn.MAP(_xlfn.TEXTSPLIT(M779,","),_xlfn.LAMBDA(_xlpm.x,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9">
        <f>'Audit Report'!F779</f>
        <v>0</v>
      </c>
      <c r="S779">
        <f>'Audit Report'!Q779</f>
        <v>0</v>
      </c>
    </row>
    <row r="780" spans="4:19">
      <c r="D780">
        <f>'Audit Report'!B780</f>
        <v>0</v>
      </c>
      <c r="E780">
        <f>'Audit Report'!C780</f>
        <v>0</v>
      </c>
      <c r="I780">
        <f>'Audit Report'!D780</f>
        <v>0</v>
      </c>
      <c r="J780">
        <f>'Audit Report'!H780</f>
        <v>0</v>
      </c>
      <c r="L780" t="str">
        <f>_xlfn.TEXTJOIN(", ", FALSE, 'Audit Report'!K780,'Audit Report'!L780,'Audit Report'!M780)</f>
        <v xml:space="preserve">, , </v>
      </c>
      <c r="M780">
        <f>'Audit Report'!O780</f>
        <v>0</v>
      </c>
      <c r="N780" t="str" cm="1">
        <f t="array" ref="N780">IF(M780="","",
_xlfn.TEXTJOIN(", ",TRUE,
    _xlfn.MAP(_xlfn.TEXTSPLIT(M780,","),_xlfn.LAMBDA(_xlpm.x,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0">
        <f>'Audit Report'!F780</f>
        <v>0</v>
      </c>
      <c r="S780">
        <f>'Audit Report'!Q780</f>
        <v>0</v>
      </c>
    </row>
    <row r="781" spans="4:19">
      <c r="D781">
        <f>'Audit Report'!B781</f>
        <v>0</v>
      </c>
      <c r="E781">
        <f>'Audit Report'!C781</f>
        <v>0</v>
      </c>
      <c r="I781">
        <f>'Audit Report'!D781</f>
        <v>0</v>
      </c>
      <c r="J781">
        <f>'Audit Report'!H781</f>
        <v>0</v>
      </c>
      <c r="L781" t="str">
        <f>_xlfn.TEXTJOIN(", ", FALSE, 'Audit Report'!K781,'Audit Report'!L781,'Audit Report'!M781)</f>
        <v xml:space="preserve">, , </v>
      </c>
      <c r="M781">
        <f>'Audit Report'!O781</f>
        <v>0</v>
      </c>
      <c r="N781" t="str" cm="1">
        <f t="array" ref="N781">IF(M781="","",
_xlfn.TEXTJOIN(", ",TRUE,
    _xlfn.MAP(_xlfn.TEXTSPLIT(M781,","),_xlfn.LAMBDA(_xlpm.x,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1">
        <f>'Audit Report'!F781</f>
        <v>0</v>
      </c>
      <c r="S781">
        <f>'Audit Report'!Q781</f>
        <v>0</v>
      </c>
    </row>
    <row r="782" spans="4:19">
      <c r="D782">
        <f>'Audit Report'!B782</f>
        <v>0</v>
      </c>
      <c r="E782">
        <f>'Audit Report'!C782</f>
        <v>0</v>
      </c>
      <c r="I782">
        <f>'Audit Report'!D782</f>
        <v>0</v>
      </c>
      <c r="J782">
        <f>'Audit Report'!H782</f>
        <v>0</v>
      </c>
      <c r="L782" t="str">
        <f>_xlfn.TEXTJOIN(", ", FALSE, 'Audit Report'!K782,'Audit Report'!L782,'Audit Report'!M782)</f>
        <v xml:space="preserve">, , </v>
      </c>
      <c r="M782">
        <f>'Audit Report'!O782</f>
        <v>0</v>
      </c>
      <c r="N782" t="str" cm="1">
        <f t="array" ref="N782">IF(M782="","",
_xlfn.TEXTJOIN(", ",TRUE,
    _xlfn.MAP(_xlfn.TEXTSPLIT(M782,","),_xlfn.LAMBDA(_xlpm.x,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2">
        <f>'Audit Report'!F782</f>
        <v>0</v>
      </c>
      <c r="S782">
        <f>'Audit Report'!Q782</f>
        <v>0</v>
      </c>
    </row>
    <row r="783" spans="4:19">
      <c r="D783">
        <f>'Audit Report'!B783</f>
        <v>0</v>
      </c>
      <c r="E783">
        <f>'Audit Report'!C783</f>
        <v>0</v>
      </c>
      <c r="I783">
        <f>'Audit Report'!D783</f>
        <v>0</v>
      </c>
      <c r="J783">
        <f>'Audit Report'!H783</f>
        <v>0</v>
      </c>
      <c r="L783" t="str">
        <f>_xlfn.TEXTJOIN(", ", FALSE, 'Audit Report'!K783,'Audit Report'!L783,'Audit Report'!M783)</f>
        <v xml:space="preserve">, , </v>
      </c>
      <c r="M783">
        <f>'Audit Report'!O783</f>
        <v>0</v>
      </c>
      <c r="N783" t="str" cm="1">
        <f t="array" ref="N783">IF(M783="","",
_xlfn.TEXTJOIN(", ",TRUE,
    _xlfn.MAP(_xlfn.TEXTSPLIT(M783,","),_xlfn.LAMBDA(_xlpm.x,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3">
        <f>'Audit Report'!F783</f>
        <v>0</v>
      </c>
      <c r="S783">
        <f>'Audit Report'!Q783</f>
        <v>0</v>
      </c>
    </row>
    <row r="784" spans="4:19">
      <c r="D784">
        <f>'Audit Report'!B784</f>
        <v>0</v>
      </c>
      <c r="E784">
        <f>'Audit Report'!C784</f>
        <v>0</v>
      </c>
      <c r="I784">
        <f>'Audit Report'!D784</f>
        <v>0</v>
      </c>
      <c r="J784">
        <f>'Audit Report'!H784</f>
        <v>0</v>
      </c>
      <c r="L784" t="str">
        <f>_xlfn.TEXTJOIN(", ", FALSE, 'Audit Report'!K784,'Audit Report'!L784,'Audit Report'!M784)</f>
        <v xml:space="preserve">, , </v>
      </c>
      <c r="M784">
        <f>'Audit Report'!O784</f>
        <v>0</v>
      </c>
      <c r="N784" t="str" cm="1">
        <f t="array" ref="N784">IF(M784="","",
_xlfn.TEXTJOIN(", ",TRUE,
    _xlfn.MAP(_xlfn.TEXTSPLIT(M784,","),_xlfn.LAMBDA(_xlpm.x,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4">
        <f>'Audit Report'!F784</f>
        <v>0</v>
      </c>
      <c r="S784">
        <f>'Audit Report'!Q784</f>
        <v>0</v>
      </c>
    </row>
    <row r="785" spans="4:19">
      <c r="D785">
        <f>'Audit Report'!B785</f>
        <v>0</v>
      </c>
      <c r="E785">
        <f>'Audit Report'!C785</f>
        <v>0</v>
      </c>
      <c r="I785">
        <f>'Audit Report'!D785</f>
        <v>0</v>
      </c>
      <c r="J785">
        <f>'Audit Report'!H785</f>
        <v>0</v>
      </c>
      <c r="L785" t="str">
        <f>_xlfn.TEXTJOIN(", ", FALSE, 'Audit Report'!K785,'Audit Report'!L785,'Audit Report'!M785)</f>
        <v xml:space="preserve">, , </v>
      </c>
      <c r="M785">
        <f>'Audit Report'!O785</f>
        <v>0</v>
      </c>
      <c r="N785" t="str" cm="1">
        <f t="array" ref="N785">IF(M785="","",
_xlfn.TEXTJOIN(", ",TRUE,
    _xlfn.MAP(_xlfn.TEXTSPLIT(M785,","),_xlfn.LAMBDA(_xlpm.x,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5">
        <f>'Audit Report'!F785</f>
        <v>0</v>
      </c>
      <c r="S785">
        <f>'Audit Report'!Q785</f>
        <v>0</v>
      </c>
    </row>
    <row r="786" spans="4:19">
      <c r="D786">
        <f>'Audit Report'!B786</f>
        <v>0</v>
      </c>
      <c r="E786">
        <f>'Audit Report'!C786</f>
        <v>0</v>
      </c>
      <c r="I786">
        <f>'Audit Report'!D786</f>
        <v>0</v>
      </c>
      <c r="J786">
        <f>'Audit Report'!H786</f>
        <v>0</v>
      </c>
      <c r="L786" t="str">
        <f>_xlfn.TEXTJOIN(", ", FALSE, 'Audit Report'!K786,'Audit Report'!L786,'Audit Report'!M786)</f>
        <v xml:space="preserve">, , </v>
      </c>
      <c r="M786">
        <f>'Audit Report'!O786</f>
        <v>0</v>
      </c>
      <c r="N786" t="str" cm="1">
        <f t="array" ref="N786">IF(M786="","",
_xlfn.TEXTJOIN(", ",TRUE,
    _xlfn.MAP(_xlfn.TEXTSPLIT(M786,","),_xlfn.LAMBDA(_xlpm.x,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6">
        <f>'Audit Report'!F786</f>
        <v>0</v>
      </c>
      <c r="S786">
        <f>'Audit Report'!Q786</f>
        <v>0</v>
      </c>
    </row>
    <row r="787" spans="4:19">
      <c r="D787">
        <f>'Audit Report'!B787</f>
        <v>0</v>
      </c>
      <c r="E787">
        <f>'Audit Report'!C787</f>
        <v>0</v>
      </c>
      <c r="I787">
        <f>'Audit Report'!D787</f>
        <v>0</v>
      </c>
      <c r="J787">
        <f>'Audit Report'!H787</f>
        <v>0</v>
      </c>
      <c r="L787" t="str">
        <f>_xlfn.TEXTJOIN(", ", FALSE, 'Audit Report'!K787,'Audit Report'!L787,'Audit Report'!M787)</f>
        <v xml:space="preserve">, , </v>
      </c>
      <c r="M787">
        <f>'Audit Report'!O787</f>
        <v>0</v>
      </c>
      <c r="N787" t="str" cm="1">
        <f t="array" ref="N787">IF(M787="","",
_xlfn.TEXTJOIN(", ",TRUE,
    _xlfn.MAP(_xlfn.TEXTSPLIT(M787,","),_xlfn.LAMBDA(_xlpm.x,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7">
        <f>'Audit Report'!F787</f>
        <v>0</v>
      </c>
      <c r="S787">
        <f>'Audit Report'!Q787</f>
        <v>0</v>
      </c>
    </row>
    <row r="788" spans="4:19">
      <c r="D788">
        <f>'Audit Report'!B788</f>
        <v>0</v>
      </c>
      <c r="E788">
        <f>'Audit Report'!C788</f>
        <v>0</v>
      </c>
      <c r="I788">
        <f>'Audit Report'!D788</f>
        <v>0</v>
      </c>
      <c r="J788">
        <f>'Audit Report'!H788</f>
        <v>0</v>
      </c>
      <c r="L788" t="str">
        <f>_xlfn.TEXTJOIN(", ", FALSE, 'Audit Report'!K788,'Audit Report'!L788,'Audit Report'!M788)</f>
        <v xml:space="preserve">, , </v>
      </c>
      <c r="M788">
        <f>'Audit Report'!O788</f>
        <v>0</v>
      </c>
      <c r="N788" t="str" cm="1">
        <f t="array" ref="N788">IF(M788="","",
_xlfn.TEXTJOIN(", ",TRUE,
    _xlfn.MAP(_xlfn.TEXTSPLIT(M788,","),_xlfn.LAMBDA(_xlpm.x,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8">
        <f>'Audit Report'!F788</f>
        <v>0</v>
      </c>
      <c r="S788">
        <f>'Audit Report'!Q788</f>
        <v>0</v>
      </c>
    </row>
    <row r="789" spans="4:19">
      <c r="D789">
        <f>'Audit Report'!B789</f>
        <v>0</v>
      </c>
      <c r="E789">
        <f>'Audit Report'!C789</f>
        <v>0</v>
      </c>
      <c r="I789">
        <f>'Audit Report'!D789</f>
        <v>0</v>
      </c>
      <c r="J789">
        <f>'Audit Report'!H789</f>
        <v>0</v>
      </c>
      <c r="L789" t="str">
        <f>_xlfn.TEXTJOIN(", ", FALSE, 'Audit Report'!K789,'Audit Report'!L789,'Audit Report'!M789)</f>
        <v xml:space="preserve">, , </v>
      </c>
      <c r="M789">
        <f>'Audit Report'!O789</f>
        <v>0</v>
      </c>
      <c r="N789" t="str" cm="1">
        <f t="array" ref="N789">IF(M789="","",
_xlfn.TEXTJOIN(", ",TRUE,
    _xlfn.MAP(_xlfn.TEXTSPLIT(M789,","),_xlfn.LAMBDA(_xlpm.x,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9">
        <f>'Audit Report'!F789</f>
        <v>0</v>
      </c>
      <c r="S789">
        <f>'Audit Report'!Q789</f>
        <v>0</v>
      </c>
    </row>
    <row r="790" spans="4:19">
      <c r="D790">
        <f>'Audit Report'!B790</f>
        <v>0</v>
      </c>
      <c r="E790">
        <f>'Audit Report'!C790</f>
        <v>0</v>
      </c>
      <c r="I790">
        <f>'Audit Report'!D790</f>
        <v>0</v>
      </c>
      <c r="J790">
        <f>'Audit Report'!H790</f>
        <v>0</v>
      </c>
      <c r="L790" t="str">
        <f>_xlfn.TEXTJOIN(", ", FALSE, 'Audit Report'!K790,'Audit Report'!L790,'Audit Report'!M790)</f>
        <v xml:space="preserve">, , </v>
      </c>
      <c r="M790">
        <f>'Audit Report'!O790</f>
        <v>0</v>
      </c>
      <c r="N790" t="str" cm="1">
        <f t="array" ref="N790">IF(M790="","",
_xlfn.TEXTJOIN(", ",TRUE,
    _xlfn.MAP(_xlfn.TEXTSPLIT(M790,","),_xlfn.LAMBDA(_xlpm.x,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0">
        <f>'Audit Report'!F790</f>
        <v>0</v>
      </c>
      <c r="S790">
        <f>'Audit Report'!Q790</f>
        <v>0</v>
      </c>
    </row>
    <row r="791" spans="4:19">
      <c r="D791">
        <f>'Audit Report'!B791</f>
        <v>0</v>
      </c>
      <c r="E791">
        <f>'Audit Report'!C791</f>
        <v>0</v>
      </c>
      <c r="I791">
        <f>'Audit Report'!D791</f>
        <v>0</v>
      </c>
      <c r="J791">
        <f>'Audit Report'!H791</f>
        <v>0</v>
      </c>
      <c r="L791" t="str">
        <f>_xlfn.TEXTJOIN(", ", FALSE, 'Audit Report'!K791,'Audit Report'!L791,'Audit Report'!M791)</f>
        <v xml:space="preserve">, , </v>
      </c>
      <c r="M791">
        <f>'Audit Report'!O791</f>
        <v>0</v>
      </c>
      <c r="N791" t="str" cm="1">
        <f t="array" ref="N791">IF(M791="","",
_xlfn.TEXTJOIN(", ",TRUE,
    _xlfn.MAP(_xlfn.TEXTSPLIT(M791,","),_xlfn.LAMBDA(_xlpm.x,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1">
        <f>'Audit Report'!F791</f>
        <v>0</v>
      </c>
      <c r="S791">
        <f>'Audit Report'!Q791</f>
        <v>0</v>
      </c>
    </row>
    <row r="792" spans="4:19">
      <c r="D792">
        <f>'Audit Report'!B792</f>
        <v>0</v>
      </c>
      <c r="E792">
        <f>'Audit Report'!C792</f>
        <v>0</v>
      </c>
      <c r="I792">
        <f>'Audit Report'!D792</f>
        <v>0</v>
      </c>
      <c r="J792">
        <f>'Audit Report'!H792</f>
        <v>0</v>
      </c>
      <c r="L792" t="str">
        <f>_xlfn.TEXTJOIN(", ", FALSE, 'Audit Report'!K792,'Audit Report'!L792,'Audit Report'!M792)</f>
        <v xml:space="preserve">, , </v>
      </c>
      <c r="M792">
        <f>'Audit Report'!O792</f>
        <v>0</v>
      </c>
      <c r="N792" t="str" cm="1">
        <f t="array" ref="N792">IF(M792="","",
_xlfn.TEXTJOIN(", ",TRUE,
    _xlfn.MAP(_xlfn.TEXTSPLIT(M792,","),_xlfn.LAMBDA(_xlpm.x,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2">
        <f>'Audit Report'!F792</f>
        <v>0</v>
      </c>
      <c r="S792">
        <f>'Audit Report'!Q792</f>
        <v>0</v>
      </c>
    </row>
    <row r="793" spans="4:19">
      <c r="D793">
        <f>'Audit Report'!B793</f>
        <v>0</v>
      </c>
      <c r="E793">
        <f>'Audit Report'!C793</f>
        <v>0</v>
      </c>
      <c r="I793">
        <f>'Audit Report'!D793</f>
        <v>0</v>
      </c>
      <c r="J793">
        <f>'Audit Report'!H793</f>
        <v>0</v>
      </c>
      <c r="L793" t="str">
        <f>_xlfn.TEXTJOIN(", ", FALSE, 'Audit Report'!K793,'Audit Report'!L793,'Audit Report'!M793)</f>
        <v xml:space="preserve">, , </v>
      </c>
      <c r="M793">
        <f>'Audit Report'!O793</f>
        <v>0</v>
      </c>
      <c r="N793" t="str" cm="1">
        <f t="array" ref="N793">IF(M793="","",
_xlfn.TEXTJOIN(", ",TRUE,
    _xlfn.MAP(_xlfn.TEXTSPLIT(M793,","),_xlfn.LAMBDA(_xlpm.x,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3">
        <f>'Audit Report'!F793</f>
        <v>0</v>
      </c>
      <c r="S793">
        <f>'Audit Report'!Q793</f>
        <v>0</v>
      </c>
    </row>
    <row r="794" spans="4:19">
      <c r="D794">
        <f>'Audit Report'!B794</f>
        <v>0</v>
      </c>
      <c r="E794">
        <f>'Audit Report'!C794</f>
        <v>0</v>
      </c>
      <c r="I794">
        <f>'Audit Report'!D794</f>
        <v>0</v>
      </c>
      <c r="J794">
        <f>'Audit Report'!H794</f>
        <v>0</v>
      </c>
      <c r="L794" t="str">
        <f>_xlfn.TEXTJOIN(", ", FALSE, 'Audit Report'!K794,'Audit Report'!L794,'Audit Report'!M794)</f>
        <v xml:space="preserve">, , </v>
      </c>
      <c r="M794">
        <f>'Audit Report'!O794</f>
        <v>0</v>
      </c>
      <c r="N794" t="str" cm="1">
        <f t="array" ref="N794">IF(M794="","",
_xlfn.TEXTJOIN(", ",TRUE,
    _xlfn.MAP(_xlfn.TEXTSPLIT(M794,","),_xlfn.LAMBDA(_xlpm.x,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4">
        <f>'Audit Report'!F794</f>
        <v>0</v>
      </c>
      <c r="S794">
        <f>'Audit Report'!Q794</f>
        <v>0</v>
      </c>
    </row>
    <row r="795" spans="4:19">
      <c r="D795">
        <f>'Audit Report'!B795</f>
        <v>0</v>
      </c>
      <c r="E795">
        <f>'Audit Report'!C795</f>
        <v>0</v>
      </c>
      <c r="I795">
        <f>'Audit Report'!D795</f>
        <v>0</v>
      </c>
      <c r="J795">
        <f>'Audit Report'!H795</f>
        <v>0</v>
      </c>
      <c r="L795" t="str">
        <f>_xlfn.TEXTJOIN(", ", FALSE, 'Audit Report'!K795,'Audit Report'!L795,'Audit Report'!M795)</f>
        <v xml:space="preserve">, , </v>
      </c>
      <c r="M795">
        <f>'Audit Report'!O795</f>
        <v>0</v>
      </c>
      <c r="N795" t="str" cm="1">
        <f t="array" ref="N795">IF(M795="","",
_xlfn.TEXTJOIN(", ",TRUE,
    _xlfn.MAP(_xlfn.TEXTSPLIT(M795,","),_xlfn.LAMBDA(_xlpm.x,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5">
        <f>'Audit Report'!F795</f>
        <v>0</v>
      </c>
      <c r="S795">
        <f>'Audit Report'!Q795</f>
        <v>0</v>
      </c>
    </row>
    <row r="796" spans="4:19">
      <c r="D796">
        <f>'Audit Report'!B796</f>
        <v>0</v>
      </c>
      <c r="E796">
        <f>'Audit Report'!C796</f>
        <v>0</v>
      </c>
      <c r="I796">
        <f>'Audit Report'!D796</f>
        <v>0</v>
      </c>
      <c r="J796">
        <f>'Audit Report'!H796</f>
        <v>0</v>
      </c>
      <c r="L796" t="str">
        <f>_xlfn.TEXTJOIN(", ", FALSE, 'Audit Report'!K796,'Audit Report'!L796,'Audit Report'!M796)</f>
        <v xml:space="preserve">, , </v>
      </c>
      <c r="M796">
        <f>'Audit Report'!O796</f>
        <v>0</v>
      </c>
      <c r="N796" t="str" cm="1">
        <f t="array" ref="N796">IF(M796="","",
_xlfn.TEXTJOIN(", ",TRUE,
    _xlfn.MAP(_xlfn.TEXTSPLIT(M796,","),_xlfn.LAMBDA(_xlpm.x,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6">
        <f>'Audit Report'!F796</f>
        <v>0</v>
      </c>
      <c r="S796">
        <f>'Audit Report'!Q796</f>
        <v>0</v>
      </c>
    </row>
    <row r="797" spans="4:19">
      <c r="D797">
        <f>'Audit Report'!B797</f>
        <v>0</v>
      </c>
      <c r="E797">
        <f>'Audit Report'!C797</f>
        <v>0</v>
      </c>
      <c r="I797">
        <f>'Audit Report'!D797</f>
        <v>0</v>
      </c>
      <c r="J797">
        <f>'Audit Report'!H797</f>
        <v>0</v>
      </c>
      <c r="L797" t="str">
        <f>_xlfn.TEXTJOIN(", ", FALSE, 'Audit Report'!K797,'Audit Report'!L797,'Audit Report'!M797)</f>
        <v xml:space="preserve">, , </v>
      </c>
      <c r="M797">
        <f>'Audit Report'!O797</f>
        <v>0</v>
      </c>
      <c r="N797" t="str" cm="1">
        <f t="array" ref="N797">IF(M797="","",
_xlfn.TEXTJOIN(", ",TRUE,
    _xlfn.MAP(_xlfn.TEXTSPLIT(M797,","),_xlfn.LAMBDA(_xlpm.x,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7">
        <f>'Audit Report'!F797</f>
        <v>0</v>
      </c>
      <c r="S797">
        <f>'Audit Report'!Q797</f>
        <v>0</v>
      </c>
    </row>
    <row r="798" spans="4:19">
      <c r="D798">
        <f>'Audit Report'!B798</f>
        <v>0</v>
      </c>
      <c r="E798">
        <f>'Audit Report'!C798</f>
        <v>0</v>
      </c>
      <c r="I798">
        <f>'Audit Report'!D798</f>
        <v>0</v>
      </c>
      <c r="J798">
        <f>'Audit Report'!H798</f>
        <v>0</v>
      </c>
      <c r="L798" t="str">
        <f>_xlfn.TEXTJOIN(", ", FALSE, 'Audit Report'!K798,'Audit Report'!L798,'Audit Report'!M798)</f>
        <v xml:space="preserve">, , </v>
      </c>
      <c r="M798">
        <f>'Audit Report'!O798</f>
        <v>0</v>
      </c>
      <c r="N798" t="str" cm="1">
        <f t="array" ref="N798">IF(M798="","",
_xlfn.TEXTJOIN(", ",TRUE,
    _xlfn.MAP(_xlfn.TEXTSPLIT(M798,","),_xlfn.LAMBDA(_xlpm.x,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8">
        <f>'Audit Report'!F798</f>
        <v>0</v>
      </c>
      <c r="S798">
        <f>'Audit Report'!Q798</f>
        <v>0</v>
      </c>
    </row>
    <row r="799" spans="4:19">
      <c r="D799">
        <f>'Audit Report'!B799</f>
        <v>0</v>
      </c>
      <c r="E799">
        <f>'Audit Report'!C799</f>
        <v>0</v>
      </c>
      <c r="I799">
        <f>'Audit Report'!D799</f>
        <v>0</v>
      </c>
      <c r="J799">
        <f>'Audit Report'!H799</f>
        <v>0</v>
      </c>
      <c r="L799" t="str">
        <f>_xlfn.TEXTJOIN(", ", FALSE, 'Audit Report'!K799,'Audit Report'!L799,'Audit Report'!M799)</f>
        <v xml:space="preserve">, , </v>
      </c>
      <c r="M799">
        <f>'Audit Report'!O799</f>
        <v>0</v>
      </c>
      <c r="N799" t="str" cm="1">
        <f t="array" ref="N799">IF(M799="","",
_xlfn.TEXTJOIN(", ",TRUE,
    _xlfn.MAP(_xlfn.TEXTSPLIT(M799,","),_xlfn.LAMBDA(_xlpm.x,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9">
        <f>'Audit Report'!F799</f>
        <v>0</v>
      </c>
      <c r="S799">
        <f>'Audit Report'!Q799</f>
        <v>0</v>
      </c>
    </row>
    <row r="800" spans="4:19">
      <c r="D800">
        <f>'Audit Report'!B800</f>
        <v>0</v>
      </c>
      <c r="E800">
        <f>'Audit Report'!C800</f>
        <v>0</v>
      </c>
      <c r="I800">
        <f>'Audit Report'!D800</f>
        <v>0</v>
      </c>
      <c r="J800">
        <f>'Audit Report'!H800</f>
        <v>0</v>
      </c>
      <c r="L800" t="str">
        <f>_xlfn.TEXTJOIN(", ", FALSE, 'Audit Report'!K800,'Audit Report'!L800,'Audit Report'!M800)</f>
        <v xml:space="preserve">, , </v>
      </c>
      <c r="M800">
        <f>'Audit Report'!O800</f>
        <v>0</v>
      </c>
      <c r="N800" t="str" cm="1">
        <f t="array" ref="N800">IF(M800="","",
_xlfn.TEXTJOIN(", ",TRUE,
    _xlfn.MAP(_xlfn.TEXTSPLIT(M800,","),_xlfn.LAMBDA(_xlpm.x,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0">
        <f>'Audit Report'!F800</f>
        <v>0</v>
      </c>
      <c r="S800">
        <f>'Audit Report'!Q800</f>
        <v>0</v>
      </c>
    </row>
    <row r="801" spans="4:19">
      <c r="D801">
        <f>'Audit Report'!B801</f>
        <v>0</v>
      </c>
      <c r="E801">
        <f>'Audit Report'!C801</f>
        <v>0</v>
      </c>
      <c r="I801">
        <f>'Audit Report'!D801</f>
        <v>0</v>
      </c>
      <c r="J801">
        <f>'Audit Report'!H801</f>
        <v>0</v>
      </c>
      <c r="L801" t="str">
        <f>_xlfn.TEXTJOIN(", ", FALSE, 'Audit Report'!K801,'Audit Report'!L801,'Audit Report'!M801)</f>
        <v xml:space="preserve">, , </v>
      </c>
      <c r="M801">
        <f>'Audit Report'!O801</f>
        <v>0</v>
      </c>
      <c r="N801" t="str" cm="1">
        <f t="array" ref="N801">IF(M801="","",
_xlfn.TEXTJOIN(", ",TRUE,
    _xlfn.MAP(_xlfn.TEXTSPLIT(M801,","),_xlfn.LAMBDA(_xlpm.x,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1">
        <f>'Audit Report'!F801</f>
        <v>0</v>
      </c>
      <c r="S801">
        <f>'Audit Report'!Q801</f>
        <v>0</v>
      </c>
    </row>
    <row r="802" spans="4:19">
      <c r="D802">
        <f>'Audit Report'!B802</f>
        <v>0</v>
      </c>
      <c r="E802">
        <f>'Audit Report'!C802</f>
        <v>0</v>
      </c>
      <c r="I802">
        <f>'Audit Report'!D802</f>
        <v>0</v>
      </c>
      <c r="J802">
        <f>'Audit Report'!H802</f>
        <v>0</v>
      </c>
      <c r="L802" t="str">
        <f>_xlfn.TEXTJOIN(", ", FALSE, 'Audit Report'!K802,'Audit Report'!L802,'Audit Report'!M802)</f>
        <v xml:space="preserve">, , </v>
      </c>
      <c r="M802">
        <f>'Audit Report'!O802</f>
        <v>0</v>
      </c>
      <c r="N802" t="str" cm="1">
        <f t="array" ref="N802">IF(M802="","",
_xlfn.TEXTJOIN(", ",TRUE,
    _xlfn.MAP(_xlfn.TEXTSPLIT(M802,","),_xlfn.LAMBDA(_xlpm.x,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2">
        <f>'Audit Report'!F802</f>
        <v>0</v>
      </c>
      <c r="S802">
        <f>'Audit Report'!Q802</f>
        <v>0</v>
      </c>
    </row>
    <row r="803" spans="4:19">
      <c r="D803">
        <f>'Audit Report'!B803</f>
        <v>0</v>
      </c>
      <c r="E803">
        <f>'Audit Report'!C803</f>
        <v>0</v>
      </c>
      <c r="I803">
        <f>'Audit Report'!D803</f>
        <v>0</v>
      </c>
      <c r="J803">
        <f>'Audit Report'!H803</f>
        <v>0</v>
      </c>
      <c r="L803" t="str">
        <f>_xlfn.TEXTJOIN(", ", FALSE, 'Audit Report'!K803,'Audit Report'!L803,'Audit Report'!M803)</f>
        <v xml:space="preserve">, , </v>
      </c>
      <c r="M803">
        <f>'Audit Report'!O803</f>
        <v>0</v>
      </c>
      <c r="N803" t="str" cm="1">
        <f t="array" ref="N803">IF(M803="","",
_xlfn.TEXTJOIN(", ",TRUE,
    _xlfn.MAP(_xlfn.TEXTSPLIT(M803,","),_xlfn.LAMBDA(_xlpm.x,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3">
        <f>'Audit Report'!F803</f>
        <v>0</v>
      </c>
      <c r="S803">
        <f>'Audit Report'!Q803</f>
        <v>0</v>
      </c>
    </row>
    <row r="804" spans="4:19">
      <c r="D804">
        <f>'Audit Report'!B804</f>
        <v>0</v>
      </c>
      <c r="E804">
        <f>'Audit Report'!C804</f>
        <v>0</v>
      </c>
      <c r="I804">
        <f>'Audit Report'!D804</f>
        <v>0</v>
      </c>
      <c r="J804">
        <f>'Audit Report'!H804</f>
        <v>0</v>
      </c>
      <c r="L804" t="str">
        <f>_xlfn.TEXTJOIN(", ", FALSE, 'Audit Report'!K804,'Audit Report'!L804,'Audit Report'!M804)</f>
        <v xml:space="preserve">, , </v>
      </c>
      <c r="M804">
        <f>'Audit Report'!O804</f>
        <v>0</v>
      </c>
      <c r="N804" t="str" cm="1">
        <f t="array" ref="N804">IF(M804="","",
_xlfn.TEXTJOIN(", ",TRUE,
    _xlfn.MAP(_xlfn.TEXTSPLIT(M804,","),_xlfn.LAMBDA(_xlpm.x,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4">
        <f>'Audit Report'!F804</f>
        <v>0</v>
      </c>
      <c r="S804">
        <f>'Audit Report'!Q804</f>
        <v>0</v>
      </c>
    </row>
    <row r="805" spans="4:19">
      <c r="D805">
        <f>'Audit Report'!B805</f>
        <v>0</v>
      </c>
      <c r="E805">
        <f>'Audit Report'!C805</f>
        <v>0</v>
      </c>
      <c r="I805">
        <f>'Audit Report'!D805</f>
        <v>0</v>
      </c>
      <c r="J805">
        <f>'Audit Report'!H805</f>
        <v>0</v>
      </c>
      <c r="L805" t="str">
        <f>_xlfn.TEXTJOIN(", ", FALSE, 'Audit Report'!K805,'Audit Report'!L805,'Audit Report'!M805)</f>
        <v xml:space="preserve">, , </v>
      </c>
      <c r="M805">
        <f>'Audit Report'!O805</f>
        <v>0</v>
      </c>
      <c r="N805" t="str" cm="1">
        <f t="array" ref="N805">IF(M805="","",
_xlfn.TEXTJOIN(", ",TRUE,
    _xlfn.MAP(_xlfn.TEXTSPLIT(M805,","),_xlfn.LAMBDA(_xlpm.x,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5">
        <f>'Audit Report'!F805</f>
        <v>0</v>
      </c>
      <c r="S805">
        <f>'Audit Report'!Q805</f>
        <v>0</v>
      </c>
    </row>
    <row r="806" spans="4:19">
      <c r="D806">
        <f>'Audit Report'!B806</f>
        <v>0</v>
      </c>
      <c r="E806">
        <f>'Audit Report'!C806</f>
        <v>0</v>
      </c>
      <c r="I806">
        <f>'Audit Report'!D806</f>
        <v>0</v>
      </c>
      <c r="J806">
        <f>'Audit Report'!H806</f>
        <v>0</v>
      </c>
      <c r="L806" t="str">
        <f>_xlfn.TEXTJOIN(", ", FALSE, 'Audit Report'!K806,'Audit Report'!L806,'Audit Report'!M806)</f>
        <v xml:space="preserve">, , </v>
      </c>
      <c r="M806">
        <f>'Audit Report'!O806</f>
        <v>0</v>
      </c>
      <c r="N806" t="str" cm="1">
        <f t="array" ref="N806">IF(M806="","",
_xlfn.TEXTJOIN(", ",TRUE,
    _xlfn.MAP(_xlfn.TEXTSPLIT(M806,","),_xlfn.LAMBDA(_xlpm.x,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6">
        <f>'Audit Report'!F806</f>
        <v>0</v>
      </c>
      <c r="S806">
        <f>'Audit Report'!Q806</f>
        <v>0</v>
      </c>
    </row>
    <row r="807" spans="4:19">
      <c r="D807">
        <f>'Audit Report'!B807</f>
        <v>0</v>
      </c>
      <c r="E807">
        <f>'Audit Report'!C807</f>
        <v>0</v>
      </c>
      <c r="I807">
        <f>'Audit Report'!D807</f>
        <v>0</v>
      </c>
      <c r="J807">
        <f>'Audit Report'!H807</f>
        <v>0</v>
      </c>
      <c r="L807" t="str">
        <f>_xlfn.TEXTJOIN(", ", FALSE, 'Audit Report'!K807,'Audit Report'!L807,'Audit Report'!M807)</f>
        <v xml:space="preserve">, , </v>
      </c>
      <c r="M807">
        <f>'Audit Report'!O807</f>
        <v>0</v>
      </c>
      <c r="N807" t="str" cm="1">
        <f t="array" ref="N807">IF(M807="","",
_xlfn.TEXTJOIN(", ",TRUE,
    _xlfn.MAP(_xlfn.TEXTSPLIT(M807,","),_xlfn.LAMBDA(_xlpm.x,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7">
        <f>'Audit Report'!F807</f>
        <v>0</v>
      </c>
      <c r="S807">
        <f>'Audit Report'!Q807</f>
        <v>0</v>
      </c>
    </row>
    <row r="808" spans="4:19">
      <c r="D808">
        <f>'Audit Report'!B808</f>
        <v>0</v>
      </c>
      <c r="E808">
        <f>'Audit Report'!C808</f>
        <v>0</v>
      </c>
      <c r="I808">
        <f>'Audit Report'!D808</f>
        <v>0</v>
      </c>
      <c r="J808">
        <f>'Audit Report'!H808</f>
        <v>0</v>
      </c>
      <c r="L808" t="str">
        <f>_xlfn.TEXTJOIN(", ", FALSE, 'Audit Report'!K808,'Audit Report'!L808,'Audit Report'!M808)</f>
        <v xml:space="preserve">, , </v>
      </c>
      <c r="M808">
        <f>'Audit Report'!O808</f>
        <v>0</v>
      </c>
      <c r="N808" t="str" cm="1">
        <f t="array" ref="N808">IF(M808="","",
_xlfn.TEXTJOIN(", ",TRUE,
    _xlfn.MAP(_xlfn.TEXTSPLIT(M808,","),_xlfn.LAMBDA(_xlpm.x,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8">
        <f>'Audit Report'!F808</f>
        <v>0</v>
      </c>
      <c r="S808">
        <f>'Audit Report'!Q808</f>
        <v>0</v>
      </c>
    </row>
    <row r="809" spans="4:19">
      <c r="D809">
        <f>'Audit Report'!B809</f>
        <v>0</v>
      </c>
      <c r="E809">
        <f>'Audit Report'!C809</f>
        <v>0</v>
      </c>
      <c r="I809">
        <f>'Audit Report'!D809</f>
        <v>0</v>
      </c>
      <c r="J809">
        <f>'Audit Report'!H809</f>
        <v>0</v>
      </c>
      <c r="L809" t="str">
        <f>_xlfn.TEXTJOIN(", ", FALSE, 'Audit Report'!K809,'Audit Report'!L809,'Audit Report'!M809)</f>
        <v xml:space="preserve">, , </v>
      </c>
      <c r="M809">
        <f>'Audit Report'!O809</f>
        <v>0</v>
      </c>
      <c r="N809" t="str" cm="1">
        <f t="array" ref="N809">IF(M809="","",
_xlfn.TEXTJOIN(", ",TRUE,
    _xlfn.MAP(_xlfn.TEXTSPLIT(M809,","),_xlfn.LAMBDA(_xlpm.x,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9">
        <f>'Audit Report'!F809</f>
        <v>0</v>
      </c>
      <c r="S809">
        <f>'Audit Report'!Q809</f>
        <v>0</v>
      </c>
    </row>
    <row r="810" spans="4:19">
      <c r="D810">
        <f>'Audit Report'!B810</f>
        <v>0</v>
      </c>
      <c r="E810">
        <f>'Audit Report'!C810</f>
        <v>0</v>
      </c>
      <c r="I810">
        <f>'Audit Report'!D810</f>
        <v>0</v>
      </c>
      <c r="J810">
        <f>'Audit Report'!H810</f>
        <v>0</v>
      </c>
      <c r="L810" t="str">
        <f>_xlfn.TEXTJOIN(", ", FALSE, 'Audit Report'!K810,'Audit Report'!L810,'Audit Report'!M810)</f>
        <v xml:space="preserve">, , </v>
      </c>
      <c r="M810">
        <f>'Audit Report'!O810</f>
        <v>0</v>
      </c>
      <c r="N810" t="str" cm="1">
        <f t="array" ref="N810">IF(M810="","",
_xlfn.TEXTJOIN(", ",TRUE,
    _xlfn.MAP(_xlfn.TEXTSPLIT(M810,","),_xlfn.LAMBDA(_xlpm.x,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0">
        <f>'Audit Report'!F810</f>
        <v>0</v>
      </c>
      <c r="S810">
        <f>'Audit Report'!Q810</f>
        <v>0</v>
      </c>
    </row>
    <row r="811" spans="4:19">
      <c r="D811">
        <f>'Audit Report'!B811</f>
        <v>0</v>
      </c>
      <c r="E811">
        <f>'Audit Report'!C811</f>
        <v>0</v>
      </c>
      <c r="I811">
        <f>'Audit Report'!D811</f>
        <v>0</v>
      </c>
      <c r="J811">
        <f>'Audit Report'!H811</f>
        <v>0</v>
      </c>
      <c r="L811" t="str">
        <f>_xlfn.TEXTJOIN(", ", FALSE, 'Audit Report'!K811,'Audit Report'!L811,'Audit Report'!M811)</f>
        <v xml:space="preserve">, , </v>
      </c>
      <c r="M811">
        <f>'Audit Report'!O811</f>
        <v>0</v>
      </c>
      <c r="N811" t="str" cm="1">
        <f t="array" ref="N811">IF(M811="","",
_xlfn.TEXTJOIN(", ",TRUE,
    _xlfn.MAP(_xlfn.TEXTSPLIT(M811,","),_xlfn.LAMBDA(_xlpm.x,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1">
        <f>'Audit Report'!F811</f>
        <v>0</v>
      </c>
      <c r="S811">
        <f>'Audit Report'!Q811</f>
        <v>0</v>
      </c>
    </row>
    <row r="812" spans="4:19">
      <c r="D812">
        <f>'Audit Report'!B812</f>
        <v>0</v>
      </c>
      <c r="E812">
        <f>'Audit Report'!C812</f>
        <v>0</v>
      </c>
      <c r="I812">
        <f>'Audit Report'!D812</f>
        <v>0</v>
      </c>
      <c r="J812">
        <f>'Audit Report'!H812</f>
        <v>0</v>
      </c>
      <c r="L812" t="str">
        <f>_xlfn.TEXTJOIN(", ", FALSE, 'Audit Report'!K812,'Audit Report'!L812,'Audit Report'!M812)</f>
        <v xml:space="preserve">, , </v>
      </c>
      <c r="M812">
        <f>'Audit Report'!O812</f>
        <v>0</v>
      </c>
      <c r="N812" t="str" cm="1">
        <f t="array" ref="N812">IF(M812="","",
_xlfn.TEXTJOIN(", ",TRUE,
    _xlfn.MAP(_xlfn.TEXTSPLIT(M812,","),_xlfn.LAMBDA(_xlpm.x,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2">
        <f>'Audit Report'!F812</f>
        <v>0</v>
      </c>
      <c r="S812">
        <f>'Audit Report'!Q812</f>
        <v>0</v>
      </c>
    </row>
    <row r="813" spans="4:19">
      <c r="D813">
        <f>'Audit Report'!B813</f>
        <v>0</v>
      </c>
      <c r="E813">
        <f>'Audit Report'!C813</f>
        <v>0</v>
      </c>
      <c r="I813">
        <f>'Audit Report'!D813</f>
        <v>0</v>
      </c>
      <c r="J813">
        <f>'Audit Report'!H813</f>
        <v>0</v>
      </c>
      <c r="L813" t="str">
        <f>_xlfn.TEXTJOIN(", ", FALSE, 'Audit Report'!K813,'Audit Report'!L813,'Audit Report'!M813)</f>
        <v xml:space="preserve">, , </v>
      </c>
      <c r="M813">
        <f>'Audit Report'!O813</f>
        <v>0</v>
      </c>
      <c r="N813" t="str" cm="1">
        <f t="array" ref="N813">IF(M813="","",
_xlfn.TEXTJOIN(", ",TRUE,
    _xlfn.MAP(_xlfn.TEXTSPLIT(M813,","),_xlfn.LAMBDA(_xlpm.x,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3">
        <f>'Audit Report'!F813</f>
        <v>0</v>
      </c>
      <c r="S813">
        <f>'Audit Report'!Q813</f>
        <v>0</v>
      </c>
    </row>
    <row r="814" spans="4:19">
      <c r="D814">
        <f>'Audit Report'!B814</f>
        <v>0</v>
      </c>
      <c r="E814">
        <f>'Audit Report'!C814</f>
        <v>0</v>
      </c>
      <c r="I814">
        <f>'Audit Report'!D814</f>
        <v>0</v>
      </c>
      <c r="J814">
        <f>'Audit Report'!H814</f>
        <v>0</v>
      </c>
      <c r="L814" t="str">
        <f>_xlfn.TEXTJOIN(", ", FALSE, 'Audit Report'!K814,'Audit Report'!L814,'Audit Report'!M814)</f>
        <v xml:space="preserve">, , </v>
      </c>
      <c r="M814">
        <f>'Audit Report'!O814</f>
        <v>0</v>
      </c>
      <c r="N814" t="str" cm="1">
        <f t="array" ref="N814">IF(M814="","",
_xlfn.TEXTJOIN(", ",TRUE,
    _xlfn.MAP(_xlfn.TEXTSPLIT(M814,","),_xlfn.LAMBDA(_xlpm.x,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4">
        <f>'Audit Report'!F814</f>
        <v>0</v>
      </c>
      <c r="S814">
        <f>'Audit Report'!Q814</f>
        <v>0</v>
      </c>
    </row>
    <row r="815" spans="4:19">
      <c r="D815">
        <f>'Audit Report'!B815</f>
        <v>0</v>
      </c>
      <c r="E815">
        <f>'Audit Report'!C815</f>
        <v>0</v>
      </c>
      <c r="I815">
        <f>'Audit Report'!D815</f>
        <v>0</v>
      </c>
      <c r="J815">
        <f>'Audit Report'!H815</f>
        <v>0</v>
      </c>
      <c r="L815" t="str">
        <f>_xlfn.TEXTJOIN(", ", FALSE, 'Audit Report'!K815,'Audit Report'!L815,'Audit Report'!M815)</f>
        <v xml:space="preserve">, , </v>
      </c>
      <c r="M815">
        <f>'Audit Report'!O815</f>
        <v>0</v>
      </c>
      <c r="N815" t="str" cm="1">
        <f t="array" ref="N815">IF(M815="","",
_xlfn.TEXTJOIN(", ",TRUE,
    _xlfn.MAP(_xlfn.TEXTSPLIT(M815,","),_xlfn.LAMBDA(_xlpm.x,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5">
        <f>'Audit Report'!F815</f>
        <v>0</v>
      </c>
      <c r="S815">
        <f>'Audit Report'!Q815</f>
        <v>0</v>
      </c>
    </row>
    <row r="816" spans="4:19">
      <c r="D816">
        <f>'Audit Report'!B816</f>
        <v>0</v>
      </c>
      <c r="E816">
        <f>'Audit Report'!C816</f>
        <v>0</v>
      </c>
      <c r="I816">
        <f>'Audit Report'!D816</f>
        <v>0</v>
      </c>
      <c r="J816">
        <f>'Audit Report'!H816</f>
        <v>0</v>
      </c>
      <c r="L816" t="str">
        <f>_xlfn.TEXTJOIN(", ", FALSE, 'Audit Report'!K816,'Audit Report'!L816,'Audit Report'!M816)</f>
        <v xml:space="preserve">, , </v>
      </c>
      <c r="M816">
        <f>'Audit Report'!O816</f>
        <v>0</v>
      </c>
      <c r="N816" t="str" cm="1">
        <f t="array" ref="N816">IF(M816="","",
_xlfn.TEXTJOIN(", ",TRUE,
    _xlfn.MAP(_xlfn.TEXTSPLIT(M816,","),_xlfn.LAMBDA(_xlpm.x,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6">
        <f>'Audit Report'!F816</f>
        <v>0</v>
      </c>
      <c r="S816">
        <f>'Audit Report'!Q816</f>
        <v>0</v>
      </c>
    </row>
    <row r="817" spans="4:19">
      <c r="D817">
        <f>'Audit Report'!B817</f>
        <v>0</v>
      </c>
      <c r="E817">
        <f>'Audit Report'!C817</f>
        <v>0</v>
      </c>
      <c r="I817">
        <f>'Audit Report'!D817</f>
        <v>0</v>
      </c>
      <c r="J817">
        <f>'Audit Report'!H817</f>
        <v>0</v>
      </c>
      <c r="L817" t="str">
        <f>_xlfn.TEXTJOIN(", ", FALSE, 'Audit Report'!K817,'Audit Report'!L817,'Audit Report'!M817)</f>
        <v xml:space="preserve">, , </v>
      </c>
      <c r="M817">
        <f>'Audit Report'!O817</f>
        <v>0</v>
      </c>
      <c r="N817" t="str" cm="1">
        <f t="array" ref="N817">IF(M817="","",
_xlfn.TEXTJOIN(", ",TRUE,
    _xlfn.MAP(_xlfn.TEXTSPLIT(M817,","),_xlfn.LAMBDA(_xlpm.x,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7">
        <f>'Audit Report'!F817</f>
        <v>0</v>
      </c>
      <c r="S817">
        <f>'Audit Report'!Q817</f>
        <v>0</v>
      </c>
    </row>
    <row r="818" spans="4:19">
      <c r="D818">
        <f>'Audit Report'!B818</f>
        <v>0</v>
      </c>
      <c r="E818">
        <f>'Audit Report'!C818</f>
        <v>0</v>
      </c>
      <c r="I818">
        <f>'Audit Report'!D818</f>
        <v>0</v>
      </c>
      <c r="J818">
        <f>'Audit Report'!H818</f>
        <v>0</v>
      </c>
      <c r="L818" t="str">
        <f>_xlfn.TEXTJOIN(", ", FALSE, 'Audit Report'!K818,'Audit Report'!L818,'Audit Report'!M818)</f>
        <v xml:space="preserve">, , </v>
      </c>
      <c r="M818">
        <f>'Audit Report'!O818</f>
        <v>0</v>
      </c>
      <c r="N818" t="str" cm="1">
        <f t="array" ref="N818">IF(M818="","",
_xlfn.TEXTJOIN(", ",TRUE,
    _xlfn.MAP(_xlfn.TEXTSPLIT(M818,","),_xlfn.LAMBDA(_xlpm.x,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8">
        <f>'Audit Report'!F818</f>
        <v>0</v>
      </c>
      <c r="S818">
        <f>'Audit Report'!Q818</f>
        <v>0</v>
      </c>
    </row>
    <row r="819" spans="4:19">
      <c r="D819">
        <f>'Audit Report'!B819</f>
        <v>0</v>
      </c>
      <c r="E819">
        <f>'Audit Report'!C819</f>
        <v>0</v>
      </c>
      <c r="I819">
        <f>'Audit Report'!D819</f>
        <v>0</v>
      </c>
      <c r="J819">
        <f>'Audit Report'!H819</f>
        <v>0</v>
      </c>
      <c r="L819" t="str">
        <f>_xlfn.TEXTJOIN(", ", FALSE, 'Audit Report'!K819,'Audit Report'!L819,'Audit Report'!M819)</f>
        <v xml:space="preserve">, , </v>
      </c>
      <c r="M819">
        <f>'Audit Report'!O819</f>
        <v>0</v>
      </c>
      <c r="N819" t="str" cm="1">
        <f t="array" ref="N819">IF(M819="","",
_xlfn.TEXTJOIN(", ",TRUE,
    _xlfn.MAP(_xlfn.TEXTSPLIT(M819,","),_xlfn.LAMBDA(_xlpm.x,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9">
        <f>'Audit Report'!F819</f>
        <v>0</v>
      </c>
      <c r="S819">
        <f>'Audit Report'!Q819</f>
        <v>0</v>
      </c>
    </row>
    <row r="820" spans="4:19">
      <c r="D820">
        <f>'Audit Report'!B820</f>
        <v>0</v>
      </c>
      <c r="E820">
        <f>'Audit Report'!C820</f>
        <v>0</v>
      </c>
      <c r="I820">
        <f>'Audit Report'!D820</f>
        <v>0</v>
      </c>
      <c r="J820">
        <f>'Audit Report'!H820</f>
        <v>0</v>
      </c>
      <c r="L820" t="str">
        <f>_xlfn.TEXTJOIN(", ", FALSE, 'Audit Report'!K820,'Audit Report'!L820,'Audit Report'!M820)</f>
        <v xml:space="preserve">, , </v>
      </c>
      <c r="M820">
        <f>'Audit Report'!O820</f>
        <v>0</v>
      </c>
      <c r="N820" t="str" cm="1">
        <f t="array" ref="N820">IF(M820="","",
_xlfn.TEXTJOIN(", ",TRUE,
    _xlfn.MAP(_xlfn.TEXTSPLIT(M820,","),_xlfn.LAMBDA(_xlpm.x,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0">
        <f>'Audit Report'!F820</f>
        <v>0</v>
      </c>
      <c r="S820">
        <f>'Audit Report'!Q820</f>
        <v>0</v>
      </c>
    </row>
    <row r="821" spans="4:19">
      <c r="D821">
        <f>'Audit Report'!B821</f>
        <v>0</v>
      </c>
      <c r="E821">
        <f>'Audit Report'!C821</f>
        <v>0</v>
      </c>
      <c r="I821">
        <f>'Audit Report'!D821</f>
        <v>0</v>
      </c>
      <c r="J821">
        <f>'Audit Report'!H821</f>
        <v>0</v>
      </c>
      <c r="L821" t="str">
        <f>_xlfn.TEXTJOIN(", ", FALSE, 'Audit Report'!K821,'Audit Report'!L821,'Audit Report'!M821)</f>
        <v xml:space="preserve">, , </v>
      </c>
      <c r="M821">
        <f>'Audit Report'!O821</f>
        <v>0</v>
      </c>
      <c r="N821" t="str" cm="1">
        <f t="array" ref="N821">IF(M821="","",
_xlfn.TEXTJOIN(", ",TRUE,
    _xlfn.MAP(_xlfn.TEXTSPLIT(M821,","),_xlfn.LAMBDA(_xlpm.x,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1">
        <f>'Audit Report'!F821</f>
        <v>0</v>
      </c>
      <c r="S821">
        <f>'Audit Report'!Q821</f>
        <v>0</v>
      </c>
    </row>
    <row r="822" spans="4:19">
      <c r="D822">
        <f>'Audit Report'!B822</f>
        <v>0</v>
      </c>
      <c r="E822">
        <f>'Audit Report'!C822</f>
        <v>0</v>
      </c>
      <c r="I822">
        <f>'Audit Report'!D822</f>
        <v>0</v>
      </c>
      <c r="J822">
        <f>'Audit Report'!H822</f>
        <v>0</v>
      </c>
      <c r="L822" t="str">
        <f>_xlfn.TEXTJOIN(", ", FALSE, 'Audit Report'!K822,'Audit Report'!L822,'Audit Report'!M822)</f>
        <v xml:space="preserve">, , </v>
      </c>
      <c r="M822">
        <f>'Audit Report'!O822</f>
        <v>0</v>
      </c>
      <c r="N822" t="str" cm="1">
        <f t="array" ref="N822">IF(M822="","",
_xlfn.TEXTJOIN(", ",TRUE,
    _xlfn.MAP(_xlfn.TEXTSPLIT(M822,","),_xlfn.LAMBDA(_xlpm.x,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2">
        <f>'Audit Report'!F822</f>
        <v>0</v>
      </c>
      <c r="S822">
        <f>'Audit Report'!Q822</f>
        <v>0</v>
      </c>
    </row>
    <row r="823" spans="4:19">
      <c r="D823">
        <f>'Audit Report'!B823</f>
        <v>0</v>
      </c>
      <c r="E823">
        <f>'Audit Report'!C823</f>
        <v>0</v>
      </c>
      <c r="I823">
        <f>'Audit Report'!D823</f>
        <v>0</v>
      </c>
      <c r="J823">
        <f>'Audit Report'!H823</f>
        <v>0</v>
      </c>
      <c r="L823" t="str">
        <f>_xlfn.TEXTJOIN(", ", FALSE, 'Audit Report'!K823,'Audit Report'!L823,'Audit Report'!M823)</f>
        <v xml:space="preserve">, , </v>
      </c>
      <c r="M823">
        <f>'Audit Report'!O823</f>
        <v>0</v>
      </c>
      <c r="N823" t="str" cm="1">
        <f t="array" ref="N823">IF(M823="","",
_xlfn.TEXTJOIN(", ",TRUE,
    _xlfn.MAP(_xlfn.TEXTSPLIT(M823,","),_xlfn.LAMBDA(_xlpm.x,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3">
        <f>'Audit Report'!F823</f>
        <v>0</v>
      </c>
      <c r="S823">
        <f>'Audit Report'!Q823</f>
        <v>0</v>
      </c>
    </row>
    <row r="824" spans="4:19">
      <c r="D824">
        <f>'Audit Report'!B824</f>
        <v>0</v>
      </c>
      <c r="E824">
        <f>'Audit Report'!C824</f>
        <v>0</v>
      </c>
      <c r="I824">
        <f>'Audit Report'!D824</f>
        <v>0</v>
      </c>
      <c r="J824">
        <f>'Audit Report'!H824</f>
        <v>0</v>
      </c>
      <c r="L824" t="str">
        <f>_xlfn.TEXTJOIN(", ", FALSE, 'Audit Report'!K824,'Audit Report'!L824,'Audit Report'!M824)</f>
        <v xml:space="preserve">, , </v>
      </c>
      <c r="M824">
        <f>'Audit Report'!O824</f>
        <v>0</v>
      </c>
      <c r="N824" t="str" cm="1">
        <f t="array" ref="N824">IF(M824="","",
_xlfn.TEXTJOIN(", ",TRUE,
    _xlfn.MAP(_xlfn.TEXTSPLIT(M824,","),_xlfn.LAMBDA(_xlpm.x,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4">
        <f>'Audit Report'!F824</f>
        <v>0</v>
      </c>
      <c r="S824">
        <f>'Audit Report'!Q824</f>
        <v>0</v>
      </c>
    </row>
    <row r="825" spans="4:19">
      <c r="D825">
        <f>'Audit Report'!B825</f>
        <v>0</v>
      </c>
      <c r="E825">
        <f>'Audit Report'!C825</f>
        <v>0</v>
      </c>
      <c r="I825">
        <f>'Audit Report'!D825</f>
        <v>0</v>
      </c>
      <c r="J825">
        <f>'Audit Report'!H825</f>
        <v>0</v>
      </c>
      <c r="L825" t="str">
        <f>_xlfn.TEXTJOIN(", ", FALSE, 'Audit Report'!K825,'Audit Report'!L825,'Audit Report'!M825)</f>
        <v xml:space="preserve">, , </v>
      </c>
      <c r="M825">
        <f>'Audit Report'!O825</f>
        <v>0</v>
      </c>
      <c r="N825" t="str" cm="1">
        <f t="array" ref="N825">IF(M825="","",
_xlfn.TEXTJOIN(", ",TRUE,
    _xlfn.MAP(_xlfn.TEXTSPLIT(M825,","),_xlfn.LAMBDA(_xlpm.x,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5">
        <f>'Audit Report'!F825</f>
        <v>0</v>
      </c>
      <c r="S825">
        <f>'Audit Report'!Q825</f>
        <v>0</v>
      </c>
    </row>
    <row r="826" spans="4:19">
      <c r="D826">
        <f>'Audit Report'!B826</f>
        <v>0</v>
      </c>
      <c r="E826">
        <f>'Audit Report'!C826</f>
        <v>0</v>
      </c>
      <c r="I826">
        <f>'Audit Report'!D826</f>
        <v>0</v>
      </c>
      <c r="J826">
        <f>'Audit Report'!H826</f>
        <v>0</v>
      </c>
      <c r="L826" t="str">
        <f>_xlfn.TEXTJOIN(", ", FALSE, 'Audit Report'!K826,'Audit Report'!L826,'Audit Report'!M826)</f>
        <v xml:space="preserve">, , </v>
      </c>
      <c r="M826">
        <f>'Audit Report'!O826</f>
        <v>0</v>
      </c>
      <c r="N826" t="str" cm="1">
        <f t="array" ref="N826">IF(M826="","",
_xlfn.TEXTJOIN(", ",TRUE,
    _xlfn.MAP(_xlfn.TEXTSPLIT(M826,","),_xlfn.LAMBDA(_xlpm.x,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6">
        <f>'Audit Report'!F826</f>
        <v>0</v>
      </c>
      <c r="S826">
        <f>'Audit Report'!Q826</f>
        <v>0</v>
      </c>
    </row>
    <row r="827" spans="4:19">
      <c r="D827">
        <f>'Audit Report'!B827</f>
        <v>0</v>
      </c>
      <c r="E827">
        <f>'Audit Report'!C827</f>
        <v>0</v>
      </c>
      <c r="I827">
        <f>'Audit Report'!D827</f>
        <v>0</v>
      </c>
      <c r="J827">
        <f>'Audit Report'!H827</f>
        <v>0</v>
      </c>
      <c r="L827" t="str">
        <f>_xlfn.TEXTJOIN(", ", FALSE, 'Audit Report'!K827,'Audit Report'!L827,'Audit Report'!M827)</f>
        <v xml:space="preserve">, , </v>
      </c>
      <c r="M827">
        <f>'Audit Report'!O827</f>
        <v>0</v>
      </c>
      <c r="N827" t="str" cm="1">
        <f t="array" ref="N827">IF(M827="","",
_xlfn.TEXTJOIN(", ",TRUE,
    _xlfn.MAP(_xlfn.TEXTSPLIT(M827,","),_xlfn.LAMBDA(_xlpm.x,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7">
        <f>'Audit Report'!F827</f>
        <v>0</v>
      </c>
      <c r="S827">
        <f>'Audit Report'!Q827</f>
        <v>0</v>
      </c>
    </row>
    <row r="828" spans="4:19">
      <c r="D828">
        <f>'Audit Report'!B828</f>
        <v>0</v>
      </c>
      <c r="E828">
        <f>'Audit Report'!C828</f>
        <v>0</v>
      </c>
      <c r="I828">
        <f>'Audit Report'!D828</f>
        <v>0</v>
      </c>
      <c r="J828">
        <f>'Audit Report'!H828</f>
        <v>0</v>
      </c>
      <c r="L828" t="str">
        <f>_xlfn.TEXTJOIN(", ", FALSE, 'Audit Report'!K828,'Audit Report'!L828,'Audit Report'!M828)</f>
        <v xml:space="preserve">, , </v>
      </c>
      <c r="M828">
        <f>'Audit Report'!O828</f>
        <v>0</v>
      </c>
      <c r="N828" t="str" cm="1">
        <f t="array" ref="N828">IF(M828="","",
_xlfn.TEXTJOIN(", ",TRUE,
    _xlfn.MAP(_xlfn.TEXTSPLIT(M828,","),_xlfn.LAMBDA(_xlpm.x,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8">
        <f>'Audit Report'!F828</f>
        <v>0</v>
      </c>
      <c r="S828">
        <f>'Audit Report'!Q828</f>
        <v>0</v>
      </c>
    </row>
    <row r="829" spans="4:19">
      <c r="D829">
        <f>'Audit Report'!B829</f>
        <v>0</v>
      </c>
      <c r="E829">
        <f>'Audit Report'!C829</f>
        <v>0</v>
      </c>
      <c r="I829">
        <f>'Audit Report'!D829</f>
        <v>0</v>
      </c>
      <c r="J829">
        <f>'Audit Report'!H829</f>
        <v>0</v>
      </c>
      <c r="L829" t="str">
        <f>_xlfn.TEXTJOIN(", ", FALSE, 'Audit Report'!K829,'Audit Report'!L829,'Audit Report'!M829)</f>
        <v xml:space="preserve">, , </v>
      </c>
      <c r="M829">
        <f>'Audit Report'!O829</f>
        <v>0</v>
      </c>
      <c r="N829" t="str" cm="1">
        <f t="array" ref="N829">IF(M829="","",
_xlfn.TEXTJOIN(", ",TRUE,
    _xlfn.MAP(_xlfn.TEXTSPLIT(M829,","),_xlfn.LAMBDA(_xlpm.x,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9">
        <f>'Audit Report'!F829</f>
        <v>0</v>
      </c>
      <c r="S829">
        <f>'Audit Report'!Q829</f>
        <v>0</v>
      </c>
    </row>
    <row r="830" spans="4:19">
      <c r="D830">
        <f>'Audit Report'!B830</f>
        <v>0</v>
      </c>
      <c r="E830">
        <f>'Audit Report'!C830</f>
        <v>0</v>
      </c>
      <c r="I830">
        <f>'Audit Report'!D830</f>
        <v>0</v>
      </c>
      <c r="J830">
        <f>'Audit Report'!H830</f>
        <v>0</v>
      </c>
      <c r="L830" t="str">
        <f>_xlfn.TEXTJOIN(", ", FALSE, 'Audit Report'!K830,'Audit Report'!L830,'Audit Report'!M830)</f>
        <v xml:space="preserve">, , </v>
      </c>
      <c r="M830">
        <f>'Audit Report'!O830</f>
        <v>0</v>
      </c>
      <c r="N830" t="str" cm="1">
        <f t="array" ref="N830">IF(M830="","",
_xlfn.TEXTJOIN(", ",TRUE,
    _xlfn.MAP(_xlfn.TEXTSPLIT(M830,","),_xlfn.LAMBDA(_xlpm.x,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0">
        <f>'Audit Report'!F830</f>
        <v>0</v>
      </c>
      <c r="S830">
        <f>'Audit Report'!Q830</f>
        <v>0</v>
      </c>
    </row>
    <row r="831" spans="4:19">
      <c r="D831">
        <f>'Audit Report'!B831</f>
        <v>0</v>
      </c>
      <c r="E831">
        <f>'Audit Report'!C831</f>
        <v>0</v>
      </c>
      <c r="I831">
        <f>'Audit Report'!D831</f>
        <v>0</v>
      </c>
      <c r="J831">
        <f>'Audit Report'!H831</f>
        <v>0</v>
      </c>
      <c r="L831" t="str">
        <f>_xlfn.TEXTJOIN(", ", FALSE, 'Audit Report'!K831,'Audit Report'!L831,'Audit Report'!M831)</f>
        <v xml:space="preserve">, , </v>
      </c>
      <c r="M831">
        <f>'Audit Report'!O831</f>
        <v>0</v>
      </c>
      <c r="N831" t="str" cm="1">
        <f t="array" ref="N831">IF(M831="","",
_xlfn.TEXTJOIN(", ",TRUE,
    _xlfn.MAP(_xlfn.TEXTSPLIT(M831,","),_xlfn.LAMBDA(_xlpm.x,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1">
        <f>'Audit Report'!F831</f>
        <v>0</v>
      </c>
      <c r="S831">
        <f>'Audit Report'!Q831</f>
        <v>0</v>
      </c>
    </row>
    <row r="832" spans="4:19">
      <c r="D832">
        <f>'Audit Report'!B832</f>
        <v>0</v>
      </c>
      <c r="E832">
        <f>'Audit Report'!C832</f>
        <v>0</v>
      </c>
      <c r="I832">
        <f>'Audit Report'!D832</f>
        <v>0</v>
      </c>
      <c r="J832">
        <f>'Audit Report'!H832</f>
        <v>0</v>
      </c>
      <c r="L832" t="str">
        <f>_xlfn.TEXTJOIN(", ", FALSE, 'Audit Report'!K832,'Audit Report'!L832,'Audit Report'!M832)</f>
        <v xml:space="preserve">, , </v>
      </c>
      <c r="M832">
        <f>'Audit Report'!O832</f>
        <v>0</v>
      </c>
      <c r="N832" t="str" cm="1">
        <f t="array" ref="N832">IF(M832="","",
_xlfn.TEXTJOIN(", ",TRUE,
    _xlfn.MAP(_xlfn.TEXTSPLIT(M832,","),_xlfn.LAMBDA(_xlpm.x,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2">
        <f>'Audit Report'!F832</f>
        <v>0</v>
      </c>
      <c r="S832">
        <f>'Audit Report'!Q832</f>
        <v>0</v>
      </c>
    </row>
    <row r="833" spans="4:19">
      <c r="D833">
        <f>'Audit Report'!B833</f>
        <v>0</v>
      </c>
      <c r="E833">
        <f>'Audit Report'!C833</f>
        <v>0</v>
      </c>
      <c r="I833">
        <f>'Audit Report'!D833</f>
        <v>0</v>
      </c>
      <c r="J833">
        <f>'Audit Report'!H833</f>
        <v>0</v>
      </c>
      <c r="L833" t="str">
        <f>_xlfn.TEXTJOIN(", ", FALSE, 'Audit Report'!K833,'Audit Report'!L833,'Audit Report'!M833)</f>
        <v xml:space="preserve">, , </v>
      </c>
      <c r="M833">
        <f>'Audit Report'!O833</f>
        <v>0</v>
      </c>
      <c r="N833" t="str" cm="1">
        <f t="array" ref="N833">IF(M833="","",
_xlfn.TEXTJOIN(", ",TRUE,
    _xlfn.MAP(_xlfn.TEXTSPLIT(M833,","),_xlfn.LAMBDA(_xlpm.x,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3">
        <f>'Audit Report'!F833</f>
        <v>0</v>
      </c>
      <c r="S833">
        <f>'Audit Report'!Q833</f>
        <v>0</v>
      </c>
    </row>
    <row r="834" spans="4:19">
      <c r="D834">
        <f>'Audit Report'!B834</f>
        <v>0</v>
      </c>
      <c r="E834">
        <f>'Audit Report'!C834</f>
        <v>0</v>
      </c>
      <c r="I834">
        <f>'Audit Report'!D834</f>
        <v>0</v>
      </c>
      <c r="J834">
        <f>'Audit Report'!H834</f>
        <v>0</v>
      </c>
      <c r="L834" t="str">
        <f>_xlfn.TEXTJOIN(", ", FALSE, 'Audit Report'!K834,'Audit Report'!L834,'Audit Report'!M834)</f>
        <v xml:space="preserve">, , </v>
      </c>
      <c r="M834">
        <f>'Audit Report'!O834</f>
        <v>0</v>
      </c>
      <c r="N834" t="str" cm="1">
        <f t="array" ref="N834">IF(M834="","",
_xlfn.TEXTJOIN(", ",TRUE,
    _xlfn.MAP(_xlfn.TEXTSPLIT(M834,","),_xlfn.LAMBDA(_xlpm.x,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4">
        <f>'Audit Report'!F834</f>
        <v>0</v>
      </c>
      <c r="S834">
        <f>'Audit Report'!Q834</f>
        <v>0</v>
      </c>
    </row>
    <row r="835" spans="4:19">
      <c r="D835">
        <f>'Audit Report'!B835</f>
        <v>0</v>
      </c>
      <c r="E835">
        <f>'Audit Report'!C835</f>
        <v>0</v>
      </c>
      <c r="I835">
        <f>'Audit Report'!D835</f>
        <v>0</v>
      </c>
      <c r="J835">
        <f>'Audit Report'!H835</f>
        <v>0</v>
      </c>
      <c r="L835" t="str">
        <f>_xlfn.TEXTJOIN(", ", FALSE, 'Audit Report'!K835,'Audit Report'!L835,'Audit Report'!M835)</f>
        <v xml:space="preserve">, , </v>
      </c>
      <c r="M835">
        <f>'Audit Report'!O835</f>
        <v>0</v>
      </c>
      <c r="N835" t="str" cm="1">
        <f t="array" ref="N835">IF(M835="","",
_xlfn.TEXTJOIN(", ",TRUE,
    _xlfn.MAP(_xlfn.TEXTSPLIT(M835,","),_xlfn.LAMBDA(_xlpm.x,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5">
        <f>'Audit Report'!F835</f>
        <v>0</v>
      </c>
      <c r="S835">
        <f>'Audit Report'!Q835</f>
        <v>0</v>
      </c>
    </row>
    <row r="836" spans="4:19">
      <c r="D836">
        <f>'Audit Report'!B836</f>
        <v>0</v>
      </c>
      <c r="E836">
        <f>'Audit Report'!C836</f>
        <v>0</v>
      </c>
      <c r="I836">
        <f>'Audit Report'!D836</f>
        <v>0</v>
      </c>
      <c r="J836">
        <f>'Audit Report'!H836</f>
        <v>0</v>
      </c>
      <c r="L836" t="str">
        <f>_xlfn.TEXTJOIN(", ", FALSE, 'Audit Report'!K836,'Audit Report'!L836,'Audit Report'!M836)</f>
        <v xml:space="preserve">, , </v>
      </c>
      <c r="M836">
        <f>'Audit Report'!O836</f>
        <v>0</v>
      </c>
      <c r="N836" t="str" cm="1">
        <f t="array" ref="N836">IF(M836="","",
_xlfn.TEXTJOIN(", ",TRUE,
    _xlfn.MAP(_xlfn.TEXTSPLIT(M836,","),_xlfn.LAMBDA(_xlpm.x,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6">
        <f>'Audit Report'!F836</f>
        <v>0</v>
      </c>
      <c r="S836">
        <f>'Audit Report'!Q836</f>
        <v>0</v>
      </c>
    </row>
    <row r="837" spans="4:19">
      <c r="D837">
        <f>'Audit Report'!B837</f>
        <v>0</v>
      </c>
      <c r="E837">
        <f>'Audit Report'!C837</f>
        <v>0</v>
      </c>
      <c r="I837">
        <f>'Audit Report'!D837</f>
        <v>0</v>
      </c>
      <c r="J837">
        <f>'Audit Report'!H837</f>
        <v>0</v>
      </c>
      <c r="L837" t="str">
        <f>_xlfn.TEXTJOIN(", ", FALSE, 'Audit Report'!K837,'Audit Report'!L837,'Audit Report'!M837)</f>
        <v xml:space="preserve">, , </v>
      </c>
      <c r="M837">
        <f>'Audit Report'!O837</f>
        <v>0</v>
      </c>
      <c r="N837" t="str" cm="1">
        <f t="array" ref="N837">IF(M837="","",
_xlfn.TEXTJOIN(", ",TRUE,
    _xlfn.MAP(_xlfn.TEXTSPLIT(M837,","),_xlfn.LAMBDA(_xlpm.x,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7">
        <f>'Audit Report'!F837</f>
        <v>0</v>
      </c>
      <c r="S837">
        <f>'Audit Report'!Q837</f>
        <v>0</v>
      </c>
    </row>
    <row r="838" spans="4:19">
      <c r="D838">
        <f>'Audit Report'!B838</f>
        <v>0</v>
      </c>
      <c r="E838">
        <f>'Audit Report'!C838</f>
        <v>0</v>
      </c>
      <c r="I838">
        <f>'Audit Report'!D838</f>
        <v>0</v>
      </c>
      <c r="J838">
        <f>'Audit Report'!H838</f>
        <v>0</v>
      </c>
      <c r="L838" t="str">
        <f>_xlfn.TEXTJOIN(", ", FALSE, 'Audit Report'!K838,'Audit Report'!L838,'Audit Report'!M838)</f>
        <v xml:space="preserve">, , </v>
      </c>
      <c r="M838">
        <f>'Audit Report'!O838</f>
        <v>0</v>
      </c>
      <c r="N838" t="str" cm="1">
        <f t="array" ref="N838">IF(M838="","",
_xlfn.TEXTJOIN(", ",TRUE,
    _xlfn.MAP(_xlfn.TEXTSPLIT(M838,","),_xlfn.LAMBDA(_xlpm.x,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8">
        <f>'Audit Report'!F838</f>
        <v>0</v>
      </c>
      <c r="S838">
        <f>'Audit Report'!Q838</f>
        <v>0</v>
      </c>
    </row>
    <row r="839" spans="4:19">
      <c r="D839">
        <f>'Audit Report'!B839</f>
        <v>0</v>
      </c>
      <c r="E839">
        <f>'Audit Report'!C839</f>
        <v>0</v>
      </c>
      <c r="I839">
        <f>'Audit Report'!D839</f>
        <v>0</v>
      </c>
      <c r="J839">
        <f>'Audit Report'!H839</f>
        <v>0</v>
      </c>
      <c r="L839" t="str">
        <f>_xlfn.TEXTJOIN(", ", FALSE, 'Audit Report'!K839,'Audit Report'!L839,'Audit Report'!M839)</f>
        <v xml:space="preserve">, , </v>
      </c>
      <c r="M839">
        <f>'Audit Report'!O839</f>
        <v>0</v>
      </c>
      <c r="N839" t="str" cm="1">
        <f t="array" ref="N839">IF(M839="","",
_xlfn.TEXTJOIN(", ",TRUE,
    _xlfn.MAP(_xlfn.TEXTSPLIT(M839,","),_xlfn.LAMBDA(_xlpm.x,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9">
        <f>'Audit Report'!F839</f>
        <v>0</v>
      </c>
      <c r="S839">
        <f>'Audit Report'!Q839</f>
        <v>0</v>
      </c>
    </row>
    <row r="840" spans="4:19">
      <c r="D840">
        <f>'Audit Report'!B840</f>
        <v>0</v>
      </c>
      <c r="E840">
        <f>'Audit Report'!C840</f>
        <v>0</v>
      </c>
      <c r="I840">
        <f>'Audit Report'!D840</f>
        <v>0</v>
      </c>
      <c r="J840">
        <f>'Audit Report'!H840</f>
        <v>0</v>
      </c>
      <c r="L840" t="str">
        <f>_xlfn.TEXTJOIN(", ", FALSE, 'Audit Report'!K840,'Audit Report'!L840,'Audit Report'!M840)</f>
        <v xml:space="preserve">, , </v>
      </c>
      <c r="M840">
        <f>'Audit Report'!O840</f>
        <v>0</v>
      </c>
      <c r="N840" t="str" cm="1">
        <f t="array" ref="N840">IF(M840="","",
_xlfn.TEXTJOIN(", ",TRUE,
    _xlfn.MAP(_xlfn.TEXTSPLIT(M840,","),_xlfn.LAMBDA(_xlpm.x,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0">
        <f>'Audit Report'!F840</f>
        <v>0</v>
      </c>
      <c r="S840">
        <f>'Audit Report'!Q840</f>
        <v>0</v>
      </c>
    </row>
    <row r="841" spans="4:19">
      <c r="D841">
        <f>'Audit Report'!B841</f>
        <v>0</v>
      </c>
      <c r="E841">
        <f>'Audit Report'!C841</f>
        <v>0</v>
      </c>
      <c r="I841">
        <f>'Audit Report'!D841</f>
        <v>0</v>
      </c>
      <c r="J841">
        <f>'Audit Report'!H841</f>
        <v>0</v>
      </c>
      <c r="L841" t="str">
        <f>_xlfn.TEXTJOIN(", ", FALSE, 'Audit Report'!K841,'Audit Report'!L841,'Audit Report'!M841)</f>
        <v xml:space="preserve">, , </v>
      </c>
      <c r="M841">
        <f>'Audit Report'!O841</f>
        <v>0</v>
      </c>
      <c r="N841" t="str" cm="1">
        <f t="array" ref="N841">IF(M841="","",
_xlfn.TEXTJOIN(", ",TRUE,
    _xlfn.MAP(_xlfn.TEXTSPLIT(M841,","),_xlfn.LAMBDA(_xlpm.x,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1">
        <f>'Audit Report'!F841</f>
        <v>0</v>
      </c>
      <c r="S841">
        <f>'Audit Report'!Q841</f>
        <v>0</v>
      </c>
    </row>
    <row r="842" spans="4:19">
      <c r="D842">
        <f>'Audit Report'!B842</f>
        <v>0</v>
      </c>
      <c r="E842">
        <f>'Audit Report'!C842</f>
        <v>0</v>
      </c>
      <c r="I842">
        <f>'Audit Report'!D842</f>
        <v>0</v>
      </c>
      <c r="J842">
        <f>'Audit Report'!H842</f>
        <v>0</v>
      </c>
      <c r="L842" t="str">
        <f>_xlfn.TEXTJOIN(", ", FALSE, 'Audit Report'!K842,'Audit Report'!L842,'Audit Report'!M842)</f>
        <v xml:space="preserve">, , </v>
      </c>
      <c r="M842">
        <f>'Audit Report'!O842</f>
        <v>0</v>
      </c>
      <c r="N842" t="str" cm="1">
        <f t="array" ref="N842">IF(M842="","",
_xlfn.TEXTJOIN(", ",TRUE,
    _xlfn.MAP(_xlfn.TEXTSPLIT(M842,","),_xlfn.LAMBDA(_xlpm.x,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2">
        <f>'Audit Report'!F842</f>
        <v>0</v>
      </c>
      <c r="S842">
        <f>'Audit Report'!Q842</f>
        <v>0</v>
      </c>
    </row>
    <row r="843" spans="4:19">
      <c r="D843">
        <f>'Audit Report'!B843</f>
        <v>0</v>
      </c>
      <c r="E843">
        <f>'Audit Report'!C843</f>
        <v>0</v>
      </c>
      <c r="I843">
        <f>'Audit Report'!D843</f>
        <v>0</v>
      </c>
      <c r="J843">
        <f>'Audit Report'!H843</f>
        <v>0</v>
      </c>
      <c r="L843" t="str">
        <f>_xlfn.TEXTJOIN(", ", FALSE, 'Audit Report'!K843,'Audit Report'!L843,'Audit Report'!M843)</f>
        <v xml:space="preserve">, , </v>
      </c>
      <c r="M843">
        <f>'Audit Report'!O843</f>
        <v>0</v>
      </c>
      <c r="N843" t="str" cm="1">
        <f t="array" ref="N843">IF(M843="","",
_xlfn.TEXTJOIN(", ",TRUE,
    _xlfn.MAP(_xlfn.TEXTSPLIT(M843,","),_xlfn.LAMBDA(_xlpm.x,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3">
        <f>'Audit Report'!F843</f>
        <v>0</v>
      </c>
      <c r="S843">
        <f>'Audit Report'!Q843</f>
        <v>0</v>
      </c>
    </row>
    <row r="844" spans="4:19">
      <c r="D844">
        <f>'Audit Report'!B844</f>
        <v>0</v>
      </c>
      <c r="E844">
        <f>'Audit Report'!C844</f>
        <v>0</v>
      </c>
      <c r="I844">
        <f>'Audit Report'!D844</f>
        <v>0</v>
      </c>
      <c r="J844">
        <f>'Audit Report'!H844</f>
        <v>0</v>
      </c>
      <c r="L844" t="str">
        <f>_xlfn.TEXTJOIN(", ", FALSE, 'Audit Report'!K844,'Audit Report'!L844,'Audit Report'!M844)</f>
        <v xml:space="preserve">, , </v>
      </c>
      <c r="M844">
        <f>'Audit Report'!O844</f>
        <v>0</v>
      </c>
      <c r="N844" t="str" cm="1">
        <f t="array" ref="N844">IF(M844="","",
_xlfn.TEXTJOIN(", ",TRUE,
    _xlfn.MAP(_xlfn.TEXTSPLIT(M844,","),_xlfn.LAMBDA(_xlpm.x,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4">
        <f>'Audit Report'!F844</f>
        <v>0</v>
      </c>
      <c r="S844">
        <f>'Audit Report'!Q844</f>
        <v>0</v>
      </c>
    </row>
    <row r="845" spans="4:19">
      <c r="D845">
        <f>'Audit Report'!B845</f>
        <v>0</v>
      </c>
      <c r="E845">
        <f>'Audit Report'!C845</f>
        <v>0</v>
      </c>
      <c r="I845">
        <f>'Audit Report'!D845</f>
        <v>0</v>
      </c>
      <c r="J845">
        <f>'Audit Report'!H845</f>
        <v>0</v>
      </c>
      <c r="L845" t="str">
        <f>_xlfn.TEXTJOIN(", ", FALSE, 'Audit Report'!K845,'Audit Report'!L845,'Audit Report'!M845)</f>
        <v xml:space="preserve">, , </v>
      </c>
      <c r="M845">
        <f>'Audit Report'!O845</f>
        <v>0</v>
      </c>
      <c r="N845" t="str" cm="1">
        <f t="array" ref="N845">IF(M845="","",
_xlfn.TEXTJOIN(", ",TRUE,
    _xlfn.MAP(_xlfn.TEXTSPLIT(M845,","),_xlfn.LAMBDA(_xlpm.x,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5">
        <f>'Audit Report'!F845</f>
        <v>0</v>
      </c>
      <c r="S845">
        <f>'Audit Report'!Q845</f>
        <v>0</v>
      </c>
    </row>
    <row r="846" spans="4:19">
      <c r="D846">
        <f>'Audit Report'!B846</f>
        <v>0</v>
      </c>
      <c r="E846">
        <f>'Audit Report'!C846</f>
        <v>0</v>
      </c>
      <c r="I846">
        <f>'Audit Report'!D846</f>
        <v>0</v>
      </c>
      <c r="J846">
        <f>'Audit Report'!H846</f>
        <v>0</v>
      </c>
      <c r="L846" t="str">
        <f>_xlfn.TEXTJOIN(", ", FALSE, 'Audit Report'!K846,'Audit Report'!L846,'Audit Report'!M846)</f>
        <v xml:space="preserve">, , </v>
      </c>
      <c r="M846">
        <f>'Audit Report'!O846</f>
        <v>0</v>
      </c>
      <c r="N846" t="str" cm="1">
        <f t="array" ref="N846">IF(M846="","",
_xlfn.TEXTJOIN(", ",TRUE,
    _xlfn.MAP(_xlfn.TEXTSPLIT(M846,","),_xlfn.LAMBDA(_xlpm.x,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6">
        <f>'Audit Report'!F846</f>
        <v>0</v>
      </c>
      <c r="S846">
        <f>'Audit Report'!Q846</f>
        <v>0</v>
      </c>
    </row>
    <row r="847" spans="4:19">
      <c r="D847">
        <f>'Audit Report'!B847</f>
        <v>0</v>
      </c>
      <c r="E847">
        <f>'Audit Report'!C847</f>
        <v>0</v>
      </c>
      <c r="I847">
        <f>'Audit Report'!D847</f>
        <v>0</v>
      </c>
      <c r="J847">
        <f>'Audit Report'!H847</f>
        <v>0</v>
      </c>
      <c r="L847" t="str">
        <f>_xlfn.TEXTJOIN(", ", FALSE, 'Audit Report'!K847,'Audit Report'!L847,'Audit Report'!M847)</f>
        <v xml:space="preserve">, , </v>
      </c>
      <c r="M847">
        <f>'Audit Report'!O847</f>
        <v>0</v>
      </c>
      <c r="N847" t="str" cm="1">
        <f t="array" ref="N847">IF(M847="","",
_xlfn.TEXTJOIN(", ",TRUE,
    _xlfn.MAP(_xlfn.TEXTSPLIT(M847,","),_xlfn.LAMBDA(_xlpm.x,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7">
        <f>'Audit Report'!F847</f>
        <v>0</v>
      </c>
      <c r="S847">
        <f>'Audit Report'!Q847</f>
        <v>0</v>
      </c>
    </row>
    <row r="848" spans="4:19">
      <c r="D848">
        <f>'Audit Report'!B848</f>
        <v>0</v>
      </c>
      <c r="E848">
        <f>'Audit Report'!C848</f>
        <v>0</v>
      </c>
      <c r="I848">
        <f>'Audit Report'!D848</f>
        <v>0</v>
      </c>
      <c r="J848">
        <f>'Audit Report'!H848</f>
        <v>0</v>
      </c>
      <c r="L848" t="str">
        <f>_xlfn.TEXTJOIN(", ", FALSE, 'Audit Report'!K848,'Audit Report'!L848,'Audit Report'!M848)</f>
        <v xml:space="preserve">, , </v>
      </c>
      <c r="M848">
        <f>'Audit Report'!O848</f>
        <v>0</v>
      </c>
      <c r="N848" t="str" cm="1">
        <f t="array" ref="N848">IF(M848="","",
_xlfn.TEXTJOIN(", ",TRUE,
    _xlfn.MAP(_xlfn.TEXTSPLIT(M848,","),_xlfn.LAMBDA(_xlpm.x,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8">
        <f>'Audit Report'!F848</f>
        <v>0</v>
      </c>
      <c r="S848">
        <f>'Audit Report'!Q848</f>
        <v>0</v>
      </c>
    </row>
    <row r="849" spans="4:19">
      <c r="D849">
        <f>'Audit Report'!B849</f>
        <v>0</v>
      </c>
      <c r="E849">
        <f>'Audit Report'!C849</f>
        <v>0</v>
      </c>
      <c r="I849">
        <f>'Audit Report'!D849</f>
        <v>0</v>
      </c>
      <c r="J849">
        <f>'Audit Report'!H849</f>
        <v>0</v>
      </c>
      <c r="L849" t="str">
        <f>_xlfn.TEXTJOIN(", ", FALSE, 'Audit Report'!K849,'Audit Report'!L849,'Audit Report'!M849)</f>
        <v xml:space="preserve">, , </v>
      </c>
      <c r="M849">
        <f>'Audit Report'!O849</f>
        <v>0</v>
      </c>
      <c r="N849" t="str" cm="1">
        <f t="array" ref="N849">IF(M849="","",
_xlfn.TEXTJOIN(", ",TRUE,
    _xlfn.MAP(_xlfn.TEXTSPLIT(M849,","),_xlfn.LAMBDA(_xlpm.x,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9">
        <f>'Audit Report'!F849</f>
        <v>0</v>
      </c>
      <c r="S849">
        <f>'Audit Report'!Q849</f>
        <v>0</v>
      </c>
    </row>
    <row r="850" spans="4:19">
      <c r="D850">
        <f>'Audit Report'!B850</f>
        <v>0</v>
      </c>
      <c r="E850">
        <f>'Audit Report'!C850</f>
        <v>0</v>
      </c>
      <c r="I850">
        <f>'Audit Report'!D850</f>
        <v>0</v>
      </c>
      <c r="J850">
        <f>'Audit Report'!H850</f>
        <v>0</v>
      </c>
      <c r="L850" t="str">
        <f>_xlfn.TEXTJOIN(", ", FALSE, 'Audit Report'!K850,'Audit Report'!L850,'Audit Report'!M850)</f>
        <v xml:space="preserve">, , </v>
      </c>
      <c r="M850">
        <f>'Audit Report'!O850</f>
        <v>0</v>
      </c>
      <c r="N850" t="str" cm="1">
        <f t="array" ref="N850">IF(M850="","",
_xlfn.TEXTJOIN(", ",TRUE,
    _xlfn.MAP(_xlfn.TEXTSPLIT(M850,","),_xlfn.LAMBDA(_xlpm.x,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0">
        <f>'Audit Report'!F850</f>
        <v>0</v>
      </c>
      <c r="S850">
        <f>'Audit Report'!Q850</f>
        <v>0</v>
      </c>
    </row>
    <row r="851" spans="4:19">
      <c r="D851">
        <f>'Audit Report'!B851</f>
        <v>0</v>
      </c>
      <c r="E851">
        <f>'Audit Report'!C851</f>
        <v>0</v>
      </c>
      <c r="I851">
        <f>'Audit Report'!D851</f>
        <v>0</v>
      </c>
      <c r="J851">
        <f>'Audit Report'!H851</f>
        <v>0</v>
      </c>
      <c r="L851" t="str">
        <f>_xlfn.TEXTJOIN(", ", FALSE, 'Audit Report'!K851,'Audit Report'!L851,'Audit Report'!M851)</f>
        <v xml:space="preserve">, , </v>
      </c>
      <c r="M851">
        <f>'Audit Report'!O851</f>
        <v>0</v>
      </c>
      <c r="N851" t="str" cm="1">
        <f t="array" ref="N851">IF(M851="","",
_xlfn.TEXTJOIN(", ",TRUE,
    _xlfn.MAP(_xlfn.TEXTSPLIT(M851,","),_xlfn.LAMBDA(_xlpm.x,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1">
        <f>'Audit Report'!F851</f>
        <v>0</v>
      </c>
      <c r="S851">
        <f>'Audit Report'!Q851</f>
        <v>0</v>
      </c>
    </row>
    <row r="852" spans="4:19">
      <c r="D852">
        <f>'Audit Report'!B852</f>
        <v>0</v>
      </c>
      <c r="E852">
        <f>'Audit Report'!C852</f>
        <v>0</v>
      </c>
      <c r="I852">
        <f>'Audit Report'!D852</f>
        <v>0</v>
      </c>
      <c r="J852">
        <f>'Audit Report'!H852</f>
        <v>0</v>
      </c>
      <c r="L852" t="str">
        <f>_xlfn.TEXTJOIN(", ", FALSE, 'Audit Report'!K852,'Audit Report'!L852,'Audit Report'!M852)</f>
        <v xml:space="preserve">, , </v>
      </c>
      <c r="M852">
        <f>'Audit Report'!O852</f>
        <v>0</v>
      </c>
      <c r="N852" t="str" cm="1">
        <f t="array" ref="N852">IF(M852="","",
_xlfn.TEXTJOIN(", ",TRUE,
    _xlfn.MAP(_xlfn.TEXTSPLIT(M852,","),_xlfn.LAMBDA(_xlpm.x,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2">
        <f>'Audit Report'!F852</f>
        <v>0</v>
      </c>
      <c r="S852">
        <f>'Audit Report'!Q852</f>
        <v>0</v>
      </c>
    </row>
    <row r="853" spans="4:19">
      <c r="D853">
        <f>'Audit Report'!B853</f>
        <v>0</v>
      </c>
      <c r="E853">
        <f>'Audit Report'!C853</f>
        <v>0</v>
      </c>
      <c r="I853">
        <f>'Audit Report'!D853</f>
        <v>0</v>
      </c>
      <c r="J853">
        <f>'Audit Report'!H853</f>
        <v>0</v>
      </c>
      <c r="L853" t="str">
        <f>_xlfn.TEXTJOIN(", ", FALSE, 'Audit Report'!K853,'Audit Report'!L853,'Audit Report'!M853)</f>
        <v xml:space="preserve">, , </v>
      </c>
      <c r="M853">
        <f>'Audit Report'!O853</f>
        <v>0</v>
      </c>
      <c r="N853" t="str" cm="1">
        <f t="array" ref="N853">IF(M853="","",
_xlfn.TEXTJOIN(", ",TRUE,
    _xlfn.MAP(_xlfn.TEXTSPLIT(M853,","),_xlfn.LAMBDA(_xlpm.x,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3">
        <f>'Audit Report'!F853</f>
        <v>0</v>
      </c>
      <c r="S853">
        <f>'Audit Report'!Q853</f>
        <v>0</v>
      </c>
    </row>
    <row r="854" spans="4:19">
      <c r="D854">
        <f>'Audit Report'!B854</f>
        <v>0</v>
      </c>
      <c r="E854">
        <f>'Audit Report'!C854</f>
        <v>0</v>
      </c>
      <c r="I854">
        <f>'Audit Report'!D854</f>
        <v>0</v>
      </c>
      <c r="J854">
        <f>'Audit Report'!H854</f>
        <v>0</v>
      </c>
      <c r="L854" t="str">
        <f>_xlfn.TEXTJOIN(", ", FALSE, 'Audit Report'!K854,'Audit Report'!L854,'Audit Report'!M854)</f>
        <v xml:space="preserve">, , </v>
      </c>
      <c r="M854">
        <f>'Audit Report'!O854</f>
        <v>0</v>
      </c>
      <c r="N854" t="str" cm="1">
        <f t="array" ref="N854">IF(M854="","",
_xlfn.TEXTJOIN(", ",TRUE,
    _xlfn.MAP(_xlfn.TEXTSPLIT(M854,","),_xlfn.LAMBDA(_xlpm.x,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4">
        <f>'Audit Report'!F854</f>
        <v>0</v>
      </c>
      <c r="S854">
        <f>'Audit Report'!Q854</f>
        <v>0</v>
      </c>
    </row>
    <row r="855" spans="4:19">
      <c r="D855">
        <f>'Audit Report'!B855</f>
        <v>0</v>
      </c>
      <c r="E855">
        <f>'Audit Report'!C855</f>
        <v>0</v>
      </c>
      <c r="I855">
        <f>'Audit Report'!D855</f>
        <v>0</v>
      </c>
      <c r="J855">
        <f>'Audit Report'!H855</f>
        <v>0</v>
      </c>
      <c r="L855" t="str">
        <f>_xlfn.TEXTJOIN(", ", FALSE, 'Audit Report'!K855,'Audit Report'!L855,'Audit Report'!M855)</f>
        <v xml:space="preserve">, , </v>
      </c>
      <c r="M855">
        <f>'Audit Report'!O855</f>
        <v>0</v>
      </c>
      <c r="N855" t="str" cm="1">
        <f t="array" ref="N855">IF(M855="","",
_xlfn.TEXTJOIN(", ",TRUE,
    _xlfn.MAP(_xlfn.TEXTSPLIT(M855,","),_xlfn.LAMBDA(_xlpm.x,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5">
        <f>'Audit Report'!F855</f>
        <v>0</v>
      </c>
      <c r="S855">
        <f>'Audit Report'!Q855</f>
        <v>0</v>
      </c>
    </row>
    <row r="856" spans="4:19">
      <c r="D856">
        <f>'Audit Report'!B856</f>
        <v>0</v>
      </c>
      <c r="E856">
        <f>'Audit Report'!C856</f>
        <v>0</v>
      </c>
      <c r="I856">
        <f>'Audit Report'!D856</f>
        <v>0</v>
      </c>
      <c r="J856">
        <f>'Audit Report'!H856</f>
        <v>0</v>
      </c>
      <c r="L856" t="str">
        <f>_xlfn.TEXTJOIN(", ", FALSE, 'Audit Report'!K856,'Audit Report'!L856,'Audit Report'!M856)</f>
        <v xml:space="preserve">, , </v>
      </c>
      <c r="M856">
        <f>'Audit Report'!O856</f>
        <v>0</v>
      </c>
      <c r="N856" t="str" cm="1">
        <f t="array" ref="N856">IF(M856="","",
_xlfn.TEXTJOIN(", ",TRUE,
    _xlfn.MAP(_xlfn.TEXTSPLIT(M856,","),_xlfn.LAMBDA(_xlpm.x,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6">
        <f>'Audit Report'!F856</f>
        <v>0</v>
      </c>
      <c r="S856">
        <f>'Audit Report'!Q856</f>
        <v>0</v>
      </c>
    </row>
    <row r="857" spans="4:19">
      <c r="D857">
        <f>'Audit Report'!B857</f>
        <v>0</v>
      </c>
      <c r="E857">
        <f>'Audit Report'!C857</f>
        <v>0</v>
      </c>
      <c r="I857">
        <f>'Audit Report'!D857</f>
        <v>0</v>
      </c>
      <c r="J857">
        <f>'Audit Report'!H857</f>
        <v>0</v>
      </c>
      <c r="L857" t="str">
        <f>_xlfn.TEXTJOIN(", ", FALSE, 'Audit Report'!K857,'Audit Report'!L857,'Audit Report'!M857)</f>
        <v xml:space="preserve">, , </v>
      </c>
      <c r="M857">
        <f>'Audit Report'!O857</f>
        <v>0</v>
      </c>
      <c r="N857" t="str" cm="1">
        <f t="array" ref="N857">IF(M857="","",
_xlfn.TEXTJOIN(", ",TRUE,
    _xlfn.MAP(_xlfn.TEXTSPLIT(M857,","),_xlfn.LAMBDA(_xlpm.x,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7">
        <f>'Audit Report'!F857</f>
        <v>0</v>
      </c>
      <c r="S857">
        <f>'Audit Report'!Q857</f>
        <v>0</v>
      </c>
    </row>
    <row r="858" spans="4:19">
      <c r="D858">
        <f>'Audit Report'!B858</f>
        <v>0</v>
      </c>
      <c r="E858">
        <f>'Audit Report'!C858</f>
        <v>0</v>
      </c>
      <c r="I858">
        <f>'Audit Report'!D858</f>
        <v>0</v>
      </c>
      <c r="J858">
        <f>'Audit Report'!H858</f>
        <v>0</v>
      </c>
      <c r="L858" t="str">
        <f>_xlfn.TEXTJOIN(", ", FALSE, 'Audit Report'!K858,'Audit Report'!L858,'Audit Report'!M858)</f>
        <v xml:space="preserve">, , </v>
      </c>
      <c r="M858">
        <f>'Audit Report'!O858</f>
        <v>0</v>
      </c>
      <c r="N858" t="str" cm="1">
        <f t="array" ref="N858">IF(M858="","",
_xlfn.TEXTJOIN(", ",TRUE,
    _xlfn.MAP(_xlfn.TEXTSPLIT(M858,","),_xlfn.LAMBDA(_xlpm.x,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8">
        <f>'Audit Report'!F858</f>
        <v>0</v>
      </c>
      <c r="S858">
        <f>'Audit Report'!Q858</f>
        <v>0</v>
      </c>
    </row>
    <row r="859" spans="4:19">
      <c r="D859">
        <f>'Audit Report'!B859</f>
        <v>0</v>
      </c>
      <c r="E859">
        <f>'Audit Report'!C859</f>
        <v>0</v>
      </c>
      <c r="I859">
        <f>'Audit Report'!D859</f>
        <v>0</v>
      </c>
      <c r="J859">
        <f>'Audit Report'!H859</f>
        <v>0</v>
      </c>
      <c r="L859" t="str">
        <f>_xlfn.TEXTJOIN(", ", FALSE, 'Audit Report'!K859,'Audit Report'!L859,'Audit Report'!M859)</f>
        <v xml:space="preserve">, , </v>
      </c>
      <c r="M859">
        <f>'Audit Report'!O859</f>
        <v>0</v>
      </c>
      <c r="N859" t="str" cm="1">
        <f t="array" ref="N859">IF(M859="","",
_xlfn.TEXTJOIN(", ",TRUE,
    _xlfn.MAP(_xlfn.TEXTSPLIT(M859,","),_xlfn.LAMBDA(_xlpm.x,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9">
        <f>'Audit Report'!F859</f>
        <v>0</v>
      </c>
      <c r="S859">
        <f>'Audit Report'!Q859</f>
        <v>0</v>
      </c>
    </row>
    <row r="860" spans="4:19">
      <c r="D860">
        <f>'Audit Report'!B860</f>
        <v>0</v>
      </c>
      <c r="E860">
        <f>'Audit Report'!C860</f>
        <v>0</v>
      </c>
      <c r="I860">
        <f>'Audit Report'!D860</f>
        <v>0</v>
      </c>
      <c r="J860">
        <f>'Audit Report'!H860</f>
        <v>0</v>
      </c>
      <c r="L860" t="str">
        <f>_xlfn.TEXTJOIN(", ", FALSE, 'Audit Report'!K860,'Audit Report'!L860,'Audit Report'!M860)</f>
        <v xml:space="preserve">, , </v>
      </c>
      <c r="M860">
        <f>'Audit Report'!O860</f>
        <v>0</v>
      </c>
      <c r="N860" t="str" cm="1">
        <f t="array" ref="N860">IF(M860="","",
_xlfn.TEXTJOIN(", ",TRUE,
    _xlfn.MAP(_xlfn.TEXTSPLIT(M860,","),_xlfn.LAMBDA(_xlpm.x,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0">
        <f>'Audit Report'!F860</f>
        <v>0</v>
      </c>
      <c r="S860">
        <f>'Audit Report'!Q860</f>
        <v>0</v>
      </c>
    </row>
    <row r="861" spans="4:19">
      <c r="D861">
        <f>'Audit Report'!B861</f>
        <v>0</v>
      </c>
      <c r="E861">
        <f>'Audit Report'!C861</f>
        <v>0</v>
      </c>
      <c r="I861">
        <f>'Audit Report'!D861</f>
        <v>0</v>
      </c>
      <c r="J861">
        <f>'Audit Report'!H861</f>
        <v>0</v>
      </c>
      <c r="L861" t="str">
        <f>_xlfn.TEXTJOIN(", ", FALSE, 'Audit Report'!K861,'Audit Report'!L861,'Audit Report'!M861)</f>
        <v xml:space="preserve">, , </v>
      </c>
      <c r="M861">
        <f>'Audit Report'!O861</f>
        <v>0</v>
      </c>
      <c r="N861" t="str" cm="1">
        <f t="array" ref="N861">IF(M861="","",
_xlfn.TEXTJOIN(", ",TRUE,
    _xlfn.MAP(_xlfn.TEXTSPLIT(M861,","),_xlfn.LAMBDA(_xlpm.x,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1">
        <f>'Audit Report'!F861</f>
        <v>0</v>
      </c>
      <c r="S861">
        <f>'Audit Report'!Q861</f>
        <v>0</v>
      </c>
    </row>
    <row r="862" spans="4:19">
      <c r="D862">
        <f>'Audit Report'!B862</f>
        <v>0</v>
      </c>
      <c r="E862">
        <f>'Audit Report'!C862</f>
        <v>0</v>
      </c>
      <c r="I862">
        <f>'Audit Report'!D862</f>
        <v>0</v>
      </c>
      <c r="J862">
        <f>'Audit Report'!H862</f>
        <v>0</v>
      </c>
      <c r="L862" t="str">
        <f>_xlfn.TEXTJOIN(", ", FALSE, 'Audit Report'!K862,'Audit Report'!L862,'Audit Report'!M862)</f>
        <v xml:space="preserve">, , </v>
      </c>
      <c r="M862">
        <f>'Audit Report'!O862</f>
        <v>0</v>
      </c>
      <c r="N862" t="str" cm="1">
        <f t="array" ref="N862">IF(M862="","",
_xlfn.TEXTJOIN(", ",TRUE,
    _xlfn.MAP(_xlfn.TEXTSPLIT(M862,","),_xlfn.LAMBDA(_xlpm.x,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2">
        <f>'Audit Report'!F862</f>
        <v>0</v>
      </c>
      <c r="S862">
        <f>'Audit Report'!Q862</f>
        <v>0</v>
      </c>
    </row>
    <row r="863" spans="4:19">
      <c r="D863">
        <f>'Audit Report'!B863</f>
        <v>0</v>
      </c>
      <c r="E863">
        <f>'Audit Report'!C863</f>
        <v>0</v>
      </c>
      <c r="I863">
        <f>'Audit Report'!D863</f>
        <v>0</v>
      </c>
      <c r="J863">
        <f>'Audit Report'!H863</f>
        <v>0</v>
      </c>
      <c r="L863" t="str">
        <f>_xlfn.TEXTJOIN(", ", FALSE, 'Audit Report'!K863,'Audit Report'!L863,'Audit Report'!M863)</f>
        <v xml:space="preserve">, , </v>
      </c>
      <c r="M863">
        <f>'Audit Report'!O863</f>
        <v>0</v>
      </c>
      <c r="N863" t="str" cm="1">
        <f t="array" ref="N863">IF(M863="","",
_xlfn.TEXTJOIN(", ",TRUE,
    _xlfn.MAP(_xlfn.TEXTSPLIT(M863,","),_xlfn.LAMBDA(_xlpm.x,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3">
        <f>'Audit Report'!F863</f>
        <v>0</v>
      </c>
      <c r="S863">
        <f>'Audit Report'!Q863</f>
        <v>0</v>
      </c>
    </row>
    <row r="864" spans="4:19">
      <c r="D864">
        <f>'Audit Report'!B864</f>
        <v>0</v>
      </c>
      <c r="E864">
        <f>'Audit Report'!C864</f>
        <v>0</v>
      </c>
      <c r="I864">
        <f>'Audit Report'!D864</f>
        <v>0</v>
      </c>
      <c r="J864">
        <f>'Audit Report'!H864</f>
        <v>0</v>
      </c>
      <c r="L864" t="str">
        <f>_xlfn.TEXTJOIN(", ", FALSE, 'Audit Report'!K864,'Audit Report'!L864,'Audit Report'!M864)</f>
        <v xml:space="preserve">, , </v>
      </c>
      <c r="M864">
        <f>'Audit Report'!O864</f>
        <v>0</v>
      </c>
      <c r="N864" t="str" cm="1">
        <f t="array" ref="N864">IF(M864="","",
_xlfn.TEXTJOIN(", ",TRUE,
    _xlfn.MAP(_xlfn.TEXTSPLIT(M864,","),_xlfn.LAMBDA(_xlpm.x,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4">
        <f>'Audit Report'!F864</f>
        <v>0</v>
      </c>
      <c r="S864">
        <f>'Audit Report'!Q864</f>
        <v>0</v>
      </c>
    </row>
    <row r="865" spans="4:19">
      <c r="D865">
        <f>'Audit Report'!B865</f>
        <v>0</v>
      </c>
      <c r="E865">
        <f>'Audit Report'!C865</f>
        <v>0</v>
      </c>
      <c r="I865">
        <f>'Audit Report'!D865</f>
        <v>0</v>
      </c>
      <c r="J865">
        <f>'Audit Report'!H865</f>
        <v>0</v>
      </c>
      <c r="L865" t="str">
        <f>_xlfn.TEXTJOIN(", ", FALSE, 'Audit Report'!K865,'Audit Report'!L865,'Audit Report'!M865)</f>
        <v xml:space="preserve">, , </v>
      </c>
      <c r="M865">
        <f>'Audit Report'!O865</f>
        <v>0</v>
      </c>
      <c r="N865" t="str" cm="1">
        <f t="array" ref="N865">IF(M865="","",
_xlfn.TEXTJOIN(", ",TRUE,
    _xlfn.MAP(_xlfn.TEXTSPLIT(M865,","),_xlfn.LAMBDA(_xlpm.x,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5">
        <f>'Audit Report'!F865</f>
        <v>0</v>
      </c>
      <c r="S865">
        <f>'Audit Report'!Q865</f>
        <v>0</v>
      </c>
    </row>
    <row r="866" spans="4:19">
      <c r="D866">
        <f>'Audit Report'!B866</f>
        <v>0</v>
      </c>
      <c r="E866">
        <f>'Audit Report'!C866</f>
        <v>0</v>
      </c>
      <c r="I866">
        <f>'Audit Report'!D866</f>
        <v>0</v>
      </c>
      <c r="J866">
        <f>'Audit Report'!H866</f>
        <v>0</v>
      </c>
      <c r="L866" t="str">
        <f>_xlfn.TEXTJOIN(", ", FALSE, 'Audit Report'!K866,'Audit Report'!L866,'Audit Report'!M866)</f>
        <v xml:space="preserve">, , </v>
      </c>
      <c r="M866">
        <f>'Audit Report'!O866</f>
        <v>0</v>
      </c>
      <c r="N866" t="str" cm="1">
        <f t="array" ref="N866">IF(M866="","",
_xlfn.TEXTJOIN(", ",TRUE,
    _xlfn.MAP(_xlfn.TEXTSPLIT(M866,","),_xlfn.LAMBDA(_xlpm.x,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6">
        <f>'Audit Report'!F866</f>
        <v>0</v>
      </c>
      <c r="S866">
        <f>'Audit Report'!Q866</f>
        <v>0</v>
      </c>
    </row>
    <row r="867" spans="4:19">
      <c r="D867">
        <f>'Audit Report'!B867</f>
        <v>0</v>
      </c>
      <c r="E867">
        <f>'Audit Report'!C867</f>
        <v>0</v>
      </c>
      <c r="I867">
        <f>'Audit Report'!D867</f>
        <v>0</v>
      </c>
      <c r="J867">
        <f>'Audit Report'!H867</f>
        <v>0</v>
      </c>
      <c r="L867" t="str">
        <f>_xlfn.TEXTJOIN(", ", FALSE, 'Audit Report'!K867,'Audit Report'!L867,'Audit Report'!M867)</f>
        <v xml:space="preserve">, , </v>
      </c>
      <c r="M867">
        <f>'Audit Report'!O867</f>
        <v>0</v>
      </c>
      <c r="N867" t="str" cm="1">
        <f t="array" ref="N867">IF(M867="","",
_xlfn.TEXTJOIN(", ",TRUE,
    _xlfn.MAP(_xlfn.TEXTSPLIT(M867,","),_xlfn.LAMBDA(_xlpm.x,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7">
        <f>'Audit Report'!F867</f>
        <v>0</v>
      </c>
      <c r="S867">
        <f>'Audit Report'!Q867</f>
        <v>0</v>
      </c>
    </row>
    <row r="868" spans="4:19">
      <c r="D868">
        <f>'Audit Report'!B868</f>
        <v>0</v>
      </c>
      <c r="E868">
        <f>'Audit Report'!C868</f>
        <v>0</v>
      </c>
      <c r="I868">
        <f>'Audit Report'!D868</f>
        <v>0</v>
      </c>
      <c r="J868">
        <f>'Audit Report'!H868</f>
        <v>0</v>
      </c>
      <c r="L868" t="str">
        <f>_xlfn.TEXTJOIN(", ", FALSE, 'Audit Report'!K868,'Audit Report'!L868,'Audit Report'!M868)</f>
        <v xml:space="preserve">, , </v>
      </c>
      <c r="M868">
        <f>'Audit Report'!O868</f>
        <v>0</v>
      </c>
      <c r="N868" t="str" cm="1">
        <f t="array" ref="N868">IF(M868="","",
_xlfn.TEXTJOIN(", ",TRUE,
    _xlfn.MAP(_xlfn.TEXTSPLIT(M868,","),_xlfn.LAMBDA(_xlpm.x,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8">
        <f>'Audit Report'!F868</f>
        <v>0</v>
      </c>
      <c r="S868">
        <f>'Audit Report'!Q868</f>
        <v>0</v>
      </c>
    </row>
    <row r="869" spans="4:19">
      <c r="D869">
        <f>'Audit Report'!B869</f>
        <v>0</v>
      </c>
      <c r="E869">
        <f>'Audit Report'!C869</f>
        <v>0</v>
      </c>
      <c r="I869">
        <f>'Audit Report'!D869</f>
        <v>0</v>
      </c>
      <c r="J869">
        <f>'Audit Report'!H869</f>
        <v>0</v>
      </c>
      <c r="L869" t="str">
        <f>_xlfn.TEXTJOIN(", ", FALSE, 'Audit Report'!K869,'Audit Report'!L869,'Audit Report'!M869)</f>
        <v xml:space="preserve">, , </v>
      </c>
      <c r="M869">
        <f>'Audit Report'!O869</f>
        <v>0</v>
      </c>
      <c r="N869" t="str" cm="1">
        <f t="array" ref="N869">IF(M869="","",
_xlfn.TEXTJOIN(", ",TRUE,
    _xlfn.MAP(_xlfn.TEXTSPLIT(M869,","),_xlfn.LAMBDA(_xlpm.x,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9">
        <f>'Audit Report'!F869</f>
        <v>0</v>
      </c>
      <c r="S869">
        <f>'Audit Report'!Q869</f>
        <v>0</v>
      </c>
    </row>
    <row r="870" spans="4:19">
      <c r="D870">
        <f>'Audit Report'!B870</f>
        <v>0</v>
      </c>
      <c r="E870">
        <f>'Audit Report'!C870</f>
        <v>0</v>
      </c>
      <c r="I870">
        <f>'Audit Report'!D870</f>
        <v>0</v>
      </c>
      <c r="J870">
        <f>'Audit Report'!H870</f>
        <v>0</v>
      </c>
      <c r="L870" t="str">
        <f>_xlfn.TEXTJOIN(", ", FALSE, 'Audit Report'!K870,'Audit Report'!L870,'Audit Report'!M870)</f>
        <v xml:space="preserve">, , </v>
      </c>
      <c r="M870">
        <f>'Audit Report'!O870</f>
        <v>0</v>
      </c>
      <c r="N870" t="str" cm="1">
        <f t="array" ref="N870">IF(M870="","",
_xlfn.TEXTJOIN(", ",TRUE,
    _xlfn.MAP(_xlfn.TEXTSPLIT(M870,","),_xlfn.LAMBDA(_xlpm.x,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0">
        <f>'Audit Report'!F870</f>
        <v>0</v>
      </c>
      <c r="S870">
        <f>'Audit Report'!Q870</f>
        <v>0</v>
      </c>
    </row>
    <row r="871" spans="4:19">
      <c r="D871">
        <f>'Audit Report'!B871</f>
        <v>0</v>
      </c>
      <c r="E871">
        <f>'Audit Report'!C871</f>
        <v>0</v>
      </c>
      <c r="I871">
        <f>'Audit Report'!D871</f>
        <v>0</v>
      </c>
      <c r="J871">
        <f>'Audit Report'!H871</f>
        <v>0</v>
      </c>
      <c r="L871" t="str">
        <f>_xlfn.TEXTJOIN(", ", FALSE, 'Audit Report'!K871,'Audit Report'!L871,'Audit Report'!M871)</f>
        <v xml:space="preserve">, , </v>
      </c>
      <c r="M871">
        <f>'Audit Report'!O871</f>
        <v>0</v>
      </c>
      <c r="N871" t="str" cm="1">
        <f t="array" ref="N871">IF(M871="","",
_xlfn.TEXTJOIN(", ",TRUE,
    _xlfn.MAP(_xlfn.TEXTSPLIT(M871,","),_xlfn.LAMBDA(_xlpm.x,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1">
        <f>'Audit Report'!F871</f>
        <v>0</v>
      </c>
      <c r="S871">
        <f>'Audit Report'!Q871</f>
        <v>0</v>
      </c>
    </row>
    <row r="872" spans="4:19">
      <c r="D872">
        <f>'Audit Report'!B872</f>
        <v>0</v>
      </c>
      <c r="E872">
        <f>'Audit Report'!C872</f>
        <v>0</v>
      </c>
      <c r="I872">
        <f>'Audit Report'!D872</f>
        <v>0</v>
      </c>
      <c r="J872">
        <f>'Audit Report'!H872</f>
        <v>0</v>
      </c>
      <c r="L872" t="str">
        <f>_xlfn.TEXTJOIN(", ", FALSE, 'Audit Report'!K872,'Audit Report'!L872,'Audit Report'!M872)</f>
        <v xml:space="preserve">, , </v>
      </c>
      <c r="M872">
        <f>'Audit Report'!O872</f>
        <v>0</v>
      </c>
      <c r="N872" t="str" cm="1">
        <f t="array" ref="N872">IF(M872="","",
_xlfn.TEXTJOIN(", ",TRUE,
    _xlfn.MAP(_xlfn.TEXTSPLIT(M872,","),_xlfn.LAMBDA(_xlpm.x,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2">
        <f>'Audit Report'!F872</f>
        <v>0</v>
      </c>
      <c r="S872">
        <f>'Audit Report'!Q872</f>
        <v>0</v>
      </c>
    </row>
    <row r="873" spans="4:19">
      <c r="D873">
        <f>'Audit Report'!B873</f>
        <v>0</v>
      </c>
      <c r="E873">
        <f>'Audit Report'!C873</f>
        <v>0</v>
      </c>
      <c r="I873">
        <f>'Audit Report'!D873</f>
        <v>0</v>
      </c>
      <c r="J873">
        <f>'Audit Report'!H873</f>
        <v>0</v>
      </c>
      <c r="L873" t="str">
        <f>_xlfn.TEXTJOIN(", ", FALSE, 'Audit Report'!K873,'Audit Report'!L873,'Audit Report'!M873)</f>
        <v xml:space="preserve">, , </v>
      </c>
      <c r="M873">
        <f>'Audit Report'!O873</f>
        <v>0</v>
      </c>
      <c r="N873" t="str" cm="1">
        <f t="array" ref="N873">IF(M873="","",
_xlfn.TEXTJOIN(", ",TRUE,
    _xlfn.MAP(_xlfn.TEXTSPLIT(M873,","),_xlfn.LAMBDA(_xlpm.x,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3">
        <f>'Audit Report'!F873</f>
        <v>0</v>
      </c>
      <c r="S873">
        <f>'Audit Report'!Q873</f>
        <v>0</v>
      </c>
    </row>
    <row r="874" spans="4:19">
      <c r="D874">
        <f>'Audit Report'!B874</f>
        <v>0</v>
      </c>
      <c r="E874">
        <f>'Audit Report'!C874</f>
        <v>0</v>
      </c>
      <c r="I874">
        <f>'Audit Report'!D874</f>
        <v>0</v>
      </c>
      <c r="J874">
        <f>'Audit Report'!H874</f>
        <v>0</v>
      </c>
      <c r="L874" t="str">
        <f>_xlfn.TEXTJOIN(", ", FALSE, 'Audit Report'!K874,'Audit Report'!L874,'Audit Report'!M874)</f>
        <v xml:space="preserve">, , </v>
      </c>
      <c r="M874">
        <f>'Audit Report'!O874</f>
        <v>0</v>
      </c>
      <c r="N874" t="str" cm="1">
        <f t="array" ref="N874">IF(M874="","",
_xlfn.TEXTJOIN(", ",TRUE,
    _xlfn.MAP(_xlfn.TEXTSPLIT(M874,","),_xlfn.LAMBDA(_xlpm.x,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4">
        <f>'Audit Report'!F874</f>
        <v>0</v>
      </c>
      <c r="S874">
        <f>'Audit Report'!Q874</f>
        <v>0</v>
      </c>
    </row>
    <row r="875" spans="4:19">
      <c r="D875">
        <f>'Audit Report'!B875</f>
        <v>0</v>
      </c>
      <c r="E875">
        <f>'Audit Report'!C875</f>
        <v>0</v>
      </c>
      <c r="I875">
        <f>'Audit Report'!D875</f>
        <v>0</v>
      </c>
      <c r="J875">
        <f>'Audit Report'!H875</f>
        <v>0</v>
      </c>
      <c r="L875" t="str">
        <f>_xlfn.TEXTJOIN(", ", FALSE, 'Audit Report'!K875,'Audit Report'!L875,'Audit Report'!M875)</f>
        <v xml:space="preserve">, , </v>
      </c>
      <c r="M875">
        <f>'Audit Report'!O875</f>
        <v>0</v>
      </c>
      <c r="N875" t="str" cm="1">
        <f t="array" ref="N875">IF(M875="","",
_xlfn.TEXTJOIN(", ",TRUE,
    _xlfn.MAP(_xlfn.TEXTSPLIT(M875,","),_xlfn.LAMBDA(_xlpm.x,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5">
        <f>'Audit Report'!F875</f>
        <v>0</v>
      </c>
      <c r="S875">
        <f>'Audit Report'!Q875</f>
        <v>0</v>
      </c>
    </row>
    <row r="876" spans="4:19">
      <c r="D876">
        <f>'Audit Report'!B876</f>
        <v>0</v>
      </c>
      <c r="E876">
        <f>'Audit Report'!C876</f>
        <v>0</v>
      </c>
      <c r="I876">
        <f>'Audit Report'!D876</f>
        <v>0</v>
      </c>
      <c r="J876">
        <f>'Audit Report'!H876</f>
        <v>0</v>
      </c>
      <c r="L876" t="str">
        <f>_xlfn.TEXTJOIN(", ", FALSE, 'Audit Report'!K876,'Audit Report'!L876,'Audit Report'!M876)</f>
        <v xml:space="preserve">, , </v>
      </c>
      <c r="M876">
        <f>'Audit Report'!O876</f>
        <v>0</v>
      </c>
      <c r="N876" t="str" cm="1">
        <f t="array" ref="N876">IF(M876="","",
_xlfn.TEXTJOIN(", ",TRUE,
    _xlfn.MAP(_xlfn.TEXTSPLIT(M876,","),_xlfn.LAMBDA(_xlpm.x,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6">
        <f>'Audit Report'!F876</f>
        <v>0</v>
      </c>
      <c r="S876">
        <f>'Audit Report'!Q876</f>
        <v>0</v>
      </c>
    </row>
    <row r="877" spans="4:19">
      <c r="D877">
        <f>'Audit Report'!B877</f>
        <v>0</v>
      </c>
      <c r="E877">
        <f>'Audit Report'!C877</f>
        <v>0</v>
      </c>
      <c r="I877">
        <f>'Audit Report'!D877</f>
        <v>0</v>
      </c>
      <c r="J877">
        <f>'Audit Report'!H877</f>
        <v>0</v>
      </c>
      <c r="L877" t="str">
        <f>_xlfn.TEXTJOIN(", ", FALSE, 'Audit Report'!K877,'Audit Report'!L877,'Audit Report'!M877)</f>
        <v xml:space="preserve">, , </v>
      </c>
      <c r="M877">
        <f>'Audit Report'!O877</f>
        <v>0</v>
      </c>
      <c r="N877" t="str" cm="1">
        <f t="array" ref="N877">IF(M877="","",
_xlfn.TEXTJOIN(", ",TRUE,
    _xlfn.MAP(_xlfn.TEXTSPLIT(M877,","),_xlfn.LAMBDA(_xlpm.x,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7">
        <f>'Audit Report'!F877</f>
        <v>0</v>
      </c>
      <c r="S877">
        <f>'Audit Report'!Q877</f>
        <v>0</v>
      </c>
    </row>
    <row r="878" spans="4:19">
      <c r="D878">
        <f>'Audit Report'!B878</f>
        <v>0</v>
      </c>
      <c r="E878">
        <f>'Audit Report'!C878</f>
        <v>0</v>
      </c>
      <c r="I878">
        <f>'Audit Report'!D878</f>
        <v>0</v>
      </c>
      <c r="J878">
        <f>'Audit Report'!H878</f>
        <v>0</v>
      </c>
      <c r="L878" t="str">
        <f>_xlfn.TEXTJOIN(", ", FALSE, 'Audit Report'!K878,'Audit Report'!L878,'Audit Report'!M878)</f>
        <v xml:space="preserve">, , </v>
      </c>
      <c r="M878">
        <f>'Audit Report'!O878</f>
        <v>0</v>
      </c>
      <c r="N878" t="str" cm="1">
        <f t="array" ref="N878">IF(M878="","",
_xlfn.TEXTJOIN(", ",TRUE,
    _xlfn.MAP(_xlfn.TEXTSPLIT(M878,","),_xlfn.LAMBDA(_xlpm.x,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8">
        <f>'Audit Report'!F878</f>
        <v>0</v>
      </c>
      <c r="S878">
        <f>'Audit Report'!Q878</f>
        <v>0</v>
      </c>
    </row>
    <row r="879" spans="4:19">
      <c r="D879">
        <f>'Audit Report'!B879</f>
        <v>0</v>
      </c>
      <c r="E879">
        <f>'Audit Report'!C879</f>
        <v>0</v>
      </c>
      <c r="I879">
        <f>'Audit Report'!D879</f>
        <v>0</v>
      </c>
      <c r="J879">
        <f>'Audit Report'!H879</f>
        <v>0</v>
      </c>
      <c r="L879" t="str">
        <f>_xlfn.TEXTJOIN(", ", FALSE, 'Audit Report'!K879,'Audit Report'!L879,'Audit Report'!M879)</f>
        <v xml:space="preserve">, , </v>
      </c>
      <c r="M879">
        <f>'Audit Report'!O879</f>
        <v>0</v>
      </c>
      <c r="N879" t="str" cm="1">
        <f t="array" ref="N879">IF(M879="","",
_xlfn.TEXTJOIN(", ",TRUE,
    _xlfn.MAP(_xlfn.TEXTSPLIT(M879,","),_xlfn.LAMBDA(_xlpm.x,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9">
        <f>'Audit Report'!F879</f>
        <v>0</v>
      </c>
      <c r="S879">
        <f>'Audit Report'!Q879</f>
        <v>0</v>
      </c>
    </row>
    <row r="880" spans="4:19">
      <c r="D880">
        <f>'Audit Report'!B880</f>
        <v>0</v>
      </c>
      <c r="E880">
        <f>'Audit Report'!C880</f>
        <v>0</v>
      </c>
      <c r="I880">
        <f>'Audit Report'!D880</f>
        <v>0</v>
      </c>
      <c r="J880">
        <f>'Audit Report'!H880</f>
        <v>0</v>
      </c>
      <c r="L880" t="str">
        <f>_xlfn.TEXTJOIN(", ", FALSE, 'Audit Report'!K880,'Audit Report'!L880,'Audit Report'!M880)</f>
        <v xml:space="preserve">, , </v>
      </c>
      <c r="M880">
        <f>'Audit Report'!O880</f>
        <v>0</v>
      </c>
      <c r="N880" t="str" cm="1">
        <f t="array" ref="N880">IF(M880="","",
_xlfn.TEXTJOIN(", ",TRUE,
    _xlfn.MAP(_xlfn.TEXTSPLIT(M880,","),_xlfn.LAMBDA(_xlpm.x,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0">
        <f>'Audit Report'!F880</f>
        <v>0</v>
      </c>
      <c r="S880">
        <f>'Audit Report'!Q880</f>
        <v>0</v>
      </c>
    </row>
    <row r="881" spans="4:19">
      <c r="D881">
        <f>'Audit Report'!B881</f>
        <v>0</v>
      </c>
      <c r="E881">
        <f>'Audit Report'!C881</f>
        <v>0</v>
      </c>
      <c r="I881">
        <f>'Audit Report'!D881</f>
        <v>0</v>
      </c>
      <c r="J881">
        <f>'Audit Report'!H881</f>
        <v>0</v>
      </c>
      <c r="L881" t="str">
        <f>_xlfn.TEXTJOIN(", ", FALSE, 'Audit Report'!K881,'Audit Report'!L881,'Audit Report'!M881)</f>
        <v xml:space="preserve">, , </v>
      </c>
      <c r="M881">
        <f>'Audit Report'!O881</f>
        <v>0</v>
      </c>
      <c r="N881" t="str" cm="1">
        <f t="array" ref="N881">IF(M881="","",
_xlfn.TEXTJOIN(", ",TRUE,
    _xlfn.MAP(_xlfn.TEXTSPLIT(M881,","),_xlfn.LAMBDA(_xlpm.x,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1">
        <f>'Audit Report'!F881</f>
        <v>0</v>
      </c>
      <c r="S881">
        <f>'Audit Report'!Q881</f>
        <v>0</v>
      </c>
    </row>
    <row r="882" spans="4:19">
      <c r="D882">
        <f>'Audit Report'!B882</f>
        <v>0</v>
      </c>
      <c r="E882">
        <f>'Audit Report'!C882</f>
        <v>0</v>
      </c>
      <c r="I882">
        <f>'Audit Report'!D882</f>
        <v>0</v>
      </c>
      <c r="J882">
        <f>'Audit Report'!H882</f>
        <v>0</v>
      </c>
      <c r="L882" t="str">
        <f>_xlfn.TEXTJOIN(", ", FALSE, 'Audit Report'!K882,'Audit Report'!L882,'Audit Report'!M882)</f>
        <v xml:space="preserve">, , </v>
      </c>
      <c r="M882">
        <f>'Audit Report'!O882</f>
        <v>0</v>
      </c>
      <c r="N882" t="str" cm="1">
        <f t="array" ref="N882">IF(M882="","",
_xlfn.TEXTJOIN(", ",TRUE,
    _xlfn.MAP(_xlfn.TEXTSPLIT(M882,","),_xlfn.LAMBDA(_xlpm.x,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2">
        <f>'Audit Report'!F882</f>
        <v>0</v>
      </c>
      <c r="S882">
        <f>'Audit Report'!Q882</f>
        <v>0</v>
      </c>
    </row>
    <row r="883" spans="4:19">
      <c r="D883">
        <f>'Audit Report'!B883</f>
        <v>0</v>
      </c>
      <c r="E883">
        <f>'Audit Report'!C883</f>
        <v>0</v>
      </c>
      <c r="I883">
        <f>'Audit Report'!D883</f>
        <v>0</v>
      </c>
      <c r="J883">
        <f>'Audit Report'!H883</f>
        <v>0</v>
      </c>
      <c r="L883" t="str">
        <f>_xlfn.TEXTJOIN(", ", FALSE, 'Audit Report'!K883,'Audit Report'!L883,'Audit Report'!M883)</f>
        <v xml:space="preserve">, , </v>
      </c>
      <c r="M883">
        <f>'Audit Report'!O883</f>
        <v>0</v>
      </c>
      <c r="N883" t="str" cm="1">
        <f t="array" ref="N883">IF(M883="","",
_xlfn.TEXTJOIN(", ",TRUE,
    _xlfn.MAP(_xlfn.TEXTSPLIT(M883,","),_xlfn.LAMBDA(_xlpm.x,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3">
        <f>'Audit Report'!F883</f>
        <v>0</v>
      </c>
      <c r="S883">
        <f>'Audit Report'!Q883</f>
        <v>0</v>
      </c>
    </row>
    <row r="884" spans="4:19">
      <c r="D884">
        <f>'Audit Report'!B884</f>
        <v>0</v>
      </c>
      <c r="E884">
        <f>'Audit Report'!C884</f>
        <v>0</v>
      </c>
      <c r="I884">
        <f>'Audit Report'!D884</f>
        <v>0</v>
      </c>
      <c r="J884">
        <f>'Audit Report'!H884</f>
        <v>0</v>
      </c>
      <c r="L884" t="str">
        <f>_xlfn.TEXTJOIN(", ", FALSE, 'Audit Report'!K884,'Audit Report'!L884,'Audit Report'!M884)</f>
        <v xml:space="preserve">, , </v>
      </c>
      <c r="M884">
        <f>'Audit Report'!O884</f>
        <v>0</v>
      </c>
      <c r="N884" t="str" cm="1">
        <f t="array" ref="N884">IF(M884="","",
_xlfn.TEXTJOIN(", ",TRUE,
    _xlfn.MAP(_xlfn.TEXTSPLIT(M884,","),_xlfn.LAMBDA(_xlpm.x,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4">
        <f>'Audit Report'!F884</f>
        <v>0</v>
      </c>
      <c r="S884">
        <f>'Audit Report'!Q884</f>
        <v>0</v>
      </c>
    </row>
    <row r="885" spans="4:19">
      <c r="D885">
        <f>'Audit Report'!B885</f>
        <v>0</v>
      </c>
      <c r="E885">
        <f>'Audit Report'!C885</f>
        <v>0</v>
      </c>
      <c r="I885">
        <f>'Audit Report'!D885</f>
        <v>0</v>
      </c>
      <c r="J885">
        <f>'Audit Report'!H885</f>
        <v>0</v>
      </c>
      <c r="L885" t="str">
        <f>_xlfn.TEXTJOIN(", ", FALSE, 'Audit Report'!K885,'Audit Report'!L885,'Audit Report'!M885)</f>
        <v xml:space="preserve">, , </v>
      </c>
      <c r="M885">
        <f>'Audit Report'!O885</f>
        <v>0</v>
      </c>
      <c r="N885" t="str" cm="1">
        <f t="array" ref="N885">IF(M885="","",
_xlfn.TEXTJOIN(", ",TRUE,
    _xlfn.MAP(_xlfn.TEXTSPLIT(M885,","),_xlfn.LAMBDA(_xlpm.x,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5">
        <f>'Audit Report'!F885</f>
        <v>0</v>
      </c>
      <c r="S885">
        <f>'Audit Report'!Q885</f>
        <v>0</v>
      </c>
    </row>
    <row r="886" spans="4:19">
      <c r="D886">
        <f>'Audit Report'!B886</f>
        <v>0</v>
      </c>
      <c r="E886">
        <f>'Audit Report'!C886</f>
        <v>0</v>
      </c>
      <c r="I886">
        <f>'Audit Report'!D886</f>
        <v>0</v>
      </c>
      <c r="J886">
        <f>'Audit Report'!H886</f>
        <v>0</v>
      </c>
      <c r="L886" t="str">
        <f>_xlfn.TEXTJOIN(", ", FALSE, 'Audit Report'!K886,'Audit Report'!L886,'Audit Report'!M886)</f>
        <v xml:space="preserve">, , </v>
      </c>
      <c r="M886">
        <f>'Audit Report'!O886</f>
        <v>0</v>
      </c>
      <c r="N886" t="str" cm="1">
        <f t="array" ref="N886">IF(M886="","",
_xlfn.TEXTJOIN(", ",TRUE,
    _xlfn.MAP(_xlfn.TEXTSPLIT(M886,","),_xlfn.LAMBDA(_xlpm.x,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6">
        <f>'Audit Report'!F886</f>
        <v>0</v>
      </c>
      <c r="S886">
        <f>'Audit Report'!Q886</f>
        <v>0</v>
      </c>
    </row>
    <row r="887" spans="4:19">
      <c r="D887">
        <f>'Audit Report'!B887</f>
        <v>0</v>
      </c>
      <c r="E887">
        <f>'Audit Report'!C887</f>
        <v>0</v>
      </c>
      <c r="I887">
        <f>'Audit Report'!D887</f>
        <v>0</v>
      </c>
      <c r="J887">
        <f>'Audit Report'!H887</f>
        <v>0</v>
      </c>
      <c r="L887" t="str">
        <f>_xlfn.TEXTJOIN(", ", FALSE, 'Audit Report'!K887,'Audit Report'!L887,'Audit Report'!M887)</f>
        <v xml:space="preserve">, , </v>
      </c>
      <c r="M887">
        <f>'Audit Report'!O887</f>
        <v>0</v>
      </c>
      <c r="N887" t="str" cm="1">
        <f t="array" ref="N887">IF(M887="","",
_xlfn.TEXTJOIN(", ",TRUE,
    _xlfn.MAP(_xlfn.TEXTSPLIT(M887,","),_xlfn.LAMBDA(_xlpm.x,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7">
        <f>'Audit Report'!F887</f>
        <v>0</v>
      </c>
      <c r="S887">
        <f>'Audit Report'!Q887</f>
        <v>0</v>
      </c>
    </row>
    <row r="888" spans="4:19">
      <c r="D888">
        <f>'Audit Report'!B888</f>
        <v>0</v>
      </c>
      <c r="E888">
        <f>'Audit Report'!C888</f>
        <v>0</v>
      </c>
      <c r="I888">
        <f>'Audit Report'!D888</f>
        <v>0</v>
      </c>
      <c r="J888">
        <f>'Audit Report'!H888</f>
        <v>0</v>
      </c>
      <c r="L888" t="str">
        <f>_xlfn.TEXTJOIN(", ", FALSE, 'Audit Report'!K888,'Audit Report'!L888,'Audit Report'!M888)</f>
        <v xml:space="preserve">, , </v>
      </c>
      <c r="M888">
        <f>'Audit Report'!O888</f>
        <v>0</v>
      </c>
      <c r="N888" t="str" cm="1">
        <f t="array" ref="N888">IF(M888="","",
_xlfn.TEXTJOIN(", ",TRUE,
    _xlfn.MAP(_xlfn.TEXTSPLIT(M888,","),_xlfn.LAMBDA(_xlpm.x,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8">
        <f>'Audit Report'!F888</f>
        <v>0</v>
      </c>
      <c r="S888">
        <f>'Audit Report'!Q888</f>
        <v>0</v>
      </c>
    </row>
    <row r="889" spans="4:19">
      <c r="D889">
        <f>'Audit Report'!B889</f>
        <v>0</v>
      </c>
      <c r="E889">
        <f>'Audit Report'!C889</f>
        <v>0</v>
      </c>
      <c r="I889">
        <f>'Audit Report'!D889</f>
        <v>0</v>
      </c>
      <c r="J889">
        <f>'Audit Report'!H889</f>
        <v>0</v>
      </c>
      <c r="L889" t="str">
        <f>_xlfn.TEXTJOIN(", ", FALSE, 'Audit Report'!K889,'Audit Report'!L889,'Audit Report'!M889)</f>
        <v xml:space="preserve">, , </v>
      </c>
      <c r="M889">
        <f>'Audit Report'!O889</f>
        <v>0</v>
      </c>
      <c r="N889" t="str" cm="1">
        <f t="array" ref="N889">IF(M889="","",
_xlfn.TEXTJOIN(", ",TRUE,
    _xlfn.MAP(_xlfn.TEXTSPLIT(M889,","),_xlfn.LAMBDA(_xlpm.x,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9">
        <f>'Audit Report'!F889</f>
        <v>0</v>
      </c>
      <c r="S889">
        <f>'Audit Report'!Q889</f>
        <v>0</v>
      </c>
    </row>
    <row r="890" spans="4:19">
      <c r="D890">
        <f>'Audit Report'!B890</f>
        <v>0</v>
      </c>
      <c r="E890">
        <f>'Audit Report'!C890</f>
        <v>0</v>
      </c>
      <c r="I890">
        <f>'Audit Report'!D890</f>
        <v>0</v>
      </c>
      <c r="J890">
        <f>'Audit Report'!H890</f>
        <v>0</v>
      </c>
      <c r="L890" t="str">
        <f>_xlfn.TEXTJOIN(", ", FALSE, 'Audit Report'!K890,'Audit Report'!L890,'Audit Report'!M890)</f>
        <v xml:space="preserve">, , </v>
      </c>
      <c r="M890">
        <f>'Audit Report'!O890</f>
        <v>0</v>
      </c>
      <c r="N890" t="str" cm="1">
        <f t="array" ref="N890">IF(M890="","",
_xlfn.TEXTJOIN(", ",TRUE,
    _xlfn.MAP(_xlfn.TEXTSPLIT(M890,","),_xlfn.LAMBDA(_xlpm.x,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0">
        <f>'Audit Report'!F890</f>
        <v>0</v>
      </c>
      <c r="S890">
        <f>'Audit Report'!Q890</f>
        <v>0</v>
      </c>
    </row>
    <row r="891" spans="4:19">
      <c r="D891">
        <f>'Audit Report'!B891</f>
        <v>0</v>
      </c>
      <c r="E891">
        <f>'Audit Report'!C891</f>
        <v>0</v>
      </c>
      <c r="I891">
        <f>'Audit Report'!D891</f>
        <v>0</v>
      </c>
      <c r="J891">
        <f>'Audit Report'!H891</f>
        <v>0</v>
      </c>
      <c r="L891" t="str">
        <f>_xlfn.TEXTJOIN(", ", FALSE, 'Audit Report'!K891,'Audit Report'!L891,'Audit Report'!M891)</f>
        <v xml:space="preserve">, , </v>
      </c>
      <c r="M891">
        <f>'Audit Report'!O891</f>
        <v>0</v>
      </c>
      <c r="N891" t="str" cm="1">
        <f t="array" ref="N891">IF(M891="","",
_xlfn.TEXTJOIN(", ",TRUE,
    _xlfn.MAP(_xlfn.TEXTSPLIT(M891,","),_xlfn.LAMBDA(_xlpm.x,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1">
        <f>'Audit Report'!F891</f>
        <v>0</v>
      </c>
      <c r="S891">
        <f>'Audit Report'!Q891</f>
        <v>0</v>
      </c>
    </row>
    <row r="892" spans="4:19">
      <c r="D892">
        <f>'Audit Report'!B892</f>
        <v>0</v>
      </c>
      <c r="E892">
        <f>'Audit Report'!C892</f>
        <v>0</v>
      </c>
      <c r="I892">
        <f>'Audit Report'!D892</f>
        <v>0</v>
      </c>
      <c r="J892">
        <f>'Audit Report'!H892</f>
        <v>0</v>
      </c>
      <c r="L892" t="str">
        <f>_xlfn.TEXTJOIN(", ", FALSE, 'Audit Report'!K892,'Audit Report'!L892,'Audit Report'!M892)</f>
        <v xml:space="preserve">, , </v>
      </c>
      <c r="M892">
        <f>'Audit Report'!O892</f>
        <v>0</v>
      </c>
      <c r="N892" t="str" cm="1">
        <f t="array" ref="N892">IF(M892="","",
_xlfn.TEXTJOIN(", ",TRUE,
    _xlfn.MAP(_xlfn.TEXTSPLIT(M892,","),_xlfn.LAMBDA(_xlpm.x,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2">
        <f>'Audit Report'!F892</f>
        <v>0</v>
      </c>
      <c r="S892">
        <f>'Audit Report'!Q892</f>
        <v>0</v>
      </c>
    </row>
    <row r="893" spans="4:19">
      <c r="D893">
        <f>'Audit Report'!B893</f>
        <v>0</v>
      </c>
      <c r="E893">
        <f>'Audit Report'!C893</f>
        <v>0</v>
      </c>
      <c r="I893">
        <f>'Audit Report'!D893</f>
        <v>0</v>
      </c>
      <c r="J893">
        <f>'Audit Report'!H893</f>
        <v>0</v>
      </c>
      <c r="L893" t="str">
        <f>_xlfn.TEXTJOIN(", ", FALSE, 'Audit Report'!K893,'Audit Report'!L893,'Audit Report'!M893)</f>
        <v xml:space="preserve">, , </v>
      </c>
      <c r="M893">
        <f>'Audit Report'!O893</f>
        <v>0</v>
      </c>
      <c r="N893" t="str" cm="1">
        <f t="array" ref="N893">IF(M893="","",
_xlfn.TEXTJOIN(", ",TRUE,
    _xlfn.MAP(_xlfn.TEXTSPLIT(M893,","),_xlfn.LAMBDA(_xlpm.x,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3">
        <f>'Audit Report'!F893</f>
        <v>0</v>
      </c>
      <c r="S893">
        <f>'Audit Report'!Q893</f>
        <v>0</v>
      </c>
    </row>
    <row r="894" spans="4:19">
      <c r="D894">
        <f>'Audit Report'!B894</f>
        <v>0</v>
      </c>
      <c r="E894">
        <f>'Audit Report'!C894</f>
        <v>0</v>
      </c>
      <c r="I894">
        <f>'Audit Report'!D894</f>
        <v>0</v>
      </c>
      <c r="J894">
        <f>'Audit Report'!H894</f>
        <v>0</v>
      </c>
      <c r="L894" t="str">
        <f>_xlfn.TEXTJOIN(", ", FALSE, 'Audit Report'!K894,'Audit Report'!L894,'Audit Report'!M894)</f>
        <v xml:space="preserve">, , </v>
      </c>
      <c r="M894">
        <f>'Audit Report'!O894</f>
        <v>0</v>
      </c>
      <c r="N894" t="str" cm="1">
        <f t="array" ref="N894">IF(M894="","",
_xlfn.TEXTJOIN(", ",TRUE,
    _xlfn.MAP(_xlfn.TEXTSPLIT(M894,","),_xlfn.LAMBDA(_xlpm.x,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4">
        <f>'Audit Report'!F894</f>
        <v>0</v>
      </c>
      <c r="S894">
        <f>'Audit Report'!Q894</f>
        <v>0</v>
      </c>
    </row>
    <row r="895" spans="4:19">
      <c r="D895">
        <f>'Audit Report'!B895</f>
        <v>0</v>
      </c>
      <c r="E895">
        <f>'Audit Report'!C895</f>
        <v>0</v>
      </c>
      <c r="I895">
        <f>'Audit Report'!D895</f>
        <v>0</v>
      </c>
      <c r="J895">
        <f>'Audit Report'!H895</f>
        <v>0</v>
      </c>
      <c r="L895" t="str">
        <f>_xlfn.TEXTJOIN(", ", FALSE, 'Audit Report'!K895,'Audit Report'!L895,'Audit Report'!M895)</f>
        <v xml:space="preserve">, , </v>
      </c>
      <c r="M895">
        <f>'Audit Report'!O895</f>
        <v>0</v>
      </c>
      <c r="N895" t="str" cm="1">
        <f t="array" ref="N895">IF(M895="","",
_xlfn.TEXTJOIN(", ",TRUE,
    _xlfn.MAP(_xlfn.TEXTSPLIT(M895,","),_xlfn.LAMBDA(_xlpm.x,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5">
        <f>'Audit Report'!F895</f>
        <v>0</v>
      </c>
      <c r="S895">
        <f>'Audit Report'!Q895</f>
        <v>0</v>
      </c>
    </row>
    <row r="896" spans="4:19">
      <c r="D896">
        <f>'Audit Report'!B896</f>
        <v>0</v>
      </c>
      <c r="E896">
        <f>'Audit Report'!C896</f>
        <v>0</v>
      </c>
      <c r="I896">
        <f>'Audit Report'!D896</f>
        <v>0</v>
      </c>
      <c r="J896">
        <f>'Audit Report'!H896</f>
        <v>0</v>
      </c>
      <c r="L896" t="str">
        <f>_xlfn.TEXTJOIN(", ", FALSE, 'Audit Report'!K896,'Audit Report'!L896,'Audit Report'!M896)</f>
        <v xml:space="preserve">, , </v>
      </c>
      <c r="M896">
        <f>'Audit Report'!O896</f>
        <v>0</v>
      </c>
      <c r="N896" t="str" cm="1">
        <f t="array" ref="N896">IF(M896="","",
_xlfn.TEXTJOIN(", ",TRUE,
    _xlfn.MAP(_xlfn.TEXTSPLIT(M896,","),_xlfn.LAMBDA(_xlpm.x,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6">
        <f>'Audit Report'!F896</f>
        <v>0</v>
      </c>
      <c r="S896">
        <f>'Audit Report'!Q896</f>
        <v>0</v>
      </c>
    </row>
    <row r="897" spans="4:19">
      <c r="D897">
        <f>'Audit Report'!B897</f>
        <v>0</v>
      </c>
      <c r="E897">
        <f>'Audit Report'!C897</f>
        <v>0</v>
      </c>
      <c r="I897">
        <f>'Audit Report'!D897</f>
        <v>0</v>
      </c>
      <c r="J897">
        <f>'Audit Report'!H897</f>
        <v>0</v>
      </c>
      <c r="L897" t="str">
        <f>_xlfn.TEXTJOIN(", ", FALSE, 'Audit Report'!K897,'Audit Report'!L897,'Audit Report'!M897)</f>
        <v xml:space="preserve">, , </v>
      </c>
      <c r="M897">
        <f>'Audit Report'!O897</f>
        <v>0</v>
      </c>
      <c r="N897" t="str" cm="1">
        <f t="array" ref="N897">IF(M897="","",
_xlfn.TEXTJOIN(", ",TRUE,
    _xlfn.MAP(_xlfn.TEXTSPLIT(M897,","),_xlfn.LAMBDA(_xlpm.x,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7">
        <f>'Audit Report'!F897</f>
        <v>0</v>
      </c>
      <c r="S897">
        <f>'Audit Report'!Q897</f>
        <v>0</v>
      </c>
    </row>
    <row r="898" spans="4:19">
      <c r="D898">
        <f>'Audit Report'!B898</f>
        <v>0</v>
      </c>
      <c r="E898">
        <f>'Audit Report'!C898</f>
        <v>0</v>
      </c>
      <c r="I898">
        <f>'Audit Report'!D898</f>
        <v>0</v>
      </c>
      <c r="J898">
        <f>'Audit Report'!H898</f>
        <v>0</v>
      </c>
      <c r="L898" t="str">
        <f>_xlfn.TEXTJOIN(", ", FALSE, 'Audit Report'!K898,'Audit Report'!L898,'Audit Report'!M898)</f>
        <v xml:space="preserve">, , </v>
      </c>
      <c r="M898">
        <f>'Audit Report'!O898</f>
        <v>0</v>
      </c>
      <c r="N898" t="str" cm="1">
        <f t="array" ref="N898">IF(M898="","",
_xlfn.TEXTJOIN(", ",TRUE,
    _xlfn.MAP(_xlfn.TEXTSPLIT(M898,","),_xlfn.LAMBDA(_xlpm.x,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8">
        <f>'Audit Report'!F898</f>
        <v>0</v>
      </c>
      <c r="S898">
        <f>'Audit Report'!Q898</f>
        <v>0</v>
      </c>
    </row>
    <row r="899" spans="4:19">
      <c r="D899">
        <f>'Audit Report'!B899</f>
        <v>0</v>
      </c>
      <c r="E899">
        <f>'Audit Report'!C899</f>
        <v>0</v>
      </c>
      <c r="I899">
        <f>'Audit Report'!D899</f>
        <v>0</v>
      </c>
      <c r="J899">
        <f>'Audit Report'!H899</f>
        <v>0</v>
      </c>
      <c r="L899" t="str">
        <f>_xlfn.TEXTJOIN(", ", FALSE, 'Audit Report'!K899,'Audit Report'!L899,'Audit Report'!M899)</f>
        <v xml:space="preserve">, , </v>
      </c>
      <c r="M899">
        <f>'Audit Report'!O899</f>
        <v>0</v>
      </c>
      <c r="N899" t="str" cm="1">
        <f t="array" ref="N899">IF(M899="","",
_xlfn.TEXTJOIN(", ",TRUE,
    _xlfn.MAP(_xlfn.TEXTSPLIT(M899,","),_xlfn.LAMBDA(_xlpm.x,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9">
        <f>'Audit Report'!F899</f>
        <v>0</v>
      </c>
      <c r="S899">
        <f>'Audit Report'!Q899</f>
        <v>0</v>
      </c>
    </row>
    <row r="900" spans="4:19">
      <c r="D900">
        <f>'Audit Report'!B900</f>
        <v>0</v>
      </c>
      <c r="E900">
        <f>'Audit Report'!C900</f>
        <v>0</v>
      </c>
      <c r="I900">
        <f>'Audit Report'!D900</f>
        <v>0</v>
      </c>
      <c r="J900">
        <f>'Audit Report'!H900</f>
        <v>0</v>
      </c>
      <c r="L900" t="str">
        <f>_xlfn.TEXTJOIN(", ", FALSE, 'Audit Report'!K900,'Audit Report'!L900,'Audit Report'!M900)</f>
        <v xml:space="preserve">, , </v>
      </c>
      <c r="M900">
        <f>'Audit Report'!O900</f>
        <v>0</v>
      </c>
      <c r="N900" t="str" cm="1">
        <f t="array" ref="N900">IF(M900="","",
_xlfn.TEXTJOIN(", ",TRUE,
    _xlfn.MAP(_xlfn.TEXTSPLIT(M900,","),_xlfn.LAMBDA(_xlpm.x,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0">
        <f>'Audit Report'!F900</f>
        <v>0</v>
      </c>
      <c r="S900">
        <f>'Audit Report'!Q900</f>
        <v>0</v>
      </c>
    </row>
    <row r="901" spans="4:19">
      <c r="D901">
        <f>'Audit Report'!B901</f>
        <v>0</v>
      </c>
      <c r="E901">
        <f>'Audit Report'!C901</f>
        <v>0</v>
      </c>
      <c r="I901">
        <f>'Audit Report'!D901</f>
        <v>0</v>
      </c>
      <c r="J901">
        <f>'Audit Report'!H901</f>
        <v>0</v>
      </c>
      <c r="L901" t="str">
        <f>_xlfn.TEXTJOIN(", ", FALSE, 'Audit Report'!K901,'Audit Report'!L901,'Audit Report'!M901)</f>
        <v xml:space="preserve">, , </v>
      </c>
      <c r="M901">
        <f>'Audit Report'!O901</f>
        <v>0</v>
      </c>
      <c r="N901" t="str" cm="1">
        <f t="array" ref="N901">IF(M901="","",
_xlfn.TEXTJOIN(", ",TRUE,
    _xlfn.MAP(_xlfn.TEXTSPLIT(M901,","),_xlfn.LAMBDA(_xlpm.x,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1">
        <f>'Audit Report'!F901</f>
        <v>0</v>
      </c>
      <c r="S901">
        <f>'Audit Report'!Q901</f>
        <v>0</v>
      </c>
    </row>
    <row r="902" spans="4:19">
      <c r="D902">
        <f>'Audit Report'!B902</f>
        <v>0</v>
      </c>
      <c r="E902">
        <f>'Audit Report'!C902</f>
        <v>0</v>
      </c>
      <c r="I902">
        <f>'Audit Report'!D902</f>
        <v>0</v>
      </c>
      <c r="J902">
        <f>'Audit Report'!H902</f>
        <v>0</v>
      </c>
      <c r="L902" t="str">
        <f>_xlfn.TEXTJOIN(", ", FALSE, 'Audit Report'!K902,'Audit Report'!L902,'Audit Report'!M902)</f>
        <v xml:space="preserve">, , </v>
      </c>
      <c r="M902">
        <f>'Audit Report'!O902</f>
        <v>0</v>
      </c>
      <c r="N902" t="str" cm="1">
        <f t="array" ref="N902">IF(M902="","",
_xlfn.TEXTJOIN(", ",TRUE,
    _xlfn.MAP(_xlfn.TEXTSPLIT(M902,","),_xlfn.LAMBDA(_xlpm.x,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2">
        <f>'Audit Report'!F902</f>
        <v>0</v>
      </c>
      <c r="S902">
        <f>'Audit Report'!Q902</f>
        <v>0</v>
      </c>
    </row>
    <row r="903" spans="4:19">
      <c r="D903">
        <f>'Audit Report'!B903</f>
        <v>0</v>
      </c>
      <c r="E903">
        <f>'Audit Report'!C903</f>
        <v>0</v>
      </c>
      <c r="I903">
        <f>'Audit Report'!D903</f>
        <v>0</v>
      </c>
      <c r="J903">
        <f>'Audit Report'!H903</f>
        <v>0</v>
      </c>
      <c r="L903" t="str">
        <f>_xlfn.TEXTJOIN(", ", FALSE, 'Audit Report'!K903,'Audit Report'!L903,'Audit Report'!M903)</f>
        <v xml:space="preserve">, , </v>
      </c>
      <c r="M903">
        <f>'Audit Report'!O903</f>
        <v>0</v>
      </c>
      <c r="N903" t="str" cm="1">
        <f t="array" ref="N903">IF(M903="","",
_xlfn.TEXTJOIN(", ",TRUE,
    _xlfn.MAP(_xlfn.TEXTSPLIT(M903,","),_xlfn.LAMBDA(_xlpm.x,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3">
        <f>'Audit Report'!F903</f>
        <v>0</v>
      </c>
      <c r="S903">
        <f>'Audit Report'!Q903</f>
        <v>0</v>
      </c>
    </row>
    <row r="904" spans="4:19">
      <c r="D904">
        <f>'Audit Report'!B904</f>
        <v>0</v>
      </c>
      <c r="E904">
        <f>'Audit Report'!C904</f>
        <v>0</v>
      </c>
      <c r="I904">
        <f>'Audit Report'!D904</f>
        <v>0</v>
      </c>
      <c r="J904">
        <f>'Audit Report'!H904</f>
        <v>0</v>
      </c>
      <c r="L904" t="str">
        <f>_xlfn.TEXTJOIN(", ", FALSE, 'Audit Report'!K904,'Audit Report'!L904,'Audit Report'!M904)</f>
        <v xml:space="preserve">, , </v>
      </c>
      <c r="M904">
        <f>'Audit Report'!O904</f>
        <v>0</v>
      </c>
      <c r="N904" t="str" cm="1">
        <f t="array" ref="N904">IF(M904="","",
_xlfn.TEXTJOIN(", ",TRUE,
    _xlfn.MAP(_xlfn.TEXTSPLIT(M904,","),_xlfn.LAMBDA(_xlpm.x,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4">
        <f>'Audit Report'!F904</f>
        <v>0</v>
      </c>
      <c r="S904">
        <f>'Audit Report'!Q904</f>
        <v>0</v>
      </c>
    </row>
    <row r="905" spans="4:19">
      <c r="D905">
        <f>'Audit Report'!B905</f>
        <v>0</v>
      </c>
      <c r="E905">
        <f>'Audit Report'!C905</f>
        <v>0</v>
      </c>
      <c r="I905">
        <f>'Audit Report'!D905</f>
        <v>0</v>
      </c>
      <c r="J905">
        <f>'Audit Report'!H905</f>
        <v>0</v>
      </c>
      <c r="L905" t="str">
        <f>_xlfn.TEXTJOIN(", ", FALSE, 'Audit Report'!K905,'Audit Report'!L905,'Audit Report'!M905)</f>
        <v xml:space="preserve">, , </v>
      </c>
      <c r="M905">
        <f>'Audit Report'!O905</f>
        <v>0</v>
      </c>
      <c r="N905" t="str" cm="1">
        <f t="array" ref="N905">IF(M905="","",
_xlfn.TEXTJOIN(", ",TRUE,
    _xlfn.MAP(_xlfn.TEXTSPLIT(M905,","),_xlfn.LAMBDA(_xlpm.x,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5">
        <f>'Audit Report'!F905</f>
        <v>0</v>
      </c>
      <c r="S905">
        <f>'Audit Report'!Q905</f>
        <v>0</v>
      </c>
    </row>
    <row r="906" spans="4:19">
      <c r="D906">
        <f>'Audit Report'!B906</f>
        <v>0</v>
      </c>
      <c r="E906">
        <f>'Audit Report'!C906</f>
        <v>0</v>
      </c>
      <c r="I906">
        <f>'Audit Report'!D906</f>
        <v>0</v>
      </c>
      <c r="J906">
        <f>'Audit Report'!H906</f>
        <v>0</v>
      </c>
      <c r="L906" t="str">
        <f>_xlfn.TEXTJOIN(", ", FALSE, 'Audit Report'!K906,'Audit Report'!L906,'Audit Report'!M906)</f>
        <v xml:space="preserve">, , </v>
      </c>
      <c r="M906">
        <f>'Audit Report'!O906</f>
        <v>0</v>
      </c>
      <c r="N906" t="str" cm="1">
        <f t="array" ref="N906">IF(M906="","",
_xlfn.TEXTJOIN(", ",TRUE,
    _xlfn.MAP(_xlfn.TEXTSPLIT(M906,","),_xlfn.LAMBDA(_xlpm.x,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6">
        <f>'Audit Report'!F906</f>
        <v>0</v>
      </c>
      <c r="S906">
        <f>'Audit Report'!Q906</f>
        <v>0</v>
      </c>
    </row>
    <row r="907" spans="4:19">
      <c r="D907">
        <f>'Audit Report'!B907</f>
        <v>0</v>
      </c>
      <c r="E907">
        <f>'Audit Report'!C907</f>
        <v>0</v>
      </c>
      <c r="I907">
        <f>'Audit Report'!D907</f>
        <v>0</v>
      </c>
      <c r="J907">
        <f>'Audit Report'!H907</f>
        <v>0</v>
      </c>
      <c r="L907" t="str">
        <f>_xlfn.TEXTJOIN(", ", FALSE, 'Audit Report'!K907,'Audit Report'!L907,'Audit Report'!M907)</f>
        <v xml:space="preserve">, , </v>
      </c>
      <c r="M907">
        <f>'Audit Report'!O907</f>
        <v>0</v>
      </c>
      <c r="N907" t="str" cm="1">
        <f t="array" ref="N907">IF(M907="","",
_xlfn.TEXTJOIN(", ",TRUE,
    _xlfn.MAP(_xlfn.TEXTSPLIT(M907,","),_xlfn.LAMBDA(_xlpm.x,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7">
        <f>'Audit Report'!F907</f>
        <v>0</v>
      </c>
      <c r="S907">
        <f>'Audit Report'!Q907</f>
        <v>0</v>
      </c>
    </row>
    <row r="908" spans="4:19">
      <c r="D908">
        <f>'Audit Report'!B908</f>
        <v>0</v>
      </c>
      <c r="E908">
        <f>'Audit Report'!C908</f>
        <v>0</v>
      </c>
      <c r="I908">
        <f>'Audit Report'!D908</f>
        <v>0</v>
      </c>
      <c r="J908">
        <f>'Audit Report'!H908</f>
        <v>0</v>
      </c>
      <c r="L908" t="str">
        <f>_xlfn.TEXTJOIN(", ", FALSE, 'Audit Report'!K908,'Audit Report'!L908,'Audit Report'!M908)</f>
        <v xml:space="preserve">, , </v>
      </c>
      <c r="M908">
        <f>'Audit Report'!O908</f>
        <v>0</v>
      </c>
      <c r="N908" t="str" cm="1">
        <f t="array" ref="N908">IF(M908="","",
_xlfn.TEXTJOIN(", ",TRUE,
    _xlfn.MAP(_xlfn.TEXTSPLIT(M908,","),_xlfn.LAMBDA(_xlpm.x,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8">
        <f>'Audit Report'!F908</f>
        <v>0</v>
      </c>
      <c r="S908">
        <f>'Audit Report'!Q908</f>
        <v>0</v>
      </c>
    </row>
    <row r="909" spans="4:19">
      <c r="D909">
        <f>'Audit Report'!B909</f>
        <v>0</v>
      </c>
      <c r="E909">
        <f>'Audit Report'!C909</f>
        <v>0</v>
      </c>
      <c r="I909">
        <f>'Audit Report'!D909</f>
        <v>0</v>
      </c>
      <c r="J909">
        <f>'Audit Report'!H909</f>
        <v>0</v>
      </c>
      <c r="L909" t="str">
        <f>_xlfn.TEXTJOIN(", ", FALSE, 'Audit Report'!K909,'Audit Report'!L909,'Audit Report'!M909)</f>
        <v xml:space="preserve">, , </v>
      </c>
      <c r="M909">
        <f>'Audit Report'!O909</f>
        <v>0</v>
      </c>
      <c r="N909" t="str" cm="1">
        <f t="array" ref="N909">IF(M909="","",
_xlfn.TEXTJOIN(", ",TRUE,
    _xlfn.MAP(_xlfn.TEXTSPLIT(M909,","),_xlfn.LAMBDA(_xlpm.x,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9">
        <f>'Audit Report'!F909</f>
        <v>0</v>
      </c>
      <c r="S909">
        <f>'Audit Report'!Q909</f>
        <v>0</v>
      </c>
    </row>
    <row r="910" spans="4:19">
      <c r="D910">
        <f>'Audit Report'!B910</f>
        <v>0</v>
      </c>
      <c r="E910">
        <f>'Audit Report'!C910</f>
        <v>0</v>
      </c>
      <c r="I910">
        <f>'Audit Report'!D910</f>
        <v>0</v>
      </c>
      <c r="J910">
        <f>'Audit Report'!H910</f>
        <v>0</v>
      </c>
      <c r="L910" t="str">
        <f>_xlfn.TEXTJOIN(", ", FALSE, 'Audit Report'!K910,'Audit Report'!L910,'Audit Report'!M910)</f>
        <v xml:space="preserve">, , </v>
      </c>
      <c r="M910">
        <f>'Audit Report'!O910</f>
        <v>0</v>
      </c>
      <c r="N910" t="str" cm="1">
        <f t="array" ref="N910">IF(M910="","",
_xlfn.TEXTJOIN(", ",TRUE,
    _xlfn.MAP(_xlfn.TEXTSPLIT(M910,","),_xlfn.LAMBDA(_xlpm.x,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0">
        <f>'Audit Report'!F910</f>
        <v>0</v>
      </c>
      <c r="S910">
        <f>'Audit Report'!Q910</f>
        <v>0</v>
      </c>
    </row>
    <row r="911" spans="4:19">
      <c r="D911">
        <f>'Audit Report'!B911</f>
        <v>0</v>
      </c>
      <c r="E911">
        <f>'Audit Report'!C911</f>
        <v>0</v>
      </c>
      <c r="I911">
        <f>'Audit Report'!D911</f>
        <v>0</v>
      </c>
      <c r="J911">
        <f>'Audit Report'!H911</f>
        <v>0</v>
      </c>
      <c r="L911" t="str">
        <f>_xlfn.TEXTJOIN(", ", FALSE, 'Audit Report'!K911,'Audit Report'!L911,'Audit Report'!M911)</f>
        <v xml:space="preserve">, , </v>
      </c>
      <c r="M911">
        <f>'Audit Report'!O911</f>
        <v>0</v>
      </c>
      <c r="N911" t="str" cm="1">
        <f t="array" ref="N911">IF(M911="","",
_xlfn.TEXTJOIN(", ",TRUE,
    _xlfn.MAP(_xlfn.TEXTSPLIT(M911,","),_xlfn.LAMBDA(_xlpm.x,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1">
        <f>'Audit Report'!F911</f>
        <v>0</v>
      </c>
      <c r="S911">
        <f>'Audit Report'!Q911</f>
        <v>0</v>
      </c>
    </row>
    <row r="912" spans="4:19">
      <c r="D912">
        <f>'Audit Report'!B912</f>
        <v>0</v>
      </c>
      <c r="E912">
        <f>'Audit Report'!C912</f>
        <v>0</v>
      </c>
      <c r="I912">
        <f>'Audit Report'!D912</f>
        <v>0</v>
      </c>
      <c r="J912">
        <f>'Audit Report'!H912</f>
        <v>0</v>
      </c>
      <c r="L912" t="str">
        <f>_xlfn.TEXTJOIN(", ", FALSE, 'Audit Report'!K912,'Audit Report'!L912,'Audit Report'!M912)</f>
        <v xml:space="preserve">, , </v>
      </c>
      <c r="M912">
        <f>'Audit Report'!O912</f>
        <v>0</v>
      </c>
      <c r="N912" t="str" cm="1">
        <f t="array" ref="N912">IF(M912="","",
_xlfn.TEXTJOIN(", ",TRUE,
    _xlfn.MAP(_xlfn.TEXTSPLIT(M912,","),_xlfn.LAMBDA(_xlpm.x,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2">
        <f>'Audit Report'!F912</f>
        <v>0</v>
      </c>
      <c r="S912">
        <f>'Audit Report'!Q912</f>
        <v>0</v>
      </c>
    </row>
    <row r="913" spans="4:19">
      <c r="D913">
        <f>'Audit Report'!B913</f>
        <v>0</v>
      </c>
      <c r="E913">
        <f>'Audit Report'!C913</f>
        <v>0</v>
      </c>
      <c r="I913">
        <f>'Audit Report'!D913</f>
        <v>0</v>
      </c>
      <c r="J913">
        <f>'Audit Report'!H913</f>
        <v>0</v>
      </c>
      <c r="L913" t="str">
        <f>_xlfn.TEXTJOIN(", ", FALSE, 'Audit Report'!K913,'Audit Report'!L913,'Audit Report'!M913)</f>
        <v xml:space="preserve">, , </v>
      </c>
      <c r="M913">
        <f>'Audit Report'!O913</f>
        <v>0</v>
      </c>
      <c r="N913" t="str" cm="1">
        <f t="array" ref="N913">IF(M913="","",
_xlfn.TEXTJOIN(", ",TRUE,
    _xlfn.MAP(_xlfn.TEXTSPLIT(M913,","),_xlfn.LAMBDA(_xlpm.x,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3">
        <f>'Audit Report'!F913</f>
        <v>0</v>
      </c>
      <c r="S913">
        <f>'Audit Report'!Q913</f>
        <v>0</v>
      </c>
    </row>
    <row r="914" spans="4:19">
      <c r="D914">
        <f>'Audit Report'!B914</f>
        <v>0</v>
      </c>
      <c r="E914">
        <f>'Audit Report'!C914</f>
        <v>0</v>
      </c>
      <c r="I914">
        <f>'Audit Report'!D914</f>
        <v>0</v>
      </c>
      <c r="J914">
        <f>'Audit Report'!H914</f>
        <v>0</v>
      </c>
      <c r="L914" t="str">
        <f>_xlfn.TEXTJOIN(", ", FALSE, 'Audit Report'!K914,'Audit Report'!L914,'Audit Report'!M914)</f>
        <v xml:space="preserve">, , </v>
      </c>
      <c r="M914">
        <f>'Audit Report'!O914</f>
        <v>0</v>
      </c>
      <c r="N914" t="str" cm="1">
        <f t="array" ref="N914">IF(M914="","",
_xlfn.TEXTJOIN(", ",TRUE,
    _xlfn.MAP(_xlfn.TEXTSPLIT(M914,","),_xlfn.LAMBDA(_xlpm.x,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4">
        <f>'Audit Report'!F914</f>
        <v>0</v>
      </c>
      <c r="S914">
        <f>'Audit Report'!Q914</f>
        <v>0</v>
      </c>
    </row>
    <row r="915" spans="4:19">
      <c r="D915">
        <f>'Audit Report'!B915</f>
        <v>0</v>
      </c>
      <c r="E915">
        <f>'Audit Report'!C915</f>
        <v>0</v>
      </c>
      <c r="I915">
        <f>'Audit Report'!D915</f>
        <v>0</v>
      </c>
      <c r="J915">
        <f>'Audit Report'!H915</f>
        <v>0</v>
      </c>
      <c r="L915" t="str">
        <f>_xlfn.TEXTJOIN(", ", FALSE, 'Audit Report'!K915,'Audit Report'!L915,'Audit Report'!M915)</f>
        <v xml:space="preserve">, , </v>
      </c>
      <c r="M915">
        <f>'Audit Report'!O915</f>
        <v>0</v>
      </c>
      <c r="N915" t="str" cm="1">
        <f t="array" ref="N915">IF(M915="","",
_xlfn.TEXTJOIN(", ",TRUE,
    _xlfn.MAP(_xlfn.TEXTSPLIT(M915,","),_xlfn.LAMBDA(_xlpm.x,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5">
        <f>'Audit Report'!F915</f>
        <v>0</v>
      </c>
      <c r="S915">
        <f>'Audit Report'!Q915</f>
        <v>0</v>
      </c>
    </row>
    <row r="916" spans="4:19">
      <c r="D916">
        <f>'Audit Report'!B916</f>
        <v>0</v>
      </c>
      <c r="E916">
        <f>'Audit Report'!C916</f>
        <v>0</v>
      </c>
      <c r="I916">
        <f>'Audit Report'!D916</f>
        <v>0</v>
      </c>
      <c r="J916">
        <f>'Audit Report'!H916</f>
        <v>0</v>
      </c>
      <c r="L916" t="str">
        <f>_xlfn.TEXTJOIN(", ", FALSE, 'Audit Report'!K916,'Audit Report'!L916,'Audit Report'!M916)</f>
        <v xml:space="preserve">, , </v>
      </c>
      <c r="M916">
        <f>'Audit Report'!O916</f>
        <v>0</v>
      </c>
      <c r="N916" t="str" cm="1">
        <f t="array" ref="N916">IF(M916="","",
_xlfn.TEXTJOIN(", ",TRUE,
    _xlfn.MAP(_xlfn.TEXTSPLIT(M916,","),_xlfn.LAMBDA(_xlpm.x,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6">
        <f>'Audit Report'!F916</f>
        <v>0</v>
      </c>
      <c r="S916">
        <f>'Audit Report'!Q916</f>
        <v>0</v>
      </c>
    </row>
    <row r="917" spans="4:19">
      <c r="D917">
        <f>'Audit Report'!B917</f>
        <v>0</v>
      </c>
      <c r="E917">
        <f>'Audit Report'!C917</f>
        <v>0</v>
      </c>
      <c r="I917">
        <f>'Audit Report'!D917</f>
        <v>0</v>
      </c>
      <c r="J917">
        <f>'Audit Report'!H917</f>
        <v>0</v>
      </c>
      <c r="L917" t="str">
        <f>_xlfn.TEXTJOIN(", ", FALSE, 'Audit Report'!K917,'Audit Report'!L917,'Audit Report'!M917)</f>
        <v xml:space="preserve">, , </v>
      </c>
      <c r="M917">
        <f>'Audit Report'!O917</f>
        <v>0</v>
      </c>
      <c r="N917" t="str" cm="1">
        <f t="array" ref="N917">IF(M917="","",
_xlfn.TEXTJOIN(", ",TRUE,
    _xlfn.MAP(_xlfn.TEXTSPLIT(M917,","),_xlfn.LAMBDA(_xlpm.x,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7">
        <f>'Audit Report'!F917</f>
        <v>0</v>
      </c>
      <c r="S917">
        <f>'Audit Report'!Q917</f>
        <v>0</v>
      </c>
    </row>
    <row r="918" spans="4:19">
      <c r="D918">
        <f>'Audit Report'!B918</f>
        <v>0</v>
      </c>
      <c r="E918">
        <f>'Audit Report'!C918</f>
        <v>0</v>
      </c>
      <c r="I918">
        <f>'Audit Report'!D918</f>
        <v>0</v>
      </c>
      <c r="J918">
        <f>'Audit Report'!H918</f>
        <v>0</v>
      </c>
      <c r="L918" t="str">
        <f>_xlfn.TEXTJOIN(", ", FALSE, 'Audit Report'!K918,'Audit Report'!L918,'Audit Report'!M918)</f>
        <v xml:space="preserve">, , </v>
      </c>
      <c r="M918">
        <f>'Audit Report'!O918</f>
        <v>0</v>
      </c>
      <c r="N918" t="str" cm="1">
        <f t="array" ref="N918">IF(M918="","",
_xlfn.TEXTJOIN(", ",TRUE,
    _xlfn.MAP(_xlfn.TEXTSPLIT(M918,","),_xlfn.LAMBDA(_xlpm.x,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8">
        <f>'Audit Report'!F918</f>
        <v>0</v>
      </c>
      <c r="S918">
        <f>'Audit Report'!Q918</f>
        <v>0</v>
      </c>
    </row>
    <row r="919" spans="4:19">
      <c r="D919">
        <f>'Audit Report'!B919</f>
        <v>0</v>
      </c>
      <c r="E919">
        <f>'Audit Report'!C919</f>
        <v>0</v>
      </c>
      <c r="I919">
        <f>'Audit Report'!D919</f>
        <v>0</v>
      </c>
      <c r="J919">
        <f>'Audit Report'!H919</f>
        <v>0</v>
      </c>
      <c r="L919" t="str">
        <f>_xlfn.TEXTJOIN(", ", FALSE, 'Audit Report'!K919,'Audit Report'!L919,'Audit Report'!M919)</f>
        <v xml:space="preserve">, , </v>
      </c>
      <c r="M919">
        <f>'Audit Report'!O919</f>
        <v>0</v>
      </c>
      <c r="N919" t="str" cm="1">
        <f t="array" ref="N919">IF(M919="","",
_xlfn.TEXTJOIN(", ",TRUE,
    _xlfn.MAP(_xlfn.TEXTSPLIT(M919,","),_xlfn.LAMBDA(_xlpm.x,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9">
        <f>'Audit Report'!F919</f>
        <v>0</v>
      </c>
      <c r="S919">
        <f>'Audit Report'!Q919</f>
        <v>0</v>
      </c>
    </row>
    <row r="920" spans="4:19">
      <c r="D920">
        <f>'Audit Report'!B920</f>
        <v>0</v>
      </c>
      <c r="E920">
        <f>'Audit Report'!C920</f>
        <v>0</v>
      </c>
      <c r="I920">
        <f>'Audit Report'!D920</f>
        <v>0</v>
      </c>
      <c r="J920">
        <f>'Audit Report'!H920</f>
        <v>0</v>
      </c>
      <c r="L920" t="str">
        <f>_xlfn.TEXTJOIN(", ", FALSE, 'Audit Report'!K920,'Audit Report'!L920,'Audit Report'!M920)</f>
        <v xml:space="preserve">, , </v>
      </c>
      <c r="M920">
        <f>'Audit Report'!O920</f>
        <v>0</v>
      </c>
      <c r="N920" t="str" cm="1">
        <f t="array" ref="N920">IF(M920="","",
_xlfn.TEXTJOIN(", ",TRUE,
    _xlfn.MAP(_xlfn.TEXTSPLIT(M920,","),_xlfn.LAMBDA(_xlpm.x,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0">
        <f>'Audit Report'!F920</f>
        <v>0</v>
      </c>
      <c r="S920">
        <f>'Audit Report'!Q920</f>
        <v>0</v>
      </c>
    </row>
    <row r="921" spans="4:19">
      <c r="D921">
        <f>'Audit Report'!B921</f>
        <v>0</v>
      </c>
      <c r="E921">
        <f>'Audit Report'!C921</f>
        <v>0</v>
      </c>
      <c r="I921">
        <f>'Audit Report'!D921</f>
        <v>0</v>
      </c>
      <c r="J921">
        <f>'Audit Report'!H921</f>
        <v>0</v>
      </c>
      <c r="L921" t="str">
        <f>_xlfn.TEXTJOIN(", ", FALSE, 'Audit Report'!K921,'Audit Report'!L921,'Audit Report'!M921)</f>
        <v xml:space="preserve">, , </v>
      </c>
      <c r="M921">
        <f>'Audit Report'!O921</f>
        <v>0</v>
      </c>
      <c r="N921" t="str" cm="1">
        <f t="array" ref="N921">IF(M921="","",
_xlfn.TEXTJOIN(", ",TRUE,
    _xlfn.MAP(_xlfn.TEXTSPLIT(M921,","),_xlfn.LAMBDA(_xlpm.x,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1">
        <f>'Audit Report'!F921</f>
        <v>0</v>
      </c>
      <c r="S921">
        <f>'Audit Report'!Q921</f>
        <v>0</v>
      </c>
    </row>
    <row r="922" spans="4:19">
      <c r="D922">
        <f>'Audit Report'!B922</f>
        <v>0</v>
      </c>
      <c r="E922">
        <f>'Audit Report'!C922</f>
        <v>0</v>
      </c>
      <c r="I922">
        <f>'Audit Report'!D922</f>
        <v>0</v>
      </c>
      <c r="J922">
        <f>'Audit Report'!H922</f>
        <v>0</v>
      </c>
      <c r="L922" t="str">
        <f>_xlfn.TEXTJOIN(", ", FALSE, 'Audit Report'!K922,'Audit Report'!L922,'Audit Report'!M922)</f>
        <v xml:space="preserve">, , </v>
      </c>
      <c r="M922">
        <f>'Audit Report'!O922</f>
        <v>0</v>
      </c>
      <c r="N922" t="str" cm="1">
        <f t="array" ref="N922">IF(M922="","",
_xlfn.TEXTJOIN(", ",TRUE,
    _xlfn.MAP(_xlfn.TEXTSPLIT(M922,","),_xlfn.LAMBDA(_xlpm.x,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2">
        <f>'Audit Report'!F922</f>
        <v>0</v>
      </c>
      <c r="S922">
        <f>'Audit Report'!Q922</f>
        <v>0</v>
      </c>
    </row>
    <row r="923" spans="4:19">
      <c r="D923">
        <f>'Audit Report'!B923</f>
        <v>0</v>
      </c>
      <c r="E923">
        <f>'Audit Report'!C923</f>
        <v>0</v>
      </c>
      <c r="I923">
        <f>'Audit Report'!D923</f>
        <v>0</v>
      </c>
      <c r="J923">
        <f>'Audit Report'!H923</f>
        <v>0</v>
      </c>
      <c r="L923" t="str">
        <f>_xlfn.TEXTJOIN(", ", FALSE, 'Audit Report'!K923,'Audit Report'!L923,'Audit Report'!M923)</f>
        <v xml:space="preserve">, , </v>
      </c>
      <c r="M923">
        <f>'Audit Report'!O923</f>
        <v>0</v>
      </c>
      <c r="N923" t="str" cm="1">
        <f t="array" ref="N923">IF(M923="","",
_xlfn.TEXTJOIN(", ",TRUE,
    _xlfn.MAP(_xlfn.TEXTSPLIT(M923,","),_xlfn.LAMBDA(_xlpm.x,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3">
        <f>'Audit Report'!F923</f>
        <v>0</v>
      </c>
      <c r="S923">
        <f>'Audit Report'!Q923</f>
        <v>0</v>
      </c>
    </row>
    <row r="924" spans="4:19">
      <c r="D924">
        <f>'Audit Report'!B924</f>
        <v>0</v>
      </c>
      <c r="E924">
        <f>'Audit Report'!C924</f>
        <v>0</v>
      </c>
      <c r="I924">
        <f>'Audit Report'!D924</f>
        <v>0</v>
      </c>
      <c r="J924">
        <f>'Audit Report'!H924</f>
        <v>0</v>
      </c>
      <c r="L924" t="str">
        <f>_xlfn.TEXTJOIN(", ", FALSE, 'Audit Report'!K924,'Audit Report'!L924,'Audit Report'!M924)</f>
        <v xml:space="preserve">, , </v>
      </c>
      <c r="M924">
        <f>'Audit Report'!O924</f>
        <v>0</v>
      </c>
      <c r="N924" t="str" cm="1">
        <f t="array" ref="N924">IF(M924="","",
_xlfn.TEXTJOIN(", ",TRUE,
    _xlfn.MAP(_xlfn.TEXTSPLIT(M924,","),_xlfn.LAMBDA(_xlpm.x,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4">
        <f>'Audit Report'!F924</f>
        <v>0</v>
      </c>
      <c r="S924">
        <f>'Audit Report'!Q924</f>
        <v>0</v>
      </c>
    </row>
    <row r="925" spans="4:19">
      <c r="D925">
        <f>'Audit Report'!B925</f>
        <v>0</v>
      </c>
      <c r="E925">
        <f>'Audit Report'!C925</f>
        <v>0</v>
      </c>
      <c r="I925">
        <f>'Audit Report'!D925</f>
        <v>0</v>
      </c>
      <c r="J925">
        <f>'Audit Report'!H925</f>
        <v>0</v>
      </c>
      <c r="L925" t="str">
        <f>_xlfn.TEXTJOIN(", ", FALSE, 'Audit Report'!K925,'Audit Report'!L925,'Audit Report'!M925)</f>
        <v xml:space="preserve">, , </v>
      </c>
      <c r="M925">
        <f>'Audit Report'!O925</f>
        <v>0</v>
      </c>
      <c r="N925" t="str" cm="1">
        <f t="array" ref="N925">IF(M925="","",
_xlfn.TEXTJOIN(", ",TRUE,
    _xlfn.MAP(_xlfn.TEXTSPLIT(M925,","),_xlfn.LAMBDA(_xlpm.x,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5">
        <f>'Audit Report'!F925</f>
        <v>0</v>
      </c>
      <c r="S925">
        <f>'Audit Report'!Q925</f>
        <v>0</v>
      </c>
    </row>
    <row r="926" spans="4:19">
      <c r="D926">
        <f>'Audit Report'!B926</f>
        <v>0</v>
      </c>
      <c r="E926">
        <f>'Audit Report'!C926</f>
        <v>0</v>
      </c>
      <c r="I926">
        <f>'Audit Report'!D926</f>
        <v>0</v>
      </c>
      <c r="J926">
        <f>'Audit Report'!H926</f>
        <v>0</v>
      </c>
      <c r="L926" t="str">
        <f>_xlfn.TEXTJOIN(", ", FALSE, 'Audit Report'!K926,'Audit Report'!L926,'Audit Report'!M926)</f>
        <v xml:space="preserve">, , </v>
      </c>
      <c r="M926">
        <f>'Audit Report'!O926</f>
        <v>0</v>
      </c>
      <c r="N926" t="str" cm="1">
        <f t="array" ref="N926">IF(M926="","",
_xlfn.TEXTJOIN(", ",TRUE,
    _xlfn.MAP(_xlfn.TEXTSPLIT(M926,","),_xlfn.LAMBDA(_xlpm.x,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6">
        <f>'Audit Report'!F926</f>
        <v>0</v>
      </c>
      <c r="S926">
        <f>'Audit Report'!Q926</f>
        <v>0</v>
      </c>
    </row>
    <row r="927" spans="4:19">
      <c r="D927">
        <f>'Audit Report'!B927</f>
        <v>0</v>
      </c>
      <c r="E927">
        <f>'Audit Report'!C927</f>
        <v>0</v>
      </c>
      <c r="I927">
        <f>'Audit Report'!D927</f>
        <v>0</v>
      </c>
      <c r="J927">
        <f>'Audit Report'!H927</f>
        <v>0</v>
      </c>
      <c r="L927" t="str">
        <f>_xlfn.TEXTJOIN(", ", FALSE, 'Audit Report'!K927,'Audit Report'!L927,'Audit Report'!M927)</f>
        <v xml:space="preserve">, , </v>
      </c>
      <c r="M927">
        <f>'Audit Report'!O927</f>
        <v>0</v>
      </c>
      <c r="N927" t="str" cm="1">
        <f t="array" ref="N927">IF(M927="","",
_xlfn.TEXTJOIN(", ",TRUE,
    _xlfn.MAP(_xlfn.TEXTSPLIT(M927,","),_xlfn.LAMBDA(_xlpm.x,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7">
        <f>'Audit Report'!F927</f>
        <v>0</v>
      </c>
      <c r="S927">
        <f>'Audit Report'!Q927</f>
        <v>0</v>
      </c>
    </row>
    <row r="928" spans="4:19">
      <c r="D928">
        <f>'Audit Report'!B928</f>
        <v>0</v>
      </c>
      <c r="E928">
        <f>'Audit Report'!C928</f>
        <v>0</v>
      </c>
      <c r="I928">
        <f>'Audit Report'!D928</f>
        <v>0</v>
      </c>
      <c r="J928">
        <f>'Audit Report'!H928</f>
        <v>0</v>
      </c>
      <c r="L928" t="str">
        <f>_xlfn.TEXTJOIN(", ", FALSE, 'Audit Report'!K928,'Audit Report'!L928,'Audit Report'!M928)</f>
        <v xml:space="preserve">, , </v>
      </c>
      <c r="M928">
        <f>'Audit Report'!O928</f>
        <v>0</v>
      </c>
      <c r="N928" t="str" cm="1">
        <f t="array" ref="N928">IF(M928="","",
_xlfn.TEXTJOIN(", ",TRUE,
    _xlfn.MAP(_xlfn.TEXTSPLIT(M928,","),_xlfn.LAMBDA(_xlpm.x,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8">
        <f>'Audit Report'!F928</f>
        <v>0</v>
      </c>
      <c r="S928">
        <f>'Audit Report'!Q928</f>
        <v>0</v>
      </c>
    </row>
    <row r="929" spans="4:19">
      <c r="D929">
        <f>'Audit Report'!B929</f>
        <v>0</v>
      </c>
      <c r="E929">
        <f>'Audit Report'!C929</f>
        <v>0</v>
      </c>
      <c r="I929">
        <f>'Audit Report'!D929</f>
        <v>0</v>
      </c>
      <c r="J929">
        <f>'Audit Report'!H929</f>
        <v>0</v>
      </c>
      <c r="L929" t="str">
        <f>_xlfn.TEXTJOIN(", ", FALSE, 'Audit Report'!K929,'Audit Report'!L929,'Audit Report'!M929)</f>
        <v xml:space="preserve">, , </v>
      </c>
      <c r="M929">
        <f>'Audit Report'!O929</f>
        <v>0</v>
      </c>
      <c r="N929" t="str" cm="1">
        <f t="array" ref="N929">IF(M929="","",
_xlfn.TEXTJOIN(", ",TRUE,
    _xlfn.MAP(_xlfn.TEXTSPLIT(M929,","),_xlfn.LAMBDA(_xlpm.x,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9">
        <f>'Audit Report'!F929</f>
        <v>0</v>
      </c>
      <c r="S929">
        <f>'Audit Report'!Q929</f>
        <v>0</v>
      </c>
    </row>
    <row r="930" spans="4:19">
      <c r="D930">
        <f>'Audit Report'!B930</f>
        <v>0</v>
      </c>
      <c r="E930">
        <f>'Audit Report'!C930</f>
        <v>0</v>
      </c>
      <c r="I930">
        <f>'Audit Report'!D930</f>
        <v>0</v>
      </c>
      <c r="J930">
        <f>'Audit Report'!H930</f>
        <v>0</v>
      </c>
      <c r="L930" t="str">
        <f>_xlfn.TEXTJOIN(", ", FALSE, 'Audit Report'!K930,'Audit Report'!L930,'Audit Report'!M930)</f>
        <v xml:space="preserve">, , </v>
      </c>
      <c r="M930">
        <f>'Audit Report'!O930</f>
        <v>0</v>
      </c>
      <c r="N930" t="str" cm="1">
        <f t="array" ref="N930">IF(M930="","",
_xlfn.TEXTJOIN(", ",TRUE,
    _xlfn.MAP(_xlfn.TEXTSPLIT(M930,","),_xlfn.LAMBDA(_xlpm.x,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0">
        <f>'Audit Report'!F930</f>
        <v>0</v>
      </c>
      <c r="S930">
        <f>'Audit Report'!Q930</f>
        <v>0</v>
      </c>
    </row>
    <row r="931" spans="4:19">
      <c r="D931">
        <f>'Audit Report'!B931</f>
        <v>0</v>
      </c>
      <c r="E931">
        <f>'Audit Report'!C931</f>
        <v>0</v>
      </c>
      <c r="I931">
        <f>'Audit Report'!D931</f>
        <v>0</v>
      </c>
      <c r="J931">
        <f>'Audit Report'!H931</f>
        <v>0</v>
      </c>
      <c r="L931" t="str">
        <f>_xlfn.TEXTJOIN(", ", FALSE, 'Audit Report'!K931,'Audit Report'!L931,'Audit Report'!M931)</f>
        <v xml:space="preserve">, , </v>
      </c>
      <c r="M931">
        <f>'Audit Report'!O931</f>
        <v>0</v>
      </c>
      <c r="N931" t="str" cm="1">
        <f t="array" ref="N931">IF(M931="","",
_xlfn.TEXTJOIN(", ",TRUE,
    _xlfn.MAP(_xlfn.TEXTSPLIT(M931,","),_xlfn.LAMBDA(_xlpm.x,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1">
        <f>'Audit Report'!F931</f>
        <v>0</v>
      </c>
      <c r="S931">
        <f>'Audit Report'!Q931</f>
        <v>0</v>
      </c>
    </row>
    <row r="932" spans="4:19">
      <c r="D932">
        <f>'Audit Report'!B932</f>
        <v>0</v>
      </c>
      <c r="E932">
        <f>'Audit Report'!C932</f>
        <v>0</v>
      </c>
      <c r="I932">
        <f>'Audit Report'!D932</f>
        <v>0</v>
      </c>
      <c r="J932">
        <f>'Audit Report'!H932</f>
        <v>0</v>
      </c>
      <c r="L932" t="str">
        <f>_xlfn.TEXTJOIN(", ", FALSE, 'Audit Report'!K932,'Audit Report'!L932,'Audit Report'!M932)</f>
        <v xml:space="preserve">, , </v>
      </c>
      <c r="M932">
        <f>'Audit Report'!O932</f>
        <v>0</v>
      </c>
      <c r="N932" t="str" cm="1">
        <f t="array" ref="N932">IF(M932="","",
_xlfn.TEXTJOIN(", ",TRUE,
    _xlfn.MAP(_xlfn.TEXTSPLIT(M932,","),_xlfn.LAMBDA(_xlpm.x,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2">
        <f>'Audit Report'!F932</f>
        <v>0</v>
      </c>
      <c r="S932">
        <f>'Audit Report'!Q932</f>
        <v>0</v>
      </c>
    </row>
    <row r="933" spans="4:19">
      <c r="D933">
        <f>'Audit Report'!B933</f>
        <v>0</v>
      </c>
      <c r="E933">
        <f>'Audit Report'!C933</f>
        <v>0</v>
      </c>
      <c r="I933">
        <f>'Audit Report'!D933</f>
        <v>0</v>
      </c>
      <c r="J933">
        <f>'Audit Report'!H933</f>
        <v>0</v>
      </c>
      <c r="L933" t="str">
        <f>_xlfn.TEXTJOIN(", ", FALSE, 'Audit Report'!K933,'Audit Report'!L933,'Audit Report'!M933)</f>
        <v xml:space="preserve">, , </v>
      </c>
      <c r="M933">
        <f>'Audit Report'!O933</f>
        <v>0</v>
      </c>
      <c r="N933" t="str" cm="1">
        <f t="array" ref="N933">IF(M933="","",
_xlfn.TEXTJOIN(", ",TRUE,
    _xlfn.MAP(_xlfn.TEXTSPLIT(M933,","),_xlfn.LAMBDA(_xlpm.x,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3">
        <f>'Audit Report'!F933</f>
        <v>0</v>
      </c>
      <c r="S933">
        <f>'Audit Report'!Q933</f>
        <v>0</v>
      </c>
    </row>
    <row r="934" spans="4:19">
      <c r="D934">
        <f>'Audit Report'!B934</f>
        <v>0</v>
      </c>
      <c r="E934">
        <f>'Audit Report'!C934</f>
        <v>0</v>
      </c>
      <c r="I934">
        <f>'Audit Report'!D934</f>
        <v>0</v>
      </c>
      <c r="J934">
        <f>'Audit Report'!H934</f>
        <v>0</v>
      </c>
      <c r="L934" t="str">
        <f>_xlfn.TEXTJOIN(", ", FALSE, 'Audit Report'!K934,'Audit Report'!L934,'Audit Report'!M934)</f>
        <v xml:space="preserve">, , </v>
      </c>
      <c r="M934">
        <f>'Audit Report'!O934</f>
        <v>0</v>
      </c>
      <c r="N934" t="str" cm="1">
        <f t="array" ref="N934">IF(M934="","",
_xlfn.TEXTJOIN(", ",TRUE,
    _xlfn.MAP(_xlfn.TEXTSPLIT(M934,","),_xlfn.LAMBDA(_xlpm.x,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4">
        <f>'Audit Report'!F934</f>
        <v>0</v>
      </c>
      <c r="S934">
        <f>'Audit Report'!Q934</f>
        <v>0</v>
      </c>
    </row>
    <row r="935" spans="4:19">
      <c r="D935">
        <f>'Audit Report'!B935</f>
        <v>0</v>
      </c>
      <c r="E935">
        <f>'Audit Report'!C935</f>
        <v>0</v>
      </c>
      <c r="I935">
        <f>'Audit Report'!D935</f>
        <v>0</v>
      </c>
      <c r="J935">
        <f>'Audit Report'!H935</f>
        <v>0</v>
      </c>
      <c r="L935" t="str">
        <f>_xlfn.TEXTJOIN(", ", FALSE, 'Audit Report'!K935,'Audit Report'!L935,'Audit Report'!M935)</f>
        <v xml:space="preserve">, , </v>
      </c>
      <c r="M935">
        <f>'Audit Report'!O935</f>
        <v>0</v>
      </c>
      <c r="N935" t="str" cm="1">
        <f t="array" ref="N935">IF(M935="","",
_xlfn.TEXTJOIN(", ",TRUE,
    _xlfn.MAP(_xlfn.TEXTSPLIT(M935,","),_xlfn.LAMBDA(_xlpm.x,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5">
        <f>'Audit Report'!F935</f>
        <v>0</v>
      </c>
      <c r="S935">
        <f>'Audit Report'!Q935</f>
        <v>0</v>
      </c>
    </row>
    <row r="936" spans="4:19">
      <c r="D936">
        <f>'Audit Report'!B936</f>
        <v>0</v>
      </c>
      <c r="E936">
        <f>'Audit Report'!C936</f>
        <v>0</v>
      </c>
      <c r="I936">
        <f>'Audit Report'!D936</f>
        <v>0</v>
      </c>
      <c r="J936">
        <f>'Audit Report'!H936</f>
        <v>0</v>
      </c>
      <c r="L936" t="str">
        <f>_xlfn.TEXTJOIN(", ", FALSE, 'Audit Report'!K936,'Audit Report'!L936,'Audit Report'!M936)</f>
        <v xml:space="preserve">, , </v>
      </c>
      <c r="M936">
        <f>'Audit Report'!O936</f>
        <v>0</v>
      </c>
      <c r="N936" t="str" cm="1">
        <f t="array" ref="N936">IF(M936="","",
_xlfn.TEXTJOIN(", ",TRUE,
    _xlfn.MAP(_xlfn.TEXTSPLIT(M936,","),_xlfn.LAMBDA(_xlpm.x,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6">
        <f>'Audit Report'!F936</f>
        <v>0</v>
      </c>
      <c r="S936">
        <f>'Audit Report'!Q936</f>
        <v>0</v>
      </c>
    </row>
    <row r="937" spans="4:19">
      <c r="D937">
        <f>'Audit Report'!B937</f>
        <v>0</v>
      </c>
      <c r="E937">
        <f>'Audit Report'!C937</f>
        <v>0</v>
      </c>
      <c r="I937">
        <f>'Audit Report'!D937</f>
        <v>0</v>
      </c>
      <c r="J937">
        <f>'Audit Report'!H937</f>
        <v>0</v>
      </c>
      <c r="L937" t="str">
        <f>_xlfn.TEXTJOIN(", ", FALSE, 'Audit Report'!K937,'Audit Report'!L937,'Audit Report'!M937)</f>
        <v xml:space="preserve">, , </v>
      </c>
      <c r="M937">
        <f>'Audit Report'!O937</f>
        <v>0</v>
      </c>
      <c r="N937" t="str" cm="1">
        <f t="array" ref="N937">IF(M937="","",
_xlfn.TEXTJOIN(", ",TRUE,
    _xlfn.MAP(_xlfn.TEXTSPLIT(M937,","),_xlfn.LAMBDA(_xlpm.x,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7">
        <f>'Audit Report'!F937</f>
        <v>0</v>
      </c>
      <c r="S937">
        <f>'Audit Report'!Q937</f>
        <v>0</v>
      </c>
    </row>
    <row r="938" spans="4:19">
      <c r="D938">
        <f>'Audit Report'!B938</f>
        <v>0</v>
      </c>
      <c r="E938">
        <f>'Audit Report'!C938</f>
        <v>0</v>
      </c>
      <c r="I938">
        <f>'Audit Report'!D938</f>
        <v>0</v>
      </c>
      <c r="J938">
        <f>'Audit Report'!H938</f>
        <v>0</v>
      </c>
      <c r="L938" t="str">
        <f>_xlfn.TEXTJOIN(", ", FALSE, 'Audit Report'!K938,'Audit Report'!L938,'Audit Report'!M938)</f>
        <v xml:space="preserve">, , </v>
      </c>
      <c r="M938">
        <f>'Audit Report'!O938</f>
        <v>0</v>
      </c>
      <c r="N938" t="str" cm="1">
        <f t="array" ref="N938">IF(M938="","",
_xlfn.TEXTJOIN(", ",TRUE,
    _xlfn.MAP(_xlfn.TEXTSPLIT(M938,","),_xlfn.LAMBDA(_xlpm.x,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8">
        <f>'Audit Report'!F938</f>
        <v>0</v>
      </c>
      <c r="S938">
        <f>'Audit Report'!Q938</f>
        <v>0</v>
      </c>
    </row>
    <row r="939" spans="4:19">
      <c r="D939">
        <f>'Audit Report'!B939</f>
        <v>0</v>
      </c>
      <c r="E939">
        <f>'Audit Report'!C939</f>
        <v>0</v>
      </c>
      <c r="I939">
        <f>'Audit Report'!D939</f>
        <v>0</v>
      </c>
      <c r="J939">
        <f>'Audit Report'!H939</f>
        <v>0</v>
      </c>
      <c r="L939" t="str">
        <f>_xlfn.TEXTJOIN(", ", FALSE, 'Audit Report'!K939,'Audit Report'!L939,'Audit Report'!M939)</f>
        <v xml:space="preserve">, , </v>
      </c>
      <c r="M939">
        <f>'Audit Report'!O939</f>
        <v>0</v>
      </c>
      <c r="N939" t="str" cm="1">
        <f t="array" ref="N939">IF(M939="","",
_xlfn.TEXTJOIN(", ",TRUE,
    _xlfn.MAP(_xlfn.TEXTSPLIT(M939,","),_xlfn.LAMBDA(_xlpm.x,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9">
        <f>'Audit Report'!F939</f>
        <v>0</v>
      </c>
      <c r="S939">
        <f>'Audit Report'!Q939</f>
        <v>0</v>
      </c>
    </row>
    <row r="940" spans="4:19">
      <c r="D940">
        <f>'Audit Report'!B940</f>
        <v>0</v>
      </c>
      <c r="E940">
        <f>'Audit Report'!C940</f>
        <v>0</v>
      </c>
      <c r="I940">
        <f>'Audit Report'!D940</f>
        <v>0</v>
      </c>
      <c r="J940">
        <f>'Audit Report'!H940</f>
        <v>0</v>
      </c>
      <c r="L940" t="str">
        <f>_xlfn.TEXTJOIN(", ", FALSE, 'Audit Report'!K940,'Audit Report'!L940,'Audit Report'!M940)</f>
        <v xml:space="preserve">, , </v>
      </c>
      <c r="M940">
        <f>'Audit Report'!O940</f>
        <v>0</v>
      </c>
      <c r="N940" t="str" cm="1">
        <f t="array" ref="N940">IF(M940="","",
_xlfn.TEXTJOIN(", ",TRUE,
    _xlfn.MAP(_xlfn.TEXTSPLIT(M940,","),_xlfn.LAMBDA(_xlpm.x,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0">
        <f>'Audit Report'!F940</f>
        <v>0</v>
      </c>
      <c r="S940">
        <f>'Audit Report'!Q940</f>
        <v>0</v>
      </c>
    </row>
    <row r="941" spans="4:19">
      <c r="D941">
        <f>'Audit Report'!B941</f>
        <v>0</v>
      </c>
      <c r="E941">
        <f>'Audit Report'!C941</f>
        <v>0</v>
      </c>
      <c r="I941">
        <f>'Audit Report'!D941</f>
        <v>0</v>
      </c>
      <c r="J941">
        <f>'Audit Report'!H941</f>
        <v>0</v>
      </c>
      <c r="L941" t="str">
        <f>_xlfn.TEXTJOIN(", ", FALSE, 'Audit Report'!K941,'Audit Report'!L941,'Audit Report'!M941)</f>
        <v xml:space="preserve">, , </v>
      </c>
      <c r="M941">
        <f>'Audit Report'!O941</f>
        <v>0</v>
      </c>
      <c r="N941" t="str" cm="1">
        <f t="array" ref="N941">IF(M941="","",
_xlfn.TEXTJOIN(", ",TRUE,
    _xlfn.MAP(_xlfn.TEXTSPLIT(M941,","),_xlfn.LAMBDA(_xlpm.x,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1">
        <f>'Audit Report'!F941</f>
        <v>0</v>
      </c>
      <c r="S941">
        <f>'Audit Report'!Q941</f>
        <v>0</v>
      </c>
    </row>
    <row r="942" spans="4:19">
      <c r="D942">
        <f>'Audit Report'!B942</f>
        <v>0</v>
      </c>
      <c r="E942">
        <f>'Audit Report'!C942</f>
        <v>0</v>
      </c>
      <c r="I942">
        <f>'Audit Report'!D942</f>
        <v>0</v>
      </c>
      <c r="J942">
        <f>'Audit Report'!H942</f>
        <v>0</v>
      </c>
      <c r="L942" t="str">
        <f>_xlfn.TEXTJOIN(", ", FALSE, 'Audit Report'!K942,'Audit Report'!L942,'Audit Report'!M942)</f>
        <v xml:space="preserve">, , </v>
      </c>
      <c r="M942">
        <f>'Audit Report'!O942</f>
        <v>0</v>
      </c>
      <c r="N942" t="str" cm="1">
        <f t="array" ref="N942">IF(M942="","",
_xlfn.TEXTJOIN(", ",TRUE,
    _xlfn.MAP(_xlfn.TEXTSPLIT(M942,","),_xlfn.LAMBDA(_xlpm.x,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2">
        <f>'Audit Report'!F942</f>
        <v>0</v>
      </c>
      <c r="S942">
        <f>'Audit Report'!Q942</f>
        <v>0</v>
      </c>
    </row>
    <row r="943" spans="4:19">
      <c r="D943">
        <f>'Audit Report'!B943</f>
        <v>0</v>
      </c>
      <c r="E943">
        <f>'Audit Report'!C943</f>
        <v>0</v>
      </c>
      <c r="I943">
        <f>'Audit Report'!D943</f>
        <v>0</v>
      </c>
      <c r="J943">
        <f>'Audit Report'!H943</f>
        <v>0</v>
      </c>
      <c r="L943" t="str">
        <f>_xlfn.TEXTJOIN(", ", FALSE, 'Audit Report'!K943,'Audit Report'!L943,'Audit Report'!M943)</f>
        <v xml:space="preserve">, , </v>
      </c>
      <c r="M943">
        <f>'Audit Report'!O943</f>
        <v>0</v>
      </c>
      <c r="N943" t="str" cm="1">
        <f t="array" ref="N943">IF(M943="","",
_xlfn.TEXTJOIN(", ",TRUE,
    _xlfn.MAP(_xlfn.TEXTSPLIT(M943,","),_xlfn.LAMBDA(_xlpm.x,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3">
        <f>'Audit Report'!F943</f>
        <v>0</v>
      </c>
      <c r="S943">
        <f>'Audit Report'!Q943</f>
        <v>0</v>
      </c>
    </row>
    <row r="944" spans="4:19">
      <c r="D944">
        <f>'Audit Report'!B944</f>
        <v>0</v>
      </c>
      <c r="E944">
        <f>'Audit Report'!C944</f>
        <v>0</v>
      </c>
      <c r="I944">
        <f>'Audit Report'!D944</f>
        <v>0</v>
      </c>
      <c r="J944">
        <f>'Audit Report'!H944</f>
        <v>0</v>
      </c>
      <c r="L944" t="str">
        <f>_xlfn.TEXTJOIN(", ", FALSE, 'Audit Report'!K944,'Audit Report'!L944,'Audit Report'!M944)</f>
        <v xml:space="preserve">, , </v>
      </c>
      <c r="M944">
        <f>'Audit Report'!O944</f>
        <v>0</v>
      </c>
      <c r="N944" t="str" cm="1">
        <f t="array" ref="N944">IF(M944="","",
_xlfn.TEXTJOIN(", ",TRUE,
    _xlfn.MAP(_xlfn.TEXTSPLIT(M944,","),_xlfn.LAMBDA(_xlpm.x,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4">
        <f>'Audit Report'!F944</f>
        <v>0</v>
      </c>
      <c r="S944">
        <f>'Audit Report'!Q944</f>
        <v>0</v>
      </c>
    </row>
    <row r="945" spans="4:19">
      <c r="D945">
        <f>'Audit Report'!B945</f>
        <v>0</v>
      </c>
      <c r="E945">
        <f>'Audit Report'!C945</f>
        <v>0</v>
      </c>
      <c r="I945">
        <f>'Audit Report'!D945</f>
        <v>0</v>
      </c>
      <c r="J945">
        <f>'Audit Report'!H945</f>
        <v>0</v>
      </c>
      <c r="L945" t="str">
        <f>_xlfn.TEXTJOIN(", ", FALSE, 'Audit Report'!K945,'Audit Report'!L945,'Audit Report'!M945)</f>
        <v xml:space="preserve">, , </v>
      </c>
      <c r="M945">
        <f>'Audit Report'!O945</f>
        <v>0</v>
      </c>
      <c r="N945" t="str" cm="1">
        <f t="array" ref="N945">IF(M945="","",
_xlfn.TEXTJOIN(", ",TRUE,
    _xlfn.MAP(_xlfn.TEXTSPLIT(M945,","),_xlfn.LAMBDA(_xlpm.x,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5">
        <f>'Audit Report'!F945</f>
        <v>0</v>
      </c>
      <c r="S945">
        <f>'Audit Report'!Q945</f>
        <v>0</v>
      </c>
    </row>
    <row r="946" spans="4:19">
      <c r="D946">
        <f>'Audit Report'!B946</f>
        <v>0</v>
      </c>
      <c r="E946">
        <f>'Audit Report'!C946</f>
        <v>0</v>
      </c>
      <c r="I946">
        <f>'Audit Report'!D946</f>
        <v>0</v>
      </c>
      <c r="J946">
        <f>'Audit Report'!H946</f>
        <v>0</v>
      </c>
      <c r="L946" t="str">
        <f>_xlfn.TEXTJOIN(", ", FALSE, 'Audit Report'!K946,'Audit Report'!L946,'Audit Report'!M946)</f>
        <v xml:space="preserve">, , </v>
      </c>
      <c r="M946">
        <f>'Audit Report'!O946</f>
        <v>0</v>
      </c>
      <c r="N946" t="str" cm="1">
        <f t="array" ref="N946">IF(M946="","",
_xlfn.TEXTJOIN(", ",TRUE,
    _xlfn.MAP(_xlfn.TEXTSPLIT(M946,","),_xlfn.LAMBDA(_xlpm.x,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6">
        <f>'Audit Report'!F946</f>
        <v>0</v>
      </c>
      <c r="S946">
        <f>'Audit Report'!Q946</f>
        <v>0</v>
      </c>
    </row>
    <row r="947" spans="4:19">
      <c r="D947">
        <f>'Audit Report'!B947</f>
        <v>0</v>
      </c>
      <c r="E947">
        <f>'Audit Report'!C947</f>
        <v>0</v>
      </c>
      <c r="I947">
        <f>'Audit Report'!D947</f>
        <v>0</v>
      </c>
      <c r="J947">
        <f>'Audit Report'!H947</f>
        <v>0</v>
      </c>
      <c r="L947" t="str">
        <f>_xlfn.TEXTJOIN(", ", FALSE, 'Audit Report'!K947,'Audit Report'!L947,'Audit Report'!M947)</f>
        <v xml:space="preserve">, , </v>
      </c>
      <c r="M947">
        <f>'Audit Report'!O947</f>
        <v>0</v>
      </c>
      <c r="N947" t="str" cm="1">
        <f t="array" ref="N947">IF(M947="","",
_xlfn.TEXTJOIN(", ",TRUE,
    _xlfn.MAP(_xlfn.TEXTSPLIT(M947,","),_xlfn.LAMBDA(_xlpm.x,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7">
        <f>'Audit Report'!F947</f>
        <v>0</v>
      </c>
      <c r="S947">
        <f>'Audit Report'!Q947</f>
        <v>0</v>
      </c>
    </row>
    <row r="948" spans="4:19">
      <c r="D948">
        <f>'Audit Report'!B948</f>
        <v>0</v>
      </c>
      <c r="E948">
        <f>'Audit Report'!C948</f>
        <v>0</v>
      </c>
      <c r="I948">
        <f>'Audit Report'!D948</f>
        <v>0</v>
      </c>
      <c r="J948">
        <f>'Audit Report'!H948</f>
        <v>0</v>
      </c>
      <c r="L948" t="str">
        <f>_xlfn.TEXTJOIN(", ", FALSE, 'Audit Report'!K948,'Audit Report'!L948,'Audit Report'!M948)</f>
        <v xml:space="preserve">, , </v>
      </c>
      <c r="M948">
        <f>'Audit Report'!O948</f>
        <v>0</v>
      </c>
      <c r="N948" t="str" cm="1">
        <f t="array" ref="N948">IF(M948="","",
_xlfn.TEXTJOIN(", ",TRUE,
    _xlfn.MAP(_xlfn.TEXTSPLIT(M948,","),_xlfn.LAMBDA(_xlpm.x,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8">
        <f>'Audit Report'!F948</f>
        <v>0</v>
      </c>
      <c r="S948">
        <f>'Audit Report'!Q948</f>
        <v>0</v>
      </c>
    </row>
    <row r="949" spans="4:19">
      <c r="D949">
        <f>'Audit Report'!B949</f>
        <v>0</v>
      </c>
      <c r="E949">
        <f>'Audit Report'!C949</f>
        <v>0</v>
      </c>
      <c r="I949">
        <f>'Audit Report'!D949</f>
        <v>0</v>
      </c>
      <c r="J949">
        <f>'Audit Report'!H949</f>
        <v>0</v>
      </c>
      <c r="L949" t="str">
        <f>_xlfn.TEXTJOIN(", ", FALSE, 'Audit Report'!K949,'Audit Report'!L949,'Audit Report'!M949)</f>
        <v xml:space="preserve">, , </v>
      </c>
      <c r="M949">
        <f>'Audit Report'!O949</f>
        <v>0</v>
      </c>
      <c r="N949" t="str" cm="1">
        <f t="array" ref="N949">IF(M949="","",
_xlfn.TEXTJOIN(", ",TRUE,
    _xlfn.MAP(_xlfn.TEXTSPLIT(M949,","),_xlfn.LAMBDA(_xlpm.x,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9">
        <f>'Audit Report'!F949</f>
        <v>0</v>
      </c>
      <c r="S949">
        <f>'Audit Report'!Q949</f>
        <v>0</v>
      </c>
    </row>
    <row r="950" spans="4:19">
      <c r="D950">
        <f>'Audit Report'!B950</f>
        <v>0</v>
      </c>
      <c r="E950">
        <f>'Audit Report'!C950</f>
        <v>0</v>
      </c>
      <c r="I950">
        <f>'Audit Report'!D950</f>
        <v>0</v>
      </c>
      <c r="J950">
        <f>'Audit Report'!H950</f>
        <v>0</v>
      </c>
      <c r="L950" t="str">
        <f>_xlfn.TEXTJOIN(", ", FALSE, 'Audit Report'!K950,'Audit Report'!L950,'Audit Report'!M950)</f>
        <v xml:space="preserve">, , </v>
      </c>
      <c r="M950">
        <f>'Audit Report'!O950</f>
        <v>0</v>
      </c>
      <c r="N950" t="str" cm="1">
        <f t="array" ref="N950">IF(M950="","",
_xlfn.TEXTJOIN(", ",TRUE,
    _xlfn.MAP(_xlfn.TEXTSPLIT(M950,","),_xlfn.LAMBDA(_xlpm.x,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0">
        <f>'Audit Report'!F950</f>
        <v>0</v>
      </c>
      <c r="S950">
        <f>'Audit Report'!Q950</f>
        <v>0</v>
      </c>
    </row>
    <row r="951" spans="4:19">
      <c r="D951">
        <f>'Audit Report'!B951</f>
        <v>0</v>
      </c>
      <c r="E951">
        <f>'Audit Report'!C951</f>
        <v>0</v>
      </c>
      <c r="I951">
        <f>'Audit Report'!D951</f>
        <v>0</v>
      </c>
      <c r="J951">
        <f>'Audit Report'!H951</f>
        <v>0</v>
      </c>
      <c r="L951" t="str">
        <f>_xlfn.TEXTJOIN(", ", FALSE, 'Audit Report'!K951,'Audit Report'!L951,'Audit Report'!M951)</f>
        <v xml:space="preserve">, , </v>
      </c>
      <c r="M951">
        <f>'Audit Report'!O951</f>
        <v>0</v>
      </c>
      <c r="N951" t="str" cm="1">
        <f t="array" ref="N951">IF(M951="","",
_xlfn.TEXTJOIN(", ",TRUE,
    _xlfn.MAP(_xlfn.TEXTSPLIT(M951,","),_xlfn.LAMBDA(_xlpm.x,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1">
        <f>'Audit Report'!F951</f>
        <v>0</v>
      </c>
      <c r="S951">
        <f>'Audit Report'!Q951</f>
        <v>0</v>
      </c>
    </row>
    <row r="952" spans="4:19">
      <c r="D952">
        <f>'Audit Report'!B952</f>
        <v>0</v>
      </c>
      <c r="E952">
        <f>'Audit Report'!C952</f>
        <v>0</v>
      </c>
      <c r="I952">
        <f>'Audit Report'!D952</f>
        <v>0</v>
      </c>
      <c r="J952">
        <f>'Audit Report'!H952</f>
        <v>0</v>
      </c>
      <c r="L952" t="str">
        <f>_xlfn.TEXTJOIN(", ", FALSE, 'Audit Report'!K952,'Audit Report'!L952,'Audit Report'!M952)</f>
        <v xml:space="preserve">, , </v>
      </c>
      <c r="M952">
        <f>'Audit Report'!O952</f>
        <v>0</v>
      </c>
      <c r="N952" t="str" cm="1">
        <f t="array" ref="N952">IF(M952="","",
_xlfn.TEXTJOIN(", ",TRUE,
    _xlfn.MAP(_xlfn.TEXTSPLIT(M952,","),_xlfn.LAMBDA(_xlpm.x,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2">
        <f>'Audit Report'!F952</f>
        <v>0</v>
      </c>
      <c r="S952">
        <f>'Audit Report'!Q952</f>
        <v>0</v>
      </c>
    </row>
    <row r="953" spans="4:19">
      <c r="D953">
        <f>'Audit Report'!B953</f>
        <v>0</v>
      </c>
      <c r="E953">
        <f>'Audit Report'!C953</f>
        <v>0</v>
      </c>
      <c r="I953">
        <f>'Audit Report'!D953</f>
        <v>0</v>
      </c>
      <c r="J953">
        <f>'Audit Report'!H953</f>
        <v>0</v>
      </c>
      <c r="L953" t="str">
        <f>_xlfn.TEXTJOIN(", ", FALSE, 'Audit Report'!K953,'Audit Report'!L953,'Audit Report'!M953)</f>
        <v xml:space="preserve">, , </v>
      </c>
      <c r="M953">
        <f>'Audit Report'!O953</f>
        <v>0</v>
      </c>
      <c r="N953" t="str" cm="1">
        <f t="array" ref="N953">IF(M953="","",
_xlfn.TEXTJOIN(", ",TRUE,
    _xlfn.MAP(_xlfn.TEXTSPLIT(M953,","),_xlfn.LAMBDA(_xlpm.x,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3">
        <f>'Audit Report'!F953</f>
        <v>0</v>
      </c>
      <c r="S953">
        <f>'Audit Report'!Q953</f>
        <v>0</v>
      </c>
    </row>
    <row r="954" spans="4:19">
      <c r="D954">
        <f>'Audit Report'!B954</f>
        <v>0</v>
      </c>
      <c r="E954">
        <f>'Audit Report'!C954</f>
        <v>0</v>
      </c>
      <c r="I954">
        <f>'Audit Report'!D954</f>
        <v>0</v>
      </c>
      <c r="J954">
        <f>'Audit Report'!H954</f>
        <v>0</v>
      </c>
      <c r="L954" t="str">
        <f>_xlfn.TEXTJOIN(", ", FALSE, 'Audit Report'!K954,'Audit Report'!L954,'Audit Report'!M954)</f>
        <v xml:space="preserve">, , </v>
      </c>
      <c r="M954">
        <f>'Audit Report'!O954</f>
        <v>0</v>
      </c>
      <c r="N954" t="str" cm="1">
        <f t="array" ref="N954">IF(M954="","",
_xlfn.TEXTJOIN(", ",TRUE,
    _xlfn.MAP(_xlfn.TEXTSPLIT(M954,","),_xlfn.LAMBDA(_xlpm.x,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4">
        <f>'Audit Report'!F954</f>
        <v>0</v>
      </c>
      <c r="S954">
        <f>'Audit Report'!Q954</f>
        <v>0</v>
      </c>
    </row>
    <row r="955" spans="4:19">
      <c r="D955">
        <f>'Audit Report'!B955</f>
        <v>0</v>
      </c>
      <c r="E955">
        <f>'Audit Report'!C955</f>
        <v>0</v>
      </c>
      <c r="I955">
        <f>'Audit Report'!D955</f>
        <v>0</v>
      </c>
      <c r="J955">
        <f>'Audit Report'!H955</f>
        <v>0</v>
      </c>
      <c r="L955" t="str">
        <f>_xlfn.TEXTJOIN(", ", FALSE, 'Audit Report'!K955,'Audit Report'!L955,'Audit Report'!M955)</f>
        <v xml:space="preserve">, , </v>
      </c>
      <c r="M955">
        <f>'Audit Report'!O955</f>
        <v>0</v>
      </c>
      <c r="N955" t="str" cm="1">
        <f t="array" ref="N955">IF(M955="","",
_xlfn.TEXTJOIN(", ",TRUE,
    _xlfn.MAP(_xlfn.TEXTSPLIT(M955,","),_xlfn.LAMBDA(_xlpm.x,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5">
        <f>'Audit Report'!F955</f>
        <v>0</v>
      </c>
      <c r="S955">
        <f>'Audit Report'!Q955</f>
        <v>0</v>
      </c>
    </row>
    <row r="956" spans="4:19">
      <c r="D956">
        <f>'Audit Report'!B956</f>
        <v>0</v>
      </c>
      <c r="E956">
        <f>'Audit Report'!C956</f>
        <v>0</v>
      </c>
      <c r="I956">
        <f>'Audit Report'!D956</f>
        <v>0</v>
      </c>
      <c r="J956">
        <f>'Audit Report'!H956</f>
        <v>0</v>
      </c>
      <c r="L956" t="str">
        <f>_xlfn.TEXTJOIN(", ", FALSE, 'Audit Report'!K956,'Audit Report'!L956,'Audit Report'!M956)</f>
        <v xml:space="preserve">, , </v>
      </c>
      <c r="M956">
        <f>'Audit Report'!O956</f>
        <v>0</v>
      </c>
      <c r="N956" t="str" cm="1">
        <f t="array" ref="N956">IF(M956="","",
_xlfn.TEXTJOIN(", ",TRUE,
    _xlfn.MAP(_xlfn.TEXTSPLIT(M956,","),_xlfn.LAMBDA(_xlpm.x,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6">
        <f>'Audit Report'!F956</f>
        <v>0</v>
      </c>
      <c r="S956">
        <f>'Audit Report'!Q956</f>
        <v>0</v>
      </c>
    </row>
    <row r="957" spans="4:19">
      <c r="D957">
        <f>'Audit Report'!B957</f>
        <v>0</v>
      </c>
      <c r="E957">
        <f>'Audit Report'!C957</f>
        <v>0</v>
      </c>
      <c r="I957">
        <f>'Audit Report'!D957</f>
        <v>0</v>
      </c>
      <c r="J957">
        <f>'Audit Report'!H957</f>
        <v>0</v>
      </c>
      <c r="L957" t="str">
        <f>_xlfn.TEXTJOIN(", ", FALSE, 'Audit Report'!K957,'Audit Report'!L957,'Audit Report'!M957)</f>
        <v xml:space="preserve">, , </v>
      </c>
      <c r="M957">
        <f>'Audit Report'!O957</f>
        <v>0</v>
      </c>
      <c r="N957" t="str" cm="1">
        <f t="array" ref="N957">IF(M957="","",
_xlfn.TEXTJOIN(", ",TRUE,
    _xlfn.MAP(_xlfn.TEXTSPLIT(M957,","),_xlfn.LAMBDA(_xlpm.x,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7">
        <f>'Audit Report'!F957</f>
        <v>0</v>
      </c>
      <c r="S957">
        <f>'Audit Report'!Q957</f>
        <v>0</v>
      </c>
    </row>
    <row r="958" spans="4:19">
      <c r="D958">
        <f>'Audit Report'!B958</f>
        <v>0</v>
      </c>
      <c r="E958">
        <f>'Audit Report'!C958</f>
        <v>0</v>
      </c>
      <c r="I958">
        <f>'Audit Report'!D958</f>
        <v>0</v>
      </c>
      <c r="J958">
        <f>'Audit Report'!H958</f>
        <v>0</v>
      </c>
      <c r="L958" t="str">
        <f>_xlfn.TEXTJOIN(", ", FALSE, 'Audit Report'!K958,'Audit Report'!L958,'Audit Report'!M958)</f>
        <v xml:space="preserve">, , </v>
      </c>
      <c r="M958">
        <f>'Audit Report'!O958</f>
        <v>0</v>
      </c>
      <c r="N958" t="str" cm="1">
        <f t="array" ref="N958">IF(M958="","",
_xlfn.TEXTJOIN(", ",TRUE,
    _xlfn.MAP(_xlfn.TEXTSPLIT(M958,","),_xlfn.LAMBDA(_xlpm.x,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8">
        <f>'Audit Report'!F958</f>
        <v>0</v>
      </c>
      <c r="S958">
        <f>'Audit Report'!Q958</f>
        <v>0</v>
      </c>
    </row>
    <row r="959" spans="4:19">
      <c r="D959">
        <f>'Audit Report'!B959</f>
        <v>0</v>
      </c>
      <c r="E959">
        <f>'Audit Report'!C959</f>
        <v>0</v>
      </c>
      <c r="I959">
        <f>'Audit Report'!D959</f>
        <v>0</v>
      </c>
      <c r="J959">
        <f>'Audit Report'!H959</f>
        <v>0</v>
      </c>
      <c r="L959" t="str">
        <f>_xlfn.TEXTJOIN(", ", FALSE, 'Audit Report'!K959,'Audit Report'!L959,'Audit Report'!M959)</f>
        <v xml:space="preserve">, , </v>
      </c>
      <c r="M959">
        <f>'Audit Report'!O959</f>
        <v>0</v>
      </c>
      <c r="N959" t="str" cm="1">
        <f t="array" ref="N959">IF(M959="","",
_xlfn.TEXTJOIN(", ",TRUE,
    _xlfn.MAP(_xlfn.TEXTSPLIT(M959,","),_xlfn.LAMBDA(_xlpm.x,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9">
        <f>'Audit Report'!F959</f>
        <v>0</v>
      </c>
      <c r="S959">
        <f>'Audit Report'!Q959</f>
        <v>0</v>
      </c>
    </row>
    <row r="960" spans="4:19">
      <c r="D960">
        <f>'Audit Report'!B960</f>
        <v>0</v>
      </c>
      <c r="E960">
        <f>'Audit Report'!C960</f>
        <v>0</v>
      </c>
      <c r="I960">
        <f>'Audit Report'!D960</f>
        <v>0</v>
      </c>
      <c r="J960">
        <f>'Audit Report'!H960</f>
        <v>0</v>
      </c>
      <c r="L960" t="str">
        <f>_xlfn.TEXTJOIN(", ", FALSE, 'Audit Report'!K960,'Audit Report'!L960,'Audit Report'!M960)</f>
        <v xml:space="preserve">, , </v>
      </c>
      <c r="M960">
        <f>'Audit Report'!O960</f>
        <v>0</v>
      </c>
      <c r="N960" t="str" cm="1">
        <f t="array" ref="N960">IF(M960="","",
_xlfn.TEXTJOIN(", ",TRUE,
    _xlfn.MAP(_xlfn.TEXTSPLIT(M960,","),_xlfn.LAMBDA(_xlpm.x,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0">
        <f>'Audit Report'!F960</f>
        <v>0</v>
      </c>
      <c r="S960">
        <f>'Audit Report'!Q960</f>
        <v>0</v>
      </c>
    </row>
    <row r="961" spans="4:19">
      <c r="D961">
        <f>'Audit Report'!B961</f>
        <v>0</v>
      </c>
      <c r="E961">
        <f>'Audit Report'!C961</f>
        <v>0</v>
      </c>
      <c r="I961">
        <f>'Audit Report'!D961</f>
        <v>0</v>
      </c>
      <c r="J961">
        <f>'Audit Report'!H961</f>
        <v>0</v>
      </c>
      <c r="L961" t="str">
        <f>_xlfn.TEXTJOIN(", ", FALSE, 'Audit Report'!K961,'Audit Report'!L961,'Audit Report'!M961)</f>
        <v xml:space="preserve">, , </v>
      </c>
      <c r="M961">
        <f>'Audit Report'!O961</f>
        <v>0</v>
      </c>
      <c r="N961" t="str" cm="1">
        <f t="array" ref="N961">IF(M961="","",
_xlfn.TEXTJOIN(", ",TRUE,
    _xlfn.MAP(_xlfn.TEXTSPLIT(M961,","),_xlfn.LAMBDA(_xlpm.x,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1">
        <f>'Audit Report'!F961</f>
        <v>0</v>
      </c>
      <c r="S961">
        <f>'Audit Report'!Q961</f>
        <v>0</v>
      </c>
    </row>
    <row r="962" spans="4:19">
      <c r="D962">
        <f>'Audit Report'!B962</f>
        <v>0</v>
      </c>
      <c r="E962">
        <f>'Audit Report'!C962</f>
        <v>0</v>
      </c>
      <c r="I962">
        <f>'Audit Report'!D962</f>
        <v>0</v>
      </c>
      <c r="J962">
        <f>'Audit Report'!H962</f>
        <v>0</v>
      </c>
      <c r="L962" t="str">
        <f>_xlfn.TEXTJOIN(", ", FALSE, 'Audit Report'!K962,'Audit Report'!L962,'Audit Report'!M962)</f>
        <v xml:space="preserve">, , </v>
      </c>
      <c r="M962">
        <f>'Audit Report'!O962</f>
        <v>0</v>
      </c>
      <c r="N962" t="str" cm="1">
        <f t="array" ref="N962">IF(M962="","",
_xlfn.TEXTJOIN(", ",TRUE,
    _xlfn.MAP(_xlfn.TEXTSPLIT(M962,","),_xlfn.LAMBDA(_xlpm.x,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2">
        <f>'Audit Report'!F962</f>
        <v>0</v>
      </c>
      <c r="S962">
        <f>'Audit Report'!Q962</f>
        <v>0</v>
      </c>
    </row>
    <row r="963" spans="4:19">
      <c r="D963">
        <f>'Audit Report'!B963</f>
        <v>0</v>
      </c>
      <c r="E963">
        <f>'Audit Report'!C963</f>
        <v>0</v>
      </c>
      <c r="I963">
        <f>'Audit Report'!D963</f>
        <v>0</v>
      </c>
      <c r="J963">
        <f>'Audit Report'!H963</f>
        <v>0</v>
      </c>
      <c r="L963" t="str">
        <f>_xlfn.TEXTJOIN(", ", FALSE, 'Audit Report'!K963,'Audit Report'!L963,'Audit Report'!M963)</f>
        <v xml:space="preserve">, , </v>
      </c>
      <c r="M963">
        <f>'Audit Report'!O963</f>
        <v>0</v>
      </c>
      <c r="N963" t="str" cm="1">
        <f t="array" ref="N963">IF(M963="","",
_xlfn.TEXTJOIN(", ",TRUE,
    _xlfn.MAP(_xlfn.TEXTSPLIT(M963,","),_xlfn.LAMBDA(_xlpm.x,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3">
        <f>'Audit Report'!F963</f>
        <v>0</v>
      </c>
      <c r="S963">
        <f>'Audit Report'!Q963</f>
        <v>0</v>
      </c>
    </row>
    <row r="964" spans="4:19">
      <c r="D964">
        <f>'Audit Report'!B964</f>
        <v>0</v>
      </c>
      <c r="E964">
        <f>'Audit Report'!C964</f>
        <v>0</v>
      </c>
      <c r="I964">
        <f>'Audit Report'!D964</f>
        <v>0</v>
      </c>
      <c r="J964">
        <f>'Audit Report'!H964</f>
        <v>0</v>
      </c>
      <c r="L964" t="str">
        <f>_xlfn.TEXTJOIN(", ", FALSE, 'Audit Report'!K964,'Audit Report'!L964,'Audit Report'!M964)</f>
        <v xml:space="preserve">, , </v>
      </c>
      <c r="M964">
        <f>'Audit Report'!O964</f>
        <v>0</v>
      </c>
      <c r="N964" t="str" cm="1">
        <f t="array" ref="N964">IF(M964="","",
_xlfn.TEXTJOIN(", ",TRUE,
    _xlfn.MAP(_xlfn.TEXTSPLIT(M964,","),_xlfn.LAMBDA(_xlpm.x,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4">
        <f>'Audit Report'!F964</f>
        <v>0</v>
      </c>
      <c r="S964">
        <f>'Audit Report'!Q964</f>
        <v>0</v>
      </c>
    </row>
    <row r="965" spans="4:19">
      <c r="D965">
        <f>'Audit Report'!B965</f>
        <v>0</v>
      </c>
      <c r="E965">
        <f>'Audit Report'!C965</f>
        <v>0</v>
      </c>
      <c r="I965">
        <f>'Audit Report'!D965</f>
        <v>0</v>
      </c>
      <c r="J965">
        <f>'Audit Report'!H965</f>
        <v>0</v>
      </c>
      <c r="L965" t="str">
        <f>_xlfn.TEXTJOIN(", ", FALSE, 'Audit Report'!K965,'Audit Report'!L965,'Audit Report'!M965)</f>
        <v xml:space="preserve">, , </v>
      </c>
      <c r="M965">
        <f>'Audit Report'!O965</f>
        <v>0</v>
      </c>
      <c r="N965" t="str" cm="1">
        <f t="array" ref="N965">IF(M965="","",
_xlfn.TEXTJOIN(", ",TRUE,
    _xlfn.MAP(_xlfn.TEXTSPLIT(M965,","),_xlfn.LAMBDA(_xlpm.x,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5">
        <f>'Audit Report'!F965</f>
        <v>0</v>
      </c>
      <c r="S965">
        <f>'Audit Report'!Q965</f>
        <v>0</v>
      </c>
    </row>
    <row r="966" spans="4:19">
      <c r="D966">
        <f>'Audit Report'!B966</f>
        <v>0</v>
      </c>
      <c r="E966">
        <f>'Audit Report'!C966</f>
        <v>0</v>
      </c>
      <c r="I966">
        <f>'Audit Report'!D966</f>
        <v>0</v>
      </c>
      <c r="J966">
        <f>'Audit Report'!H966</f>
        <v>0</v>
      </c>
      <c r="L966" t="str">
        <f>_xlfn.TEXTJOIN(", ", FALSE, 'Audit Report'!K966,'Audit Report'!L966,'Audit Report'!M966)</f>
        <v xml:space="preserve">, , </v>
      </c>
      <c r="M966">
        <f>'Audit Report'!O966</f>
        <v>0</v>
      </c>
      <c r="N966" t="str" cm="1">
        <f t="array" ref="N966">IF(M966="","",
_xlfn.TEXTJOIN(", ",TRUE,
    _xlfn.MAP(_xlfn.TEXTSPLIT(M966,","),_xlfn.LAMBDA(_xlpm.x,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6">
        <f>'Audit Report'!F966</f>
        <v>0</v>
      </c>
      <c r="S966">
        <f>'Audit Report'!Q966</f>
        <v>0</v>
      </c>
    </row>
    <row r="967" spans="4:19">
      <c r="D967">
        <f>'Audit Report'!B967</f>
        <v>0</v>
      </c>
      <c r="E967">
        <f>'Audit Report'!C967</f>
        <v>0</v>
      </c>
      <c r="I967">
        <f>'Audit Report'!D967</f>
        <v>0</v>
      </c>
      <c r="J967">
        <f>'Audit Report'!H967</f>
        <v>0</v>
      </c>
      <c r="L967" t="str">
        <f>_xlfn.TEXTJOIN(", ", FALSE, 'Audit Report'!K967,'Audit Report'!L967,'Audit Report'!M967)</f>
        <v xml:space="preserve">, , </v>
      </c>
      <c r="M967">
        <f>'Audit Report'!O967</f>
        <v>0</v>
      </c>
      <c r="N967" t="str" cm="1">
        <f t="array" ref="N967">IF(M967="","",
_xlfn.TEXTJOIN(", ",TRUE,
    _xlfn.MAP(_xlfn.TEXTSPLIT(M967,","),_xlfn.LAMBDA(_xlpm.x,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7">
        <f>'Audit Report'!F967</f>
        <v>0</v>
      </c>
      <c r="S967">
        <f>'Audit Report'!Q967</f>
        <v>0</v>
      </c>
    </row>
    <row r="968" spans="4:19">
      <c r="D968">
        <f>'Audit Report'!B968</f>
        <v>0</v>
      </c>
      <c r="E968">
        <f>'Audit Report'!C968</f>
        <v>0</v>
      </c>
      <c r="I968">
        <f>'Audit Report'!D968</f>
        <v>0</v>
      </c>
      <c r="J968">
        <f>'Audit Report'!H968</f>
        <v>0</v>
      </c>
      <c r="L968" t="str">
        <f>_xlfn.TEXTJOIN(", ", FALSE, 'Audit Report'!K968,'Audit Report'!L968,'Audit Report'!M968)</f>
        <v xml:space="preserve">, , </v>
      </c>
      <c r="M968">
        <f>'Audit Report'!O968</f>
        <v>0</v>
      </c>
      <c r="N968" t="str" cm="1">
        <f t="array" ref="N968">IF(M968="","",
_xlfn.TEXTJOIN(", ",TRUE,
    _xlfn.MAP(_xlfn.TEXTSPLIT(M968,","),_xlfn.LAMBDA(_xlpm.x,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8">
        <f>'Audit Report'!F968</f>
        <v>0</v>
      </c>
      <c r="S968">
        <f>'Audit Report'!Q968</f>
        <v>0</v>
      </c>
    </row>
    <row r="969" spans="4:19">
      <c r="D969">
        <f>'Audit Report'!B969</f>
        <v>0</v>
      </c>
      <c r="E969">
        <f>'Audit Report'!C969</f>
        <v>0</v>
      </c>
      <c r="I969">
        <f>'Audit Report'!D969</f>
        <v>0</v>
      </c>
      <c r="J969">
        <f>'Audit Report'!H969</f>
        <v>0</v>
      </c>
      <c r="L969" t="str">
        <f>_xlfn.TEXTJOIN(", ", FALSE, 'Audit Report'!K969,'Audit Report'!L969,'Audit Report'!M969)</f>
        <v xml:space="preserve">, , </v>
      </c>
      <c r="M969">
        <f>'Audit Report'!O969</f>
        <v>0</v>
      </c>
      <c r="N969" t="str" cm="1">
        <f t="array" ref="N969">IF(M969="","",
_xlfn.TEXTJOIN(", ",TRUE,
    _xlfn.MAP(_xlfn.TEXTSPLIT(M969,","),_xlfn.LAMBDA(_xlpm.x,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9">
        <f>'Audit Report'!F969</f>
        <v>0</v>
      </c>
      <c r="S969">
        <f>'Audit Report'!Q969</f>
        <v>0</v>
      </c>
    </row>
    <row r="970" spans="4:19">
      <c r="D970">
        <f>'Audit Report'!B970</f>
        <v>0</v>
      </c>
      <c r="E970">
        <f>'Audit Report'!C970</f>
        <v>0</v>
      </c>
      <c r="I970">
        <f>'Audit Report'!D970</f>
        <v>0</v>
      </c>
      <c r="J970">
        <f>'Audit Report'!H970</f>
        <v>0</v>
      </c>
      <c r="L970" t="str">
        <f>_xlfn.TEXTJOIN(", ", FALSE, 'Audit Report'!K970,'Audit Report'!L970,'Audit Report'!M970)</f>
        <v xml:space="preserve">, , </v>
      </c>
      <c r="M970">
        <f>'Audit Report'!O970</f>
        <v>0</v>
      </c>
      <c r="N970" t="str" cm="1">
        <f t="array" ref="N970">IF(M970="","",
_xlfn.TEXTJOIN(", ",TRUE,
    _xlfn.MAP(_xlfn.TEXTSPLIT(M970,","),_xlfn.LAMBDA(_xlpm.x,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0">
        <f>'Audit Report'!F970</f>
        <v>0</v>
      </c>
      <c r="S970">
        <f>'Audit Report'!Q970</f>
        <v>0</v>
      </c>
    </row>
    <row r="971" spans="4:19">
      <c r="D971">
        <f>'Audit Report'!B971</f>
        <v>0</v>
      </c>
      <c r="E971">
        <f>'Audit Report'!C971</f>
        <v>0</v>
      </c>
      <c r="I971">
        <f>'Audit Report'!D971</f>
        <v>0</v>
      </c>
      <c r="J971">
        <f>'Audit Report'!H971</f>
        <v>0</v>
      </c>
      <c r="L971" t="str">
        <f>_xlfn.TEXTJOIN(", ", FALSE, 'Audit Report'!K971,'Audit Report'!L971,'Audit Report'!M971)</f>
        <v xml:space="preserve">, , </v>
      </c>
      <c r="M971">
        <f>'Audit Report'!O971</f>
        <v>0</v>
      </c>
      <c r="N971" t="str" cm="1">
        <f t="array" ref="N971">IF(M971="","",
_xlfn.TEXTJOIN(", ",TRUE,
    _xlfn.MAP(_xlfn.TEXTSPLIT(M971,","),_xlfn.LAMBDA(_xlpm.x,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1">
        <f>'Audit Report'!F971</f>
        <v>0</v>
      </c>
      <c r="S971">
        <f>'Audit Report'!Q971</f>
        <v>0</v>
      </c>
    </row>
    <row r="972" spans="4:19">
      <c r="D972">
        <f>'Audit Report'!B972</f>
        <v>0</v>
      </c>
      <c r="E972">
        <f>'Audit Report'!C972</f>
        <v>0</v>
      </c>
      <c r="I972">
        <f>'Audit Report'!D972</f>
        <v>0</v>
      </c>
      <c r="J972">
        <f>'Audit Report'!H972</f>
        <v>0</v>
      </c>
      <c r="L972" t="str">
        <f>_xlfn.TEXTJOIN(", ", FALSE, 'Audit Report'!K972,'Audit Report'!L972,'Audit Report'!M972)</f>
        <v xml:space="preserve">, , </v>
      </c>
      <c r="M972">
        <f>'Audit Report'!O972</f>
        <v>0</v>
      </c>
      <c r="N972" t="str" cm="1">
        <f t="array" ref="N972">IF(M972="","",
_xlfn.TEXTJOIN(", ",TRUE,
    _xlfn.MAP(_xlfn.TEXTSPLIT(M972,","),_xlfn.LAMBDA(_xlpm.x,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2">
        <f>'Audit Report'!F972</f>
        <v>0</v>
      </c>
      <c r="S972">
        <f>'Audit Report'!Q972</f>
        <v>0</v>
      </c>
    </row>
    <row r="973" spans="4:19">
      <c r="D973">
        <f>'Audit Report'!B973</f>
        <v>0</v>
      </c>
      <c r="E973">
        <f>'Audit Report'!C973</f>
        <v>0</v>
      </c>
      <c r="I973">
        <f>'Audit Report'!D973</f>
        <v>0</v>
      </c>
      <c r="J973">
        <f>'Audit Report'!H973</f>
        <v>0</v>
      </c>
      <c r="L973" t="str">
        <f>_xlfn.TEXTJOIN(", ", FALSE, 'Audit Report'!K973,'Audit Report'!L973,'Audit Report'!M973)</f>
        <v xml:space="preserve">, , </v>
      </c>
      <c r="M973">
        <f>'Audit Report'!O973</f>
        <v>0</v>
      </c>
      <c r="N973" t="str" cm="1">
        <f t="array" ref="N973">IF(M973="","",
_xlfn.TEXTJOIN(", ",TRUE,
    _xlfn.MAP(_xlfn.TEXTSPLIT(M973,","),_xlfn.LAMBDA(_xlpm.x,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3">
        <f>'Audit Report'!F973</f>
        <v>0</v>
      </c>
      <c r="S973">
        <f>'Audit Report'!Q973</f>
        <v>0</v>
      </c>
    </row>
    <row r="974" spans="4:19">
      <c r="D974">
        <f>'Audit Report'!B974</f>
        <v>0</v>
      </c>
      <c r="E974">
        <f>'Audit Report'!C974</f>
        <v>0</v>
      </c>
      <c r="I974">
        <f>'Audit Report'!D974</f>
        <v>0</v>
      </c>
      <c r="J974">
        <f>'Audit Report'!H974</f>
        <v>0</v>
      </c>
      <c r="L974" t="str">
        <f>_xlfn.TEXTJOIN(", ", FALSE, 'Audit Report'!K974,'Audit Report'!L974,'Audit Report'!M974)</f>
        <v xml:space="preserve">, , </v>
      </c>
      <c r="M974">
        <f>'Audit Report'!O974</f>
        <v>0</v>
      </c>
      <c r="N974" t="str" cm="1">
        <f t="array" ref="N974">IF(M974="","",
_xlfn.TEXTJOIN(", ",TRUE,
    _xlfn.MAP(_xlfn.TEXTSPLIT(M974,","),_xlfn.LAMBDA(_xlpm.x,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4">
        <f>'Audit Report'!F974</f>
        <v>0</v>
      </c>
      <c r="S974">
        <f>'Audit Report'!Q974</f>
        <v>0</v>
      </c>
    </row>
    <row r="975" spans="4:19">
      <c r="D975">
        <f>'Audit Report'!B975</f>
        <v>0</v>
      </c>
      <c r="E975">
        <f>'Audit Report'!C975</f>
        <v>0</v>
      </c>
      <c r="I975">
        <f>'Audit Report'!D975</f>
        <v>0</v>
      </c>
      <c r="J975">
        <f>'Audit Report'!H975</f>
        <v>0</v>
      </c>
      <c r="L975" t="str">
        <f>_xlfn.TEXTJOIN(", ", FALSE, 'Audit Report'!K975,'Audit Report'!L975,'Audit Report'!M975)</f>
        <v xml:space="preserve">, , </v>
      </c>
      <c r="M975">
        <f>'Audit Report'!O975</f>
        <v>0</v>
      </c>
      <c r="N975" t="str" cm="1">
        <f t="array" ref="N975">IF(M975="","",
_xlfn.TEXTJOIN(", ",TRUE,
    _xlfn.MAP(_xlfn.TEXTSPLIT(M975,","),_xlfn.LAMBDA(_xlpm.x,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5">
        <f>'Audit Report'!F975</f>
        <v>0</v>
      </c>
      <c r="S975">
        <f>'Audit Report'!Q975</f>
        <v>0</v>
      </c>
    </row>
    <row r="976" spans="4:19">
      <c r="D976">
        <f>'Audit Report'!B976</f>
        <v>0</v>
      </c>
      <c r="E976">
        <f>'Audit Report'!C976</f>
        <v>0</v>
      </c>
      <c r="I976">
        <f>'Audit Report'!D976</f>
        <v>0</v>
      </c>
      <c r="J976">
        <f>'Audit Report'!H976</f>
        <v>0</v>
      </c>
      <c r="L976" t="str">
        <f>_xlfn.TEXTJOIN(", ", FALSE, 'Audit Report'!K976,'Audit Report'!L976,'Audit Report'!M976)</f>
        <v xml:space="preserve">, , </v>
      </c>
      <c r="M976">
        <f>'Audit Report'!O976</f>
        <v>0</v>
      </c>
      <c r="N976" t="str" cm="1">
        <f t="array" ref="N976">IF(M976="","",
_xlfn.TEXTJOIN(", ",TRUE,
    _xlfn.MAP(_xlfn.TEXTSPLIT(M976,","),_xlfn.LAMBDA(_xlpm.x,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6">
        <f>'Audit Report'!F976</f>
        <v>0</v>
      </c>
      <c r="S976">
        <f>'Audit Report'!Q976</f>
        <v>0</v>
      </c>
    </row>
    <row r="977" spans="4:19">
      <c r="D977">
        <f>'Audit Report'!B977</f>
        <v>0</v>
      </c>
      <c r="E977">
        <f>'Audit Report'!C977</f>
        <v>0</v>
      </c>
      <c r="I977">
        <f>'Audit Report'!D977</f>
        <v>0</v>
      </c>
      <c r="J977">
        <f>'Audit Report'!H977</f>
        <v>0</v>
      </c>
      <c r="L977" t="str">
        <f>_xlfn.TEXTJOIN(", ", FALSE, 'Audit Report'!K977,'Audit Report'!L977,'Audit Report'!M977)</f>
        <v xml:space="preserve">, , </v>
      </c>
      <c r="M977">
        <f>'Audit Report'!O977</f>
        <v>0</v>
      </c>
      <c r="N977" t="str" cm="1">
        <f t="array" ref="N977">IF(M977="","",
_xlfn.TEXTJOIN(", ",TRUE,
    _xlfn.MAP(_xlfn.TEXTSPLIT(M977,","),_xlfn.LAMBDA(_xlpm.x,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7">
        <f>'Audit Report'!F977</f>
        <v>0</v>
      </c>
      <c r="S977">
        <f>'Audit Report'!Q977</f>
        <v>0</v>
      </c>
    </row>
    <row r="978" spans="4:19">
      <c r="D978">
        <f>'Audit Report'!B978</f>
        <v>0</v>
      </c>
      <c r="E978">
        <f>'Audit Report'!C978</f>
        <v>0</v>
      </c>
      <c r="I978">
        <f>'Audit Report'!D978</f>
        <v>0</v>
      </c>
      <c r="J978">
        <f>'Audit Report'!H978</f>
        <v>0</v>
      </c>
      <c r="L978" t="str">
        <f>_xlfn.TEXTJOIN(", ", FALSE, 'Audit Report'!K978,'Audit Report'!L978,'Audit Report'!M978)</f>
        <v xml:space="preserve">, , </v>
      </c>
      <c r="M978">
        <f>'Audit Report'!O978</f>
        <v>0</v>
      </c>
      <c r="N978" t="str" cm="1">
        <f t="array" ref="N978">IF(M978="","",
_xlfn.TEXTJOIN(", ",TRUE,
    _xlfn.MAP(_xlfn.TEXTSPLIT(M978,","),_xlfn.LAMBDA(_xlpm.x,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8">
        <f>'Audit Report'!F978</f>
        <v>0</v>
      </c>
      <c r="S978">
        <f>'Audit Report'!Q978</f>
        <v>0</v>
      </c>
    </row>
    <row r="979" spans="4:19">
      <c r="D979">
        <f>'Audit Report'!B979</f>
        <v>0</v>
      </c>
      <c r="E979">
        <f>'Audit Report'!C979</f>
        <v>0</v>
      </c>
      <c r="I979">
        <f>'Audit Report'!D979</f>
        <v>0</v>
      </c>
      <c r="J979">
        <f>'Audit Report'!H979</f>
        <v>0</v>
      </c>
      <c r="L979" t="str">
        <f>_xlfn.TEXTJOIN(", ", FALSE, 'Audit Report'!K979,'Audit Report'!L979,'Audit Report'!M979)</f>
        <v xml:space="preserve">, , </v>
      </c>
      <c r="M979">
        <f>'Audit Report'!O979</f>
        <v>0</v>
      </c>
      <c r="N979" t="str" cm="1">
        <f t="array" ref="N979">IF(M979="","",
_xlfn.TEXTJOIN(", ",TRUE,
    _xlfn.MAP(_xlfn.TEXTSPLIT(M979,","),_xlfn.LAMBDA(_xlpm.x,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9">
        <f>'Audit Report'!F979</f>
        <v>0</v>
      </c>
      <c r="S979">
        <f>'Audit Report'!Q979</f>
        <v>0</v>
      </c>
    </row>
    <row r="980" spans="4:19">
      <c r="D980">
        <f>'Audit Report'!B980</f>
        <v>0</v>
      </c>
      <c r="E980">
        <f>'Audit Report'!C980</f>
        <v>0</v>
      </c>
      <c r="I980">
        <f>'Audit Report'!D980</f>
        <v>0</v>
      </c>
      <c r="J980">
        <f>'Audit Report'!H980</f>
        <v>0</v>
      </c>
      <c r="L980" t="str">
        <f>_xlfn.TEXTJOIN(", ", FALSE, 'Audit Report'!K980,'Audit Report'!L980,'Audit Report'!M980)</f>
        <v xml:space="preserve">, , </v>
      </c>
      <c r="M980">
        <f>'Audit Report'!O980</f>
        <v>0</v>
      </c>
      <c r="N980" t="str" cm="1">
        <f t="array" ref="N980">IF(M980="","",
_xlfn.TEXTJOIN(", ",TRUE,
    _xlfn.MAP(_xlfn.TEXTSPLIT(M980,","),_xlfn.LAMBDA(_xlpm.x,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0">
        <f>'Audit Report'!F980</f>
        <v>0</v>
      </c>
      <c r="S980">
        <f>'Audit Report'!Q980</f>
        <v>0</v>
      </c>
    </row>
    <row r="981" spans="4:19">
      <c r="D981">
        <f>'Audit Report'!B981</f>
        <v>0</v>
      </c>
      <c r="E981">
        <f>'Audit Report'!C981</f>
        <v>0</v>
      </c>
      <c r="I981">
        <f>'Audit Report'!D981</f>
        <v>0</v>
      </c>
      <c r="J981">
        <f>'Audit Report'!H981</f>
        <v>0</v>
      </c>
      <c r="L981" t="str">
        <f>_xlfn.TEXTJOIN(", ", FALSE, 'Audit Report'!K981,'Audit Report'!L981,'Audit Report'!M981)</f>
        <v xml:space="preserve">, , </v>
      </c>
      <c r="M981">
        <f>'Audit Report'!O981</f>
        <v>0</v>
      </c>
      <c r="N981" t="str" cm="1">
        <f t="array" ref="N981">IF(M981="","",
_xlfn.TEXTJOIN(", ",TRUE,
    _xlfn.MAP(_xlfn.TEXTSPLIT(M981,","),_xlfn.LAMBDA(_xlpm.x,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1">
        <f>'Audit Report'!F981</f>
        <v>0</v>
      </c>
      <c r="S981">
        <f>'Audit Report'!Q981</f>
        <v>0</v>
      </c>
    </row>
    <row r="982" spans="4:19">
      <c r="D982">
        <f>'Audit Report'!B982</f>
        <v>0</v>
      </c>
      <c r="E982">
        <f>'Audit Report'!C982</f>
        <v>0</v>
      </c>
      <c r="I982">
        <f>'Audit Report'!D982</f>
        <v>0</v>
      </c>
      <c r="J982">
        <f>'Audit Report'!H982</f>
        <v>0</v>
      </c>
      <c r="L982" t="str">
        <f>_xlfn.TEXTJOIN(", ", FALSE, 'Audit Report'!K982,'Audit Report'!L982,'Audit Report'!M982)</f>
        <v xml:space="preserve">, , </v>
      </c>
      <c r="M982">
        <f>'Audit Report'!O982</f>
        <v>0</v>
      </c>
      <c r="N982" t="str" cm="1">
        <f t="array" ref="N982">IF(M982="","",
_xlfn.TEXTJOIN(", ",TRUE,
    _xlfn.MAP(_xlfn.TEXTSPLIT(M982,","),_xlfn.LAMBDA(_xlpm.x,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2">
        <f>'Audit Report'!F982</f>
        <v>0</v>
      </c>
      <c r="S982">
        <f>'Audit Report'!Q982</f>
        <v>0</v>
      </c>
    </row>
    <row r="983" spans="4:19">
      <c r="D983">
        <f>'Audit Report'!B983</f>
        <v>0</v>
      </c>
      <c r="E983">
        <f>'Audit Report'!C983</f>
        <v>0</v>
      </c>
      <c r="I983">
        <f>'Audit Report'!D983</f>
        <v>0</v>
      </c>
      <c r="J983">
        <f>'Audit Report'!H983</f>
        <v>0</v>
      </c>
      <c r="L983" t="str">
        <f>_xlfn.TEXTJOIN(", ", FALSE, 'Audit Report'!K983,'Audit Report'!L983,'Audit Report'!M983)</f>
        <v xml:space="preserve">, , </v>
      </c>
      <c r="M983">
        <f>'Audit Report'!O983</f>
        <v>0</v>
      </c>
      <c r="N983" t="str" cm="1">
        <f t="array" ref="N983">IF(M983="","",
_xlfn.TEXTJOIN(", ",TRUE,
    _xlfn.MAP(_xlfn.TEXTSPLIT(M983,","),_xlfn.LAMBDA(_xlpm.x,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3">
        <f>'Audit Report'!F983</f>
        <v>0</v>
      </c>
      <c r="S983">
        <f>'Audit Report'!Q983</f>
        <v>0</v>
      </c>
    </row>
    <row r="984" spans="4:19">
      <c r="D984">
        <f>'Audit Report'!B984</f>
        <v>0</v>
      </c>
      <c r="E984">
        <f>'Audit Report'!C984</f>
        <v>0</v>
      </c>
      <c r="I984">
        <f>'Audit Report'!D984</f>
        <v>0</v>
      </c>
      <c r="J984">
        <f>'Audit Report'!H984</f>
        <v>0</v>
      </c>
      <c r="L984" t="str">
        <f>_xlfn.TEXTJOIN(", ", FALSE, 'Audit Report'!K984,'Audit Report'!L984,'Audit Report'!M984)</f>
        <v xml:space="preserve">, , </v>
      </c>
      <c r="M984">
        <f>'Audit Report'!O984</f>
        <v>0</v>
      </c>
      <c r="N984" t="str" cm="1">
        <f t="array" ref="N984">IF(M984="","",
_xlfn.TEXTJOIN(", ",TRUE,
    _xlfn.MAP(_xlfn.TEXTSPLIT(M984,","),_xlfn.LAMBDA(_xlpm.x,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4">
        <f>'Audit Report'!F984</f>
        <v>0</v>
      </c>
      <c r="S984">
        <f>'Audit Report'!Q984</f>
        <v>0</v>
      </c>
    </row>
    <row r="985" spans="4:19">
      <c r="D985">
        <f>'Audit Report'!B985</f>
        <v>0</v>
      </c>
      <c r="E985">
        <f>'Audit Report'!C985</f>
        <v>0</v>
      </c>
      <c r="I985">
        <f>'Audit Report'!D985</f>
        <v>0</v>
      </c>
      <c r="J985">
        <f>'Audit Report'!H985</f>
        <v>0</v>
      </c>
      <c r="L985" t="str">
        <f>_xlfn.TEXTJOIN(", ", FALSE, 'Audit Report'!K985,'Audit Report'!L985,'Audit Report'!M985)</f>
        <v xml:space="preserve">, , </v>
      </c>
      <c r="M985">
        <f>'Audit Report'!O985</f>
        <v>0</v>
      </c>
      <c r="N985" t="str" cm="1">
        <f t="array" ref="N985">IF(M985="","",
_xlfn.TEXTJOIN(", ",TRUE,
    _xlfn.MAP(_xlfn.TEXTSPLIT(M985,","),_xlfn.LAMBDA(_xlpm.x,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5">
        <f>'Audit Report'!F985</f>
        <v>0</v>
      </c>
      <c r="S985">
        <f>'Audit Report'!Q985</f>
        <v>0</v>
      </c>
    </row>
    <row r="986" spans="4:19">
      <c r="D986">
        <f>'Audit Report'!B986</f>
        <v>0</v>
      </c>
      <c r="E986">
        <f>'Audit Report'!C986</f>
        <v>0</v>
      </c>
      <c r="I986">
        <f>'Audit Report'!D986</f>
        <v>0</v>
      </c>
      <c r="J986">
        <f>'Audit Report'!H986</f>
        <v>0</v>
      </c>
      <c r="L986" t="str">
        <f>_xlfn.TEXTJOIN(", ", FALSE, 'Audit Report'!K986,'Audit Report'!L986,'Audit Report'!M986)</f>
        <v xml:space="preserve">, , </v>
      </c>
      <c r="M986">
        <f>'Audit Report'!O986</f>
        <v>0</v>
      </c>
      <c r="N986" t="str" cm="1">
        <f t="array" ref="N986">IF(M986="","",
_xlfn.TEXTJOIN(", ",TRUE,
    _xlfn.MAP(_xlfn.TEXTSPLIT(M986,","),_xlfn.LAMBDA(_xlpm.x,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6">
        <f>'Audit Report'!F986</f>
        <v>0</v>
      </c>
      <c r="S986">
        <f>'Audit Report'!Q986</f>
        <v>0</v>
      </c>
    </row>
    <row r="987" spans="4:19">
      <c r="D987">
        <f>'Audit Report'!B987</f>
        <v>0</v>
      </c>
      <c r="E987">
        <f>'Audit Report'!C987</f>
        <v>0</v>
      </c>
      <c r="I987">
        <f>'Audit Report'!D987</f>
        <v>0</v>
      </c>
      <c r="J987">
        <f>'Audit Report'!H987</f>
        <v>0</v>
      </c>
      <c r="L987" t="str">
        <f>_xlfn.TEXTJOIN(", ", FALSE, 'Audit Report'!K987,'Audit Report'!L987,'Audit Report'!M987)</f>
        <v xml:space="preserve">, , </v>
      </c>
      <c r="M987">
        <f>'Audit Report'!O987</f>
        <v>0</v>
      </c>
      <c r="N987" t="str" cm="1">
        <f t="array" ref="N987">IF(M987="","",
_xlfn.TEXTJOIN(", ",TRUE,
    _xlfn.MAP(_xlfn.TEXTSPLIT(M987,","),_xlfn.LAMBDA(_xlpm.x,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7">
        <f>'Audit Report'!F987</f>
        <v>0</v>
      </c>
      <c r="S987">
        <f>'Audit Report'!Q987</f>
        <v>0</v>
      </c>
    </row>
    <row r="988" spans="4:19">
      <c r="D988">
        <f>'Audit Report'!B988</f>
        <v>0</v>
      </c>
      <c r="E988">
        <f>'Audit Report'!C988</f>
        <v>0</v>
      </c>
      <c r="I988">
        <f>'Audit Report'!D988</f>
        <v>0</v>
      </c>
      <c r="J988">
        <f>'Audit Report'!H988</f>
        <v>0</v>
      </c>
      <c r="L988" t="str">
        <f>_xlfn.TEXTJOIN(", ", FALSE, 'Audit Report'!K988,'Audit Report'!L988,'Audit Report'!M988)</f>
        <v xml:space="preserve">, , </v>
      </c>
      <c r="M988">
        <f>'Audit Report'!O988</f>
        <v>0</v>
      </c>
      <c r="N988" t="str" cm="1">
        <f t="array" ref="N988">IF(M988="","",
_xlfn.TEXTJOIN(", ",TRUE,
    _xlfn.MAP(_xlfn.TEXTSPLIT(M988,","),_xlfn.LAMBDA(_xlpm.x,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8">
        <f>'Audit Report'!F988</f>
        <v>0</v>
      </c>
      <c r="S988">
        <f>'Audit Report'!Q988</f>
        <v>0</v>
      </c>
    </row>
    <row r="989" spans="4:19">
      <c r="D989">
        <f>'Audit Report'!B989</f>
        <v>0</v>
      </c>
      <c r="E989">
        <f>'Audit Report'!C989</f>
        <v>0</v>
      </c>
      <c r="I989">
        <f>'Audit Report'!D989</f>
        <v>0</v>
      </c>
      <c r="J989">
        <f>'Audit Report'!H989</f>
        <v>0</v>
      </c>
      <c r="L989" t="str">
        <f>_xlfn.TEXTJOIN(", ", FALSE, 'Audit Report'!K989,'Audit Report'!L989,'Audit Report'!M989)</f>
        <v xml:space="preserve">, , </v>
      </c>
      <c r="M989">
        <f>'Audit Report'!O989</f>
        <v>0</v>
      </c>
      <c r="N989" t="str" cm="1">
        <f t="array" ref="N989">IF(M989="","",
_xlfn.TEXTJOIN(", ",TRUE,
    _xlfn.MAP(_xlfn.TEXTSPLIT(M989,","),_xlfn.LAMBDA(_xlpm.x,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9">
        <f>'Audit Report'!F989</f>
        <v>0</v>
      </c>
      <c r="S989">
        <f>'Audit Report'!Q989</f>
        <v>0</v>
      </c>
    </row>
    <row r="990" spans="4:19">
      <c r="D990">
        <f>'Audit Report'!B990</f>
        <v>0</v>
      </c>
      <c r="E990">
        <f>'Audit Report'!C990</f>
        <v>0</v>
      </c>
      <c r="I990">
        <f>'Audit Report'!D990</f>
        <v>0</v>
      </c>
      <c r="J990">
        <f>'Audit Report'!H990</f>
        <v>0</v>
      </c>
      <c r="L990" t="str">
        <f>_xlfn.TEXTJOIN(", ", FALSE, 'Audit Report'!K990,'Audit Report'!L990,'Audit Report'!M990)</f>
        <v xml:space="preserve">, , </v>
      </c>
      <c r="M990">
        <f>'Audit Report'!O990</f>
        <v>0</v>
      </c>
      <c r="N990" t="str" cm="1">
        <f t="array" ref="N990">IF(M990="","",
_xlfn.TEXTJOIN(", ",TRUE,
    _xlfn.MAP(_xlfn.TEXTSPLIT(M990,","),_xlfn.LAMBDA(_xlpm.x,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0">
        <f>'Audit Report'!F990</f>
        <v>0</v>
      </c>
      <c r="S990">
        <f>'Audit Report'!Q990</f>
        <v>0</v>
      </c>
    </row>
    <row r="991" spans="4:19">
      <c r="D991">
        <f>'Audit Report'!B991</f>
        <v>0</v>
      </c>
      <c r="E991">
        <f>'Audit Report'!C991</f>
        <v>0</v>
      </c>
      <c r="I991">
        <f>'Audit Report'!D991</f>
        <v>0</v>
      </c>
      <c r="J991">
        <f>'Audit Report'!H991</f>
        <v>0</v>
      </c>
      <c r="L991" t="str">
        <f>_xlfn.TEXTJOIN(", ", FALSE, 'Audit Report'!K991,'Audit Report'!L991,'Audit Report'!M991)</f>
        <v xml:space="preserve">, , </v>
      </c>
      <c r="M991">
        <f>'Audit Report'!O991</f>
        <v>0</v>
      </c>
      <c r="N991" t="str" cm="1">
        <f t="array" ref="N991">IF(M991="","",
_xlfn.TEXTJOIN(", ",TRUE,
    _xlfn.MAP(_xlfn.TEXTSPLIT(M991,","),_xlfn.LAMBDA(_xlpm.x,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1">
        <f>'Audit Report'!F991</f>
        <v>0</v>
      </c>
      <c r="S991">
        <f>'Audit Report'!Q991</f>
        <v>0</v>
      </c>
    </row>
    <row r="992" spans="4:19">
      <c r="D992">
        <f>'Audit Report'!B992</f>
        <v>0</v>
      </c>
      <c r="E992">
        <f>'Audit Report'!C992</f>
        <v>0</v>
      </c>
      <c r="I992">
        <f>'Audit Report'!D992</f>
        <v>0</v>
      </c>
      <c r="J992">
        <f>'Audit Report'!H992</f>
        <v>0</v>
      </c>
      <c r="L992" t="str">
        <f>_xlfn.TEXTJOIN(", ", FALSE, 'Audit Report'!K992,'Audit Report'!L992,'Audit Report'!M992)</f>
        <v xml:space="preserve">, , </v>
      </c>
      <c r="M992">
        <f>'Audit Report'!O992</f>
        <v>0</v>
      </c>
      <c r="N992" t="str" cm="1">
        <f t="array" ref="N992">IF(M992="","",
_xlfn.TEXTJOIN(", ",TRUE,
    _xlfn.MAP(_xlfn.TEXTSPLIT(M992,","),_xlfn.LAMBDA(_xlpm.x,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2">
        <f>'Audit Report'!F992</f>
        <v>0</v>
      </c>
      <c r="S992">
        <f>'Audit Report'!Q992</f>
        <v>0</v>
      </c>
    </row>
    <row r="993" spans="4:19">
      <c r="D993">
        <f>'Audit Report'!B993</f>
        <v>0</v>
      </c>
      <c r="E993">
        <f>'Audit Report'!C993</f>
        <v>0</v>
      </c>
      <c r="I993">
        <f>'Audit Report'!D993</f>
        <v>0</v>
      </c>
      <c r="J993">
        <f>'Audit Report'!H993</f>
        <v>0</v>
      </c>
      <c r="L993" t="str">
        <f>_xlfn.TEXTJOIN(", ", FALSE, 'Audit Report'!K993,'Audit Report'!L993,'Audit Report'!M993)</f>
        <v xml:space="preserve">, , </v>
      </c>
      <c r="M993">
        <f>'Audit Report'!O993</f>
        <v>0</v>
      </c>
      <c r="N993" t="str" cm="1">
        <f t="array" ref="N993">IF(M993="","",
_xlfn.TEXTJOIN(", ",TRUE,
    _xlfn.MAP(_xlfn.TEXTSPLIT(M993,","),_xlfn.LAMBDA(_xlpm.x,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3">
        <f>'Audit Report'!F993</f>
        <v>0</v>
      </c>
      <c r="S993">
        <f>'Audit Report'!Q993</f>
        <v>0</v>
      </c>
    </row>
    <row r="994" spans="4:19">
      <c r="D994">
        <f>'Audit Report'!B994</f>
        <v>0</v>
      </c>
      <c r="E994">
        <f>'Audit Report'!C994</f>
        <v>0</v>
      </c>
      <c r="I994">
        <f>'Audit Report'!D994</f>
        <v>0</v>
      </c>
      <c r="J994">
        <f>'Audit Report'!H994</f>
        <v>0</v>
      </c>
      <c r="L994" t="str">
        <f>_xlfn.TEXTJOIN(", ", FALSE, 'Audit Report'!K994,'Audit Report'!L994,'Audit Report'!M994)</f>
        <v xml:space="preserve">, , </v>
      </c>
      <c r="M994">
        <f>'Audit Report'!O994</f>
        <v>0</v>
      </c>
      <c r="N994" t="str" cm="1">
        <f t="array" ref="N994">IF(M994="","",
_xlfn.TEXTJOIN(", ",TRUE,
    _xlfn.MAP(_xlfn.TEXTSPLIT(M994,","),_xlfn.LAMBDA(_xlpm.x,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4">
        <f>'Audit Report'!F994</f>
        <v>0</v>
      </c>
      <c r="S994">
        <f>'Audit Report'!Q994</f>
        <v>0</v>
      </c>
    </row>
    <row r="995" spans="4:19">
      <c r="D995">
        <f>'Audit Report'!B995</f>
        <v>0</v>
      </c>
      <c r="E995">
        <f>'Audit Report'!C995</f>
        <v>0</v>
      </c>
      <c r="I995">
        <f>'Audit Report'!D995</f>
        <v>0</v>
      </c>
      <c r="J995">
        <f>'Audit Report'!H995</f>
        <v>0</v>
      </c>
      <c r="L995" t="str">
        <f>_xlfn.TEXTJOIN(", ", FALSE, 'Audit Report'!K995,'Audit Report'!L995,'Audit Report'!M995)</f>
        <v xml:space="preserve">, , </v>
      </c>
      <c r="M995">
        <f>'Audit Report'!O995</f>
        <v>0</v>
      </c>
      <c r="N995" t="str" cm="1">
        <f t="array" ref="N995">IF(M995="","",
_xlfn.TEXTJOIN(", ",TRUE,
    _xlfn.MAP(_xlfn.TEXTSPLIT(M995,","),_xlfn.LAMBDA(_xlpm.x,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5">
        <f>'Audit Report'!F995</f>
        <v>0</v>
      </c>
      <c r="S995">
        <f>'Audit Report'!Q995</f>
        <v>0</v>
      </c>
    </row>
    <row r="996" spans="4:19">
      <c r="D996">
        <f>'Audit Report'!B996</f>
        <v>0</v>
      </c>
      <c r="E996">
        <f>'Audit Report'!C996</f>
        <v>0</v>
      </c>
      <c r="I996">
        <f>'Audit Report'!D996</f>
        <v>0</v>
      </c>
      <c r="J996">
        <f>'Audit Report'!H996</f>
        <v>0</v>
      </c>
      <c r="L996" t="str">
        <f>_xlfn.TEXTJOIN(", ", FALSE, 'Audit Report'!K996,'Audit Report'!L996,'Audit Report'!M996)</f>
        <v xml:space="preserve">, , </v>
      </c>
      <c r="M996">
        <f>'Audit Report'!O996</f>
        <v>0</v>
      </c>
      <c r="N996" t="str" cm="1">
        <f t="array" ref="N996">IF(M996="","",
_xlfn.TEXTJOIN(", ",TRUE,
    _xlfn.MAP(_xlfn.TEXTSPLIT(M996,","),_xlfn.LAMBDA(_xlpm.x,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6">
        <f>'Audit Report'!F996</f>
        <v>0</v>
      </c>
      <c r="S996">
        <f>'Audit Report'!Q996</f>
        <v>0</v>
      </c>
    </row>
    <row r="997" spans="4:19">
      <c r="D997">
        <f>'Audit Report'!B997</f>
        <v>0</v>
      </c>
      <c r="E997">
        <f>'Audit Report'!C997</f>
        <v>0</v>
      </c>
      <c r="I997">
        <f>'Audit Report'!D997</f>
        <v>0</v>
      </c>
      <c r="J997">
        <f>'Audit Report'!H997</f>
        <v>0</v>
      </c>
      <c r="L997" t="str">
        <f>_xlfn.TEXTJOIN(", ", FALSE, 'Audit Report'!K997,'Audit Report'!L997,'Audit Report'!M997)</f>
        <v xml:space="preserve">, , </v>
      </c>
      <c r="M997">
        <f>'Audit Report'!O997</f>
        <v>0</v>
      </c>
      <c r="N997" t="str" cm="1">
        <f t="array" ref="N997">IF(M997="","",
_xlfn.TEXTJOIN(", ",TRUE,
    _xlfn.MAP(_xlfn.TEXTSPLIT(M997,","),_xlfn.LAMBDA(_xlpm.x,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7">
        <f>'Audit Report'!F997</f>
        <v>0</v>
      </c>
      <c r="S997">
        <f>'Audit Report'!Q997</f>
        <v>0</v>
      </c>
    </row>
    <row r="998" spans="4:19">
      <c r="D998">
        <f>'Audit Report'!B998</f>
        <v>0</v>
      </c>
      <c r="E998">
        <f>'Audit Report'!C998</f>
        <v>0</v>
      </c>
      <c r="I998">
        <f>'Audit Report'!D998</f>
        <v>0</v>
      </c>
      <c r="J998">
        <f>'Audit Report'!H998</f>
        <v>0</v>
      </c>
      <c r="L998" t="str">
        <f>_xlfn.TEXTJOIN(", ", FALSE, 'Audit Report'!K998,'Audit Report'!L998,'Audit Report'!M998)</f>
        <v xml:space="preserve">, , </v>
      </c>
      <c r="M998">
        <f>'Audit Report'!O998</f>
        <v>0</v>
      </c>
      <c r="N998" t="str" cm="1">
        <f t="array" ref="N998">IF(M998="","",
_xlfn.TEXTJOIN(", ",TRUE,
    _xlfn.MAP(_xlfn.TEXTSPLIT(M998,","),_xlfn.LAMBDA(_xlpm.x,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8">
        <f>'Audit Report'!F998</f>
        <v>0</v>
      </c>
      <c r="S998">
        <f>'Audit Report'!Q998</f>
        <v>0</v>
      </c>
    </row>
    <row r="999" spans="4:19">
      <c r="D999">
        <f>'Audit Report'!B999</f>
        <v>0</v>
      </c>
      <c r="E999">
        <f>'Audit Report'!C999</f>
        <v>0</v>
      </c>
      <c r="I999">
        <f>'Audit Report'!D999</f>
        <v>0</v>
      </c>
      <c r="J999">
        <f>'Audit Report'!H999</f>
        <v>0</v>
      </c>
      <c r="L999" t="str">
        <f>_xlfn.TEXTJOIN(", ", FALSE, 'Audit Report'!K999,'Audit Report'!L999,'Audit Report'!M999)</f>
        <v xml:space="preserve">, , </v>
      </c>
      <c r="M999">
        <f>'Audit Report'!O999</f>
        <v>0</v>
      </c>
      <c r="N999" t="str" cm="1">
        <f t="array" ref="N999">IF(M999="","",
_xlfn.TEXTJOIN(", ",TRUE,
    _xlfn.MAP(_xlfn.TEXTSPLIT(M999,","),_xlfn.LAMBDA(_xlpm.x,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9">
        <f>'Audit Report'!F999</f>
        <v>0</v>
      </c>
      <c r="S999">
        <f>'Audit Report'!Q999</f>
        <v>0</v>
      </c>
    </row>
    <row r="1000" spans="4:19">
      <c r="D1000">
        <f>'Audit Report'!B1000</f>
        <v>0</v>
      </c>
      <c r="E1000">
        <f>'Audit Report'!C1000</f>
        <v>0</v>
      </c>
      <c r="I1000">
        <f>'Audit Report'!D1000</f>
        <v>0</v>
      </c>
      <c r="J1000">
        <f>'Audit Report'!H1000</f>
        <v>0</v>
      </c>
      <c r="L1000" t="str">
        <f>_xlfn.TEXTJOIN(", ", FALSE, 'Audit Report'!K1000,'Audit Report'!L1000,'Audit Report'!M1000)</f>
        <v xml:space="preserve">, , </v>
      </c>
      <c r="M1000">
        <f>'Audit Report'!O1000</f>
        <v>0</v>
      </c>
      <c r="N1000" t="str" cm="1">
        <f t="array" ref="N1000">IF(M1000="","",
_xlfn.TEXTJOIN(", ",TRUE,
    _xlfn.MAP(_xlfn.TEXTSPLIT(M1000,","),_xlfn.LAMBDA(_xlpm.x,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0">
        <f>'Audit Report'!F1000</f>
        <v>0</v>
      </c>
      <c r="S1000">
        <f>'Audit Report'!Q1000</f>
        <v>0</v>
      </c>
    </row>
    <row r="1001" spans="4:19">
      <c r="D1001">
        <f>'Audit Report'!B1001</f>
        <v>0</v>
      </c>
      <c r="E1001">
        <f>'Audit Report'!C1001</f>
        <v>0</v>
      </c>
      <c r="I1001">
        <f>'Audit Report'!D1001</f>
        <v>0</v>
      </c>
      <c r="J1001">
        <f>'Audit Report'!H1001</f>
        <v>0</v>
      </c>
      <c r="L1001" t="str">
        <f>_xlfn.TEXTJOIN(", ", FALSE, 'Audit Report'!K1001,'Audit Report'!L1001,'Audit Report'!M1001)</f>
        <v xml:space="preserve">, , </v>
      </c>
      <c r="M1001">
        <f>'Audit Report'!O1001</f>
        <v>0</v>
      </c>
      <c r="N1001" t="str" cm="1">
        <f t="array" ref="N1001">IF(M1001="","",
_xlfn.TEXTJOIN(", ",TRUE,
    _xlfn.MAP(_xlfn.TEXTSPLIT(M1001,","),_xlfn.LAMBDA(_xlpm.x,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1">
        <f>'Audit Report'!F1001</f>
        <v>0</v>
      </c>
      <c r="S1001">
        <f>'Audit Report'!Q1001</f>
        <v>0</v>
      </c>
    </row>
    <row r="1002" spans="4:19">
      <c r="D1002">
        <f>'Audit Report'!B1002</f>
        <v>0</v>
      </c>
      <c r="E1002">
        <f>'Audit Report'!C1002</f>
        <v>0</v>
      </c>
      <c r="I1002">
        <f>'Audit Report'!D1002</f>
        <v>0</v>
      </c>
      <c r="J1002">
        <f>'Audit Report'!H1002</f>
        <v>0</v>
      </c>
      <c r="L1002" t="str">
        <f>_xlfn.TEXTJOIN(", ", FALSE, 'Audit Report'!K1002,'Audit Report'!L1002,'Audit Report'!M1002)</f>
        <v xml:space="preserve">, , </v>
      </c>
      <c r="M1002">
        <f>'Audit Report'!O1002</f>
        <v>0</v>
      </c>
      <c r="N1002" t="str" cm="1">
        <f t="array" ref="N1002">IF(M1002="","",
_xlfn.TEXTJOIN(", ",TRUE,
    _xlfn.MAP(_xlfn.TEXTSPLIT(M1002,","),_xlfn.LAMBDA(_xlpm.x,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2">
        <f>'Audit Report'!F1002</f>
        <v>0</v>
      </c>
      <c r="S1002">
        <f>'Audit Report'!Q1002</f>
        <v>0</v>
      </c>
    </row>
    <row r="1003" spans="4:19">
      <c r="D1003">
        <f>'Audit Report'!B1003</f>
        <v>0</v>
      </c>
      <c r="E1003">
        <f>'Audit Report'!C1003</f>
        <v>0</v>
      </c>
      <c r="I1003">
        <f>'Audit Report'!D1003</f>
        <v>0</v>
      </c>
      <c r="J1003">
        <f>'Audit Report'!H1003</f>
        <v>0</v>
      </c>
      <c r="L1003" t="str">
        <f>_xlfn.TEXTJOIN(", ", FALSE, 'Audit Report'!K1003,'Audit Report'!L1003,'Audit Report'!M1003)</f>
        <v xml:space="preserve">, , </v>
      </c>
      <c r="M1003">
        <f>'Audit Report'!O1003</f>
        <v>0</v>
      </c>
      <c r="N1003" t="str" cm="1">
        <f t="array" ref="N1003">IF(M1003="","",
_xlfn.TEXTJOIN(", ",TRUE,
    _xlfn.MAP(_xlfn.TEXTSPLIT(M1003,","),_xlfn.LAMBDA(_xlpm.x,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3">
        <f>'Audit Report'!F1003</f>
        <v>0</v>
      </c>
      <c r="S1003">
        <f>'Audit Report'!Q1003</f>
        <v>0</v>
      </c>
    </row>
    <row r="1004" spans="4:19">
      <c r="D1004">
        <f>'Audit Report'!B1004</f>
        <v>0</v>
      </c>
      <c r="E1004">
        <f>'Audit Report'!C1004</f>
        <v>0</v>
      </c>
      <c r="I1004">
        <f>'Audit Report'!D1004</f>
        <v>0</v>
      </c>
      <c r="J1004">
        <f>'Audit Report'!H1004</f>
        <v>0</v>
      </c>
      <c r="L1004" t="str">
        <f>_xlfn.TEXTJOIN(", ", FALSE, 'Audit Report'!K1004,'Audit Report'!L1004,'Audit Report'!M1004)</f>
        <v xml:space="preserve">, , </v>
      </c>
      <c r="M1004">
        <f>'Audit Report'!O1004</f>
        <v>0</v>
      </c>
      <c r="N1004" t="str" cm="1">
        <f t="array" ref="N1004">IF(M1004="","",
_xlfn.TEXTJOIN(", ",TRUE,
    _xlfn.MAP(_xlfn.TEXTSPLIT(M1004,","),_xlfn.LAMBDA(_xlpm.x,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4">
        <f>'Audit Report'!F1004</f>
        <v>0</v>
      </c>
      <c r="S1004">
        <f>'Audit Report'!Q1004</f>
        <v>0</v>
      </c>
    </row>
    <row r="1005" spans="4:19">
      <c r="D1005">
        <f>'Audit Report'!B1005</f>
        <v>0</v>
      </c>
      <c r="E1005">
        <f>'Audit Report'!C1005</f>
        <v>0</v>
      </c>
      <c r="I1005">
        <f>'Audit Report'!D1005</f>
        <v>0</v>
      </c>
      <c r="J1005">
        <f>'Audit Report'!H1005</f>
        <v>0</v>
      </c>
      <c r="L1005" t="str">
        <f>_xlfn.TEXTJOIN(", ", FALSE, 'Audit Report'!K1005,'Audit Report'!L1005,'Audit Report'!M1005)</f>
        <v xml:space="preserve">, , </v>
      </c>
      <c r="M1005">
        <f>'Audit Report'!O1005</f>
        <v>0</v>
      </c>
      <c r="N1005" t="str" cm="1">
        <f t="array" ref="N1005">IF(M1005="","",
_xlfn.TEXTJOIN(", ",TRUE,
    _xlfn.MAP(_xlfn.TEXTSPLIT(M1005,","),_xlfn.LAMBDA(_xlpm.x,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5">
        <f>'Audit Report'!F1005</f>
        <v>0</v>
      </c>
      <c r="S1005">
        <f>'Audit Report'!Q1005</f>
        <v>0</v>
      </c>
    </row>
    <row r="1006" spans="4:19">
      <c r="D1006">
        <f>'Audit Report'!B1006</f>
        <v>0</v>
      </c>
      <c r="E1006">
        <f>'Audit Report'!C1006</f>
        <v>0</v>
      </c>
      <c r="I1006">
        <f>'Audit Report'!D1006</f>
        <v>0</v>
      </c>
      <c r="J1006">
        <f>'Audit Report'!H1006</f>
        <v>0</v>
      </c>
      <c r="L1006" t="str">
        <f>_xlfn.TEXTJOIN(", ", FALSE, 'Audit Report'!K1006,'Audit Report'!L1006,'Audit Report'!M1006)</f>
        <v xml:space="preserve">, , </v>
      </c>
      <c r="M1006">
        <f>'Audit Report'!O1006</f>
        <v>0</v>
      </c>
      <c r="N1006" t="str" cm="1">
        <f t="array" ref="N1006">IF(M1006="","",
_xlfn.TEXTJOIN(", ",TRUE,
    _xlfn.MAP(_xlfn.TEXTSPLIT(M1006,","),_xlfn.LAMBDA(_xlpm.x,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6">
        <f>'Audit Report'!F1006</f>
        <v>0</v>
      </c>
      <c r="S1006">
        <f>'Audit Report'!Q1006</f>
        <v>0</v>
      </c>
    </row>
    <row r="1007" spans="4:19">
      <c r="D1007">
        <f>'Audit Report'!B1007</f>
        <v>0</v>
      </c>
      <c r="E1007">
        <f>'Audit Report'!C1007</f>
        <v>0</v>
      </c>
      <c r="I1007">
        <f>'Audit Report'!D1007</f>
        <v>0</v>
      </c>
      <c r="J1007">
        <f>'Audit Report'!H1007</f>
        <v>0</v>
      </c>
      <c r="L1007" t="str">
        <f>_xlfn.TEXTJOIN(", ", FALSE, 'Audit Report'!K1007,'Audit Report'!L1007,'Audit Report'!M1007)</f>
        <v xml:space="preserve">, , </v>
      </c>
      <c r="M1007">
        <f>'Audit Report'!O1007</f>
        <v>0</v>
      </c>
      <c r="N1007" t="str" cm="1">
        <f t="array" ref="N1007">IF(M1007="","",
_xlfn.TEXTJOIN(", ",TRUE,
    _xlfn.MAP(_xlfn.TEXTSPLIT(M1007,","),_xlfn.LAMBDA(_xlpm.x,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7">
        <f>'Audit Report'!F1007</f>
        <v>0</v>
      </c>
      <c r="S1007">
        <f>'Audit Report'!Q1007</f>
        <v>0</v>
      </c>
    </row>
    <row r="1008" spans="4:19">
      <c r="D1008">
        <f>'Audit Report'!B1008</f>
        <v>0</v>
      </c>
      <c r="E1008">
        <f>'Audit Report'!C1008</f>
        <v>0</v>
      </c>
      <c r="I1008">
        <f>'Audit Report'!D1008</f>
        <v>0</v>
      </c>
      <c r="J1008">
        <f>'Audit Report'!H1008</f>
        <v>0</v>
      </c>
      <c r="L1008" t="str">
        <f>_xlfn.TEXTJOIN(", ", FALSE, 'Audit Report'!K1008,'Audit Report'!L1008,'Audit Report'!M1008)</f>
        <v xml:space="preserve">, , </v>
      </c>
      <c r="M1008">
        <f>'Audit Report'!O1008</f>
        <v>0</v>
      </c>
      <c r="N1008" t="str" cm="1">
        <f t="array" ref="N1008">IF(M1008="","",
_xlfn.TEXTJOIN(", ",TRUE,
    _xlfn.MAP(_xlfn.TEXTSPLIT(M1008,","),_xlfn.LAMBDA(_xlpm.x,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8">
        <f>'Audit Report'!F1008</f>
        <v>0</v>
      </c>
      <c r="S1008">
        <f>'Audit Report'!Q1008</f>
        <v>0</v>
      </c>
    </row>
    <row r="1009" spans="4:19">
      <c r="D1009">
        <f>'Audit Report'!B1009</f>
        <v>0</v>
      </c>
      <c r="E1009">
        <f>'Audit Report'!C1009</f>
        <v>0</v>
      </c>
      <c r="I1009">
        <f>'Audit Report'!D1009</f>
        <v>0</v>
      </c>
      <c r="J1009">
        <f>'Audit Report'!H1009</f>
        <v>0</v>
      </c>
      <c r="L1009" t="str">
        <f>_xlfn.TEXTJOIN(", ", FALSE, 'Audit Report'!K1009,'Audit Report'!L1009,'Audit Report'!M1009)</f>
        <v xml:space="preserve">, , </v>
      </c>
      <c r="M1009">
        <f>'Audit Report'!O1009</f>
        <v>0</v>
      </c>
      <c r="N1009" t="str" cm="1">
        <f t="array" ref="N1009">IF(M1009="","",
_xlfn.TEXTJOIN(", ",TRUE,
    _xlfn.MAP(_xlfn.TEXTSPLIT(M1009,","),_xlfn.LAMBDA(_xlpm.x,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9">
        <f>'Audit Report'!F1009</f>
        <v>0</v>
      </c>
      <c r="S1009">
        <f>'Audit Report'!Q1009</f>
        <v>0</v>
      </c>
    </row>
    <row r="1010" spans="4:19">
      <c r="D1010">
        <f>'Audit Report'!B1010</f>
        <v>0</v>
      </c>
      <c r="E1010">
        <f>'Audit Report'!C1010</f>
        <v>0</v>
      </c>
      <c r="I1010">
        <f>'Audit Report'!D1010</f>
        <v>0</v>
      </c>
      <c r="J1010">
        <f>'Audit Report'!H1010</f>
        <v>0</v>
      </c>
      <c r="L1010" t="str">
        <f>_xlfn.TEXTJOIN(", ", FALSE, 'Audit Report'!K1010,'Audit Report'!L1010,'Audit Report'!M1010)</f>
        <v xml:space="preserve">, , </v>
      </c>
      <c r="M1010">
        <f>'Audit Report'!O1010</f>
        <v>0</v>
      </c>
      <c r="N1010" t="str" cm="1">
        <f t="array" ref="N1010">IF(M1010="","",
_xlfn.TEXTJOIN(", ",TRUE,
    _xlfn.MAP(_xlfn.TEXTSPLIT(M1010,","),_xlfn.LAMBDA(_xlpm.x,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0">
        <f>'Audit Report'!F1010</f>
        <v>0</v>
      </c>
      <c r="S1010">
        <f>'Audit Report'!Q1010</f>
        <v>0</v>
      </c>
    </row>
    <row r="1011" spans="4:19">
      <c r="D1011">
        <f>'Audit Report'!B1011</f>
        <v>0</v>
      </c>
      <c r="E1011">
        <f>'Audit Report'!C1011</f>
        <v>0</v>
      </c>
      <c r="I1011">
        <f>'Audit Report'!D1011</f>
        <v>0</v>
      </c>
      <c r="J1011">
        <f>'Audit Report'!H1011</f>
        <v>0</v>
      </c>
      <c r="L1011" t="str">
        <f>_xlfn.TEXTJOIN(", ", FALSE, 'Audit Report'!K1011,'Audit Report'!L1011,'Audit Report'!M1011)</f>
        <v xml:space="preserve">, , </v>
      </c>
      <c r="M1011">
        <f>'Audit Report'!O1011</f>
        <v>0</v>
      </c>
      <c r="N1011" t="str" cm="1">
        <f t="array" ref="N1011">IF(M1011="","",
_xlfn.TEXTJOIN(", ",TRUE,
    _xlfn.MAP(_xlfn.TEXTSPLIT(M1011,","),_xlfn.LAMBDA(_xlpm.x,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1">
        <f>'Audit Report'!F1011</f>
        <v>0</v>
      </c>
      <c r="S1011">
        <f>'Audit Report'!Q1011</f>
        <v>0</v>
      </c>
    </row>
    <row r="1012" spans="4:19">
      <c r="D1012">
        <f>'Audit Report'!B1012</f>
        <v>0</v>
      </c>
      <c r="E1012">
        <f>'Audit Report'!C1012</f>
        <v>0</v>
      </c>
      <c r="I1012">
        <f>'Audit Report'!D1012</f>
        <v>0</v>
      </c>
      <c r="J1012">
        <f>'Audit Report'!H1012</f>
        <v>0</v>
      </c>
      <c r="L1012" t="str">
        <f>_xlfn.TEXTJOIN(", ", FALSE, 'Audit Report'!K1012,'Audit Report'!L1012,'Audit Report'!M1012)</f>
        <v xml:space="preserve">, , </v>
      </c>
      <c r="M1012">
        <f>'Audit Report'!O1012</f>
        <v>0</v>
      </c>
      <c r="N1012" t="str" cm="1">
        <f t="array" ref="N1012">IF(M1012="","",
_xlfn.TEXTJOIN(", ",TRUE,
    _xlfn.MAP(_xlfn.TEXTSPLIT(M1012,","),_xlfn.LAMBDA(_xlpm.x,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2">
        <f>'Audit Report'!F1012</f>
        <v>0</v>
      </c>
      <c r="S1012">
        <f>'Audit Report'!Q1012</f>
        <v>0</v>
      </c>
    </row>
    <row r="1013" spans="4:19">
      <c r="D1013">
        <f>'Audit Report'!B1013</f>
        <v>0</v>
      </c>
      <c r="E1013">
        <f>'Audit Report'!C1013</f>
        <v>0</v>
      </c>
      <c r="I1013">
        <f>'Audit Report'!D1013</f>
        <v>0</v>
      </c>
      <c r="J1013">
        <f>'Audit Report'!H1013</f>
        <v>0</v>
      </c>
      <c r="L1013" t="str">
        <f>_xlfn.TEXTJOIN(", ", FALSE, 'Audit Report'!K1013,'Audit Report'!L1013,'Audit Report'!M1013)</f>
        <v xml:space="preserve">, , </v>
      </c>
      <c r="M1013">
        <f>'Audit Report'!O1013</f>
        <v>0</v>
      </c>
      <c r="N1013" t="str" cm="1">
        <f t="array" ref="N1013">IF(M1013="","",
_xlfn.TEXTJOIN(", ",TRUE,
    _xlfn.MAP(_xlfn.TEXTSPLIT(M1013,","),_xlfn.LAMBDA(_xlpm.x,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3">
        <f>'Audit Report'!F1013</f>
        <v>0</v>
      </c>
      <c r="S1013">
        <f>'Audit Report'!Q1013</f>
        <v>0</v>
      </c>
    </row>
    <row r="1014" spans="4:19">
      <c r="D1014">
        <f>'Audit Report'!B1014</f>
        <v>0</v>
      </c>
      <c r="E1014">
        <f>'Audit Report'!C1014</f>
        <v>0</v>
      </c>
      <c r="I1014">
        <f>'Audit Report'!D1014</f>
        <v>0</v>
      </c>
      <c r="J1014">
        <f>'Audit Report'!H1014</f>
        <v>0</v>
      </c>
      <c r="L1014" t="str">
        <f>_xlfn.TEXTJOIN(", ", FALSE, 'Audit Report'!K1014,'Audit Report'!L1014,'Audit Report'!M1014)</f>
        <v xml:space="preserve">, , </v>
      </c>
      <c r="M1014">
        <f>'Audit Report'!O1014</f>
        <v>0</v>
      </c>
      <c r="N1014" t="str" cm="1">
        <f t="array" ref="N1014">IF(M1014="","",
_xlfn.TEXTJOIN(", ",TRUE,
    _xlfn.MAP(_xlfn.TEXTSPLIT(M1014,","),_xlfn.LAMBDA(_xlpm.x,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4">
        <f>'Audit Report'!F1014</f>
        <v>0</v>
      </c>
      <c r="S1014">
        <f>'Audit Report'!Q1014</f>
        <v>0</v>
      </c>
    </row>
    <row r="1015" spans="4:19">
      <c r="D1015">
        <f>'Audit Report'!B1015</f>
        <v>0</v>
      </c>
      <c r="E1015">
        <f>'Audit Report'!C1015</f>
        <v>0</v>
      </c>
      <c r="I1015">
        <f>'Audit Report'!D1015</f>
        <v>0</v>
      </c>
      <c r="J1015">
        <f>'Audit Report'!H1015</f>
        <v>0</v>
      </c>
      <c r="L1015" t="str">
        <f>_xlfn.TEXTJOIN(", ", FALSE, 'Audit Report'!K1015,'Audit Report'!L1015,'Audit Report'!M1015)</f>
        <v xml:space="preserve">, , </v>
      </c>
      <c r="M1015">
        <f>'Audit Report'!O1015</f>
        <v>0</v>
      </c>
      <c r="N1015" t="str" cm="1">
        <f t="array" ref="N1015">IF(M1015="","",
_xlfn.TEXTJOIN(", ",TRUE,
    _xlfn.MAP(_xlfn.TEXTSPLIT(M1015,","),_xlfn.LAMBDA(_xlpm.x,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5">
        <f>'Audit Report'!F1015</f>
        <v>0</v>
      </c>
      <c r="S1015">
        <f>'Audit Report'!Q1015</f>
        <v>0</v>
      </c>
    </row>
    <row r="1016" spans="4:19">
      <c r="D1016">
        <f>'Audit Report'!B1016</f>
        <v>0</v>
      </c>
      <c r="E1016">
        <f>'Audit Report'!C1016</f>
        <v>0</v>
      </c>
      <c r="I1016">
        <f>'Audit Report'!D1016</f>
        <v>0</v>
      </c>
      <c r="J1016">
        <f>'Audit Report'!H1016</f>
        <v>0</v>
      </c>
      <c r="L1016" t="str">
        <f>_xlfn.TEXTJOIN(", ", FALSE, 'Audit Report'!K1016,'Audit Report'!L1016,'Audit Report'!M1016)</f>
        <v xml:space="preserve">, , </v>
      </c>
      <c r="M1016">
        <f>'Audit Report'!O1016</f>
        <v>0</v>
      </c>
      <c r="N1016" t="str" cm="1">
        <f t="array" ref="N1016">IF(M1016="","",
_xlfn.TEXTJOIN(", ",TRUE,
    _xlfn.MAP(_xlfn.TEXTSPLIT(M1016,","),_xlfn.LAMBDA(_xlpm.x,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6">
        <f>'Audit Report'!F1016</f>
        <v>0</v>
      </c>
      <c r="S1016">
        <f>'Audit Report'!Q1016</f>
        <v>0</v>
      </c>
    </row>
    <row r="1017" spans="4:19">
      <c r="D1017">
        <f>'Audit Report'!B1017</f>
        <v>0</v>
      </c>
      <c r="E1017">
        <f>'Audit Report'!C1017</f>
        <v>0</v>
      </c>
      <c r="I1017">
        <f>'Audit Report'!D1017</f>
        <v>0</v>
      </c>
      <c r="J1017">
        <f>'Audit Report'!H1017</f>
        <v>0</v>
      </c>
      <c r="L1017" t="str">
        <f>_xlfn.TEXTJOIN(", ", FALSE, 'Audit Report'!K1017,'Audit Report'!L1017,'Audit Report'!M1017)</f>
        <v xml:space="preserve">, , </v>
      </c>
      <c r="M1017">
        <f>'Audit Report'!O1017</f>
        <v>0</v>
      </c>
      <c r="N1017" t="str" cm="1">
        <f t="array" ref="N1017">IF(M1017="","",
_xlfn.TEXTJOIN(", ",TRUE,
    _xlfn.MAP(_xlfn.TEXTSPLIT(M1017,","),_xlfn.LAMBDA(_xlpm.x,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7">
        <f>'Audit Report'!F1017</f>
        <v>0</v>
      </c>
      <c r="S1017">
        <f>'Audit Report'!Q1017</f>
        <v>0</v>
      </c>
    </row>
    <row r="1018" spans="4:19">
      <c r="D1018">
        <f>'Audit Report'!B1018</f>
        <v>0</v>
      </c>
      <c r="E1018">
        <f>'Audit Report'!C1018</f>
        <v>0</v>
      </c>
      <c r="I1018">
        <f>'Audit Report'!D1018</f>
        <v>0</v>
      </c>
      <c r="J1018">
        <f>'Audit Report'!H1018</f>
        <v>0</v>
      </c>
      <c r="L1018" t="str">
        <f>_xlfn.TEXTJOIN(", ", FALSE, 'Audit Report'!K1018,'Audit Report'!L1018,'Audit Report'!M1018)</f>
        <v xml:space="preserve">, , </v>
      </c>
      <c r="M1018">
        <f>'Audit Report'!O1018</f>
        <v>0</v>
      </c>
      <c r="N1018" t="str" cm="1">
        <f t="array" ref="N1018">IF(M1018="","",
_xlfn.TEXTJOIN(", ",TRUE,
    _xlfn.MAP(_xlfn.TEXTSPLIT(M1018,","),_xlfn.LAMBDA(_xlpm.x,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8">
        <f>'Audit Report'!F1018</f>
        <v>0</v>
      </c>
      <c r="S1018">
        <f>'Audit Report'!Q1018</f>
        <v>0</v>
      </c>
    </row>
    <row r="1019" spans="4:19">
      <c r="D1019">
        <f>'Audit Report'!B1019</f>
        <v>0</v>
      </c>
      <c r="E1019">
        <f>'Audit Report'!C1019</f>
        <v>0</v>
      </c>
      <c r="I1019">
        <f>'Audit Report'!D1019</f>
        <v>0</v>
      </c>
      <c r="J1019">
        <f>'Audit Report'!H1019</f>
        <v>0</v>
      </c>
      <c r="L1019" t="str">
        <f>_xlfn.TEXTJOIN(", ", FALSE, 'Audit Report'!K1019,'Audit Report'!L1019,'Audit Report'!M1019)</f>
        <v xml:space="preserve">, , </v>
      </c>
      <c r="M1019">
        <f>'Audit Report'!O1019</f>
        <v>0</v>
      </c>
      <c r="N1019" t="str" cm="1">
        <f t="array" ref="N1019">IF(M1019="","",
_xlfn.TEXTJOIN(", ",TRUE,
    _xlfn.MAP(_xlfn.TEXTSPLIT(M1019,","),_xlfn.LAMBDA(_xlpm.x,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9">
        <f>'Audit Report'!F1019</f>
        <v>0</v>
      </c>
      <c r="S1019">
        <f>'Audit Report'!Q1019</f>
        <v>0</v>
      </c>
    </row>
    <row r="1020" spans="4:19">
      <c r="D1020">
        <f>'Audit Report'!B1020</f>
        <v>0</v>
      </c>
      <c r="E1020">
        <f>'Audit Report'!C1020</f>
        <v>0</v>
      </c>
      <c r="I1020">
        <f>'Audit Report'!D1020</f>
        <v>0</v>
      </c>
      <c r="J1020">
        <f>'Audit Report'!H1020</f>
        <v>0</v>
      </c>
      <c r="L1020" t="str">
        <f>_xlfn.TEXTJOIN(", ", FALSE, 'Audit Report'!K1020,'Audit Report'!L1020,'Audit Report'!M1020)</f>
        <v xml:space="preserve">, , </v>
      </c>
      <c r="M1020">
        <f>'Audit Report'!O1020</f>
        <v>0</v>
      </c>
      <c r="N1020" t="str" cm="1">
        <f t="array" ref="N1020">IF(M1020="","",
_xlfn.TEXTJOIN(", ",TRUE,
    _xlfn.MAP(_xlfn.TEXTSPLIT(M1020,","),_xlfn.LAMBDA(_xlpm.x,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0">
        <f>'Audit Report'!F1020</f>
        <v>0</v>
      </c>
      <c r="S1020">
        <f>'Audit Report'!Q1020</f>
        <v>0</v>
      </c>
    </row>
    <row r="1021" spans="4:19">
      <c r="D1021">
        <f>'Audit Report'!B1021</f>
        <v>0</v>
      </c>
      <c r="E1021">
        <f>'Audit Report'!C1021</f>
        <v>0</v>
      </c>
      <c r="I1021">
        <f>'Audit Report'!D1021</f>
        <v>0</v>
      </c>
      <c r="J1021">
        <f>'Audit Report'!H1021</f>
        <v>0</v>
      </c>
      <c r="L1021" t="str">
        <f>_xlfn.TEXTJOIN(", ", FALSE, 'Audit Report'!K1021,'Audit Report'!L1021,'Audit Report'!M1021)</f>
        <v xml:space="preserve">, , </v>
      </c>
      <c r="M1021">
        <f>'Audit Report'!O1021</f>
        <v>0</v>
      </c>
      <c r="N1021" t="str" cm="1">
        <f t="array" ref="N1021">IF(M1021="","",
_xlfn.TEXTJOIN(", ",TRUE,
    _xlfn.MAP(_xlfn.TEXTSPLIT(M1021,","),_xlfn.LAMBDA(_xlpm.x,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1">
        <f>'Audit Report'!F1021</f>
        <v>0</v>
      </c>
      <c r="S1021">
        <f>'Audit Report'!Q1021</f>
        <v>0</v>
      </c>
    </row>
    <row r="1022" spans="4:19">
      <c r="D1022">
        <f>'Audit Report'!B1022</f>
        <v>0</v>
      </c>
      <c r="E1022">
        <f>'Audit Report'!C1022</f>
        <v>0</v>
      </c>
      <c r="I1022">
        <f>'Audit Report'!D1022</f>
        <v>0</v>
      </c>
      <c r="J1022">
        <f>'Audit Report'!H1022</f>
        <v>0</v>
      </c>
      <c r="L1022" t="str">
        <f>_xlfn.TEXTJOIN(", ", FALSE, 'Audit Report'!K1022,'Audit Report'!L1022,'Audit Report'!M1022)</f>
        <v xml:space="preserve">, , </v>
      </c>
      <c r="M1022">
        <f>'Audit Report'!O1022</f>
        <v>0</v>
      </c>
      <c r="N1022" t="str" cm="1">
        <f t="array" ref="N1022">IF(M1022="","",
_xlfn.TEXTJOIN(", ",TRUE,
    _xlfn.MAP(_xlfn.TEXTSPLIT(M1022,","),_xlfn.LAMBDA(_xlpm.x,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2">
        <f>'Audit Report'!F1022</f>
        <v>0</v>
      </c>
      <c r="S1022">
        <f>'Audit Report'!Q1022</f>
        <v>0</v>
      </c>
    </row>
    <row r="1023" spans="4:19">
      <c r="D1023">
        <f>'Audit Report'!B1023</f>
        <v>0</v>
      </c>
      <c r="E1023">
        <f>'Audit Report'!C1023</f>
        <v>0</v>
      </c>
      <c r="I1023">
        <f>'Audit Report'!D1023</f>
        <v>0</v>
      </c>
      <c r="J1023">
        <f>'Audit Report'!H1023</f>
        <v>0</v>
      </c>
      <c r="L1023" t="str">
        <f>_xlfn.TEXTJOIN(", ", FALSE, 'Audit Report'!K1023,'Audit Report'!L1023,'Audit Report'!M1023)</f>
        <v xml:space="preserve">, , </v>
      </c>
      <c r="M1023">
        <f>'Audit Report'!O1023</f>
        <v>0</v>
      </c>
      <c r="N1023" t="str" cm="1">
        <f t="array" ref="N1023">IF(M1023="","",
_xlfn.TEXTJOIN(", ",TRUE,
    _xlfn.MAP(_xlfn.TEXTSPLIT(M1023,","),_xlfn.LAMBDA(_xlpm.x,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3">
        <f>'Audit Report'!F1023</f>
        <v>0</v>
      </c>
      <c r="S1023">
        <f>'Audit Report'!Q1023</f>
        <v>0</v>
      </c>
    </row>
    <row r="1024" spans="4:19">
      <c r="D1024">
        <f>'Audit Report'!B1024</f>
        <v>0</v>
      </c>
      <c r="E1024">
        <f>'Audit Report'!C1024</f>
        <v>0</v>
      </c>
      <c r="I1024">
        <f>'Audit Report'!D1024</f>
        <v>0</v>
      </c>
      <c r="J1024">
        <f>'Audit Report'!H1024</f>
        <v>0</v>
      </c>
      <c r="L1024" t="str">
        <f>_xlfn.TEXTJOIN(", ", FALSE, 'Audit Report'!K1024,'Audit Report'!L1024,'Audit Report'!M1024)</f>
        <v xml:space="preserve">, , </v>
      </c>
      <c r="M1024">
        <f>'Audit Report'!O1024</f>
        <v>0</v>
      </c>
      <c r="N1024" t="str" cm="1">
        <f t="array" ref="N1024">IF(M1024="","",
_xlfn.TEXTJOIN(", ",TRUE,
    _xlfn.MAP(_xlfn.TEXTSPLIT(M1024,","),_xlfn.LAMBDA(_xlpm.x,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4">
        <f>'Audit Report'!F1024</f>
        <v>0</v>
      </c>
      <c r="S1024">
        <f>'Audit Report'!Q1024</f>
        <v>0</v>
      </c>
    </row>
    <row r="1025" spans="4:19">
      <c r="D1025">
        <f>'Audit Report'!B1025</f>
        <v>0</v>
      </c>
      <c r="E1025">
        <f>'Audit Report'!C1025</f>
        <v>0</v>
      </c>
      <c r="I1025">
        <f>'Audit Report'!D1025</f>
        <v>0</v>
      </c>
      <c r="J1025">
        <f>'Audit Report'!H1025</f>
        <v>0</v>
      </c>
      <c r="L1025" t="str">
        <f>_xlfn.TEXTJOIN(", ", FALSE, 'Audit Report'!K1025,'Audit Report'!L1025,'Audit Report'!M1025)</f>
        <v xml:space="preserve">, , </v>
      </c>
      <c r="M1025">
        <f>'Audit Report'!O1025</f>
        <v>0</v>
      </c>
      <c r="N1025" t="str" cm="1">
        <f t="array" ref="N1025">IF(M1025="","",
_xlfn.TEXTJOIN(", ",TRUE,
    _xlfn.MAP(_xlfn.TEXTSPLIT(M1025,","),_xlfn.LAMBDA(_xlpm.x,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5">
        <f>'Audit Report'!F1025</f>
        <v>0</v>
      </c>
      <c r="S1025">
        <f>'Audit Report'!Q1025</f>
        <v>0</v>
      </c>
    </row>
    <row r="1026" spans="4:19">
      <c r="D1026">
        <f>'Audit Report'!B1026</f>
        <v>0</v>
      </c>
      <c r="E1026">
        <f>'Audit Report'!C1026</f>
        <v>0</v>
      </c>
      <c r="I1026">
        <f>'Audit Report'!D1026</f>
        <v>0</v>
      </c>
      <c r="J1026">
        <f>'Audit Report'!H1026</f>
        <v>0</v>
      </c>
      <c r="L1026" t="str">
        <f>_xlfn.TEXTJOIN(", ", FALSE, 'Audit Report'!K1026,'Audit Report'!L1026,'Audit Report'!M1026)</f>
        <v xml:space="preserve">, , </v>
      </c>
      <c r="M1026">
        <f>'Audit Report'!O1026</f>
        <v>0</v>
      </c>
      <c r="N1026" t="str" cm="1">
        <f t="array" ref="N1026">IF(M1026="","",
_xlfn.TEXTJOIN(", ",TRUE,
    _xlfn.MAP(_xlfn.TEXTSPLIT(M1026,","),_xlfn.LAMBDA(_xlpm.x,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6">
        <f>'Audit Report'!F1026</f>
        <v>0</v>
      </c>
      <c r="S1026">
        <f>'Audit Report'!Q1026</f>
        <v>0</v>
      </c>
    </row>
    <row r="1027" spans="4:19">
      <c r="D1027">
        <f>'Audit Report'!B1027</f>
        <v>0</v>
      </c>
      <c r="E1027">
        <f>'Audit Report'!C1027</f>
        <v>0</v>
      </c>
      <c r="I1027">
        <f>'Audit Report'!D1027</f>
        <v>0</v>
      </c>
      <c r="J1027">
        <f>'Audit Report'!H1027</f>
        <v>0</v>
      </c>
      <c r="L1027" t="str">
        <f>_xlfn.TEXTJOIN(", ", FALSE, 'Audit Report'!K1027,'Audit Report'!L1027,'Audit Report'!M1027)</f>
        <v xml:space="preserve">, , </v>
      </c>
      <c r="M1027">
        <f>'Audit Report'!O1027</f>
        <v>0</v>
      </c>
      <c r="N1027" t="str" cm="1">
        <f t="array" ref="N1027">IF(M1027="","",
_xlfn.TEXTJOIN(", ",TRUE,
    _xlfn.MAP(_xlfn.TEXTSPLIT(M1027,","),_xlfn.LAMBDA(_xlpm.x,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7">
        <f>'Audit Report'!F1027</f>
        <v>0</v>
      </c>
      <c r="S1027">
        <f>'Audit Report'!Q1027</f>
        <v>0</v>
      </c>
    </row>
    <row r="1028" spans="4:19">
      <c r="D1028">
        <f>'Audit Report'!B1028</f>
        <v>0</v>
      </c>
      <c r="E1028">
        <f>'Audit Report'!C1028</f>
        <v>0</v>
      </c>
      <c r="I1028">
        <f>'Audit Report'!D1028</f>
        <v>0</v>
      </c>
      <c r="J1028">
        <f>'Audit Report'!H1028</f>
        <v>0</v>
      </c>
      <c r="L1028" t="str">
        <f>_xlfn.TEXTJOIN(", ", FALSE, 'Audit Report'!K1028,'Audit Report'!L1028,'Audit Report'!M1028)</f>
        <v xml:space="preserve">, , </v>
      </c>
      <c r="M1028">
        <f>'Audit Report'!O1028</f>
        <v>0</v>
      </c>
      <c r="N1028" t="str" cm="1">
        <f t="array" ref="N1028">IF(M1028="","",
_xlfn.TEXTJOIN(", ",TRUE,
    _xlfn.MAP(_xlfn.TEXTSPLIT(M1028,","),_xlfn.LAMBDA(_xlpm.x,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8">
        <f>'Audit Report'!F1028</f>
        <v>0</v>
      </c>
      <c r="S1028">
        <f>'Audit Report'!Q1028</f>
        <v>0</v>
      </c>
    </row>
    <row r="1029" spans="4:19">
      <c r="D1029">
        <f>'Audit Report'!B1029</f>
        <v>0</v>
      </c>
      <c r="E1029">
        <f>'Audit Report'!C1029</f>
        <v>0</v>
      </c>
      <c r="I1029">
        <f>'Audit Report'!D1029</f>
        <v>0</v>
      </c>
      <c r="J1029">
        <f>'Audit Report'!H1029</f>
        <v>0</v>
      </c>
      <c r="L1029" t="str">
        <f>_xlfn.TEXTJOIN(", ", FALSE, 'Audit Report'!K1029,'Audit Report'!L1029,'Audit Report'!M1029)</f>
        <v xml:space="preserve">, , </v>
      </c>
      <c r="M1029">
        <f>'Audit Report'!O1029</f>
        <v>0</v>
      </c>
      <c r="N1029" t="str" cm="1">
        <f t="array" ref="N1029">IF(M1029="","",
_xlfn.TEXTJOIN(", ",TRUE,
    _xlfn.MAP(_xlfn.TEXTSPLIT(M1029,","),_xlfn.LAMBDA(_xlpm.x,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9">
        <f>'Audit Report'!F1029</f>
        <v>0</v>
      </c>
      <c r="S1029">
        <f>'Audit Report'!Q1029</f>
        <v>0</v>
      </c>
    </row>
    <row r="1030" spans="4:19">
      <c r="D1030">
        <f>'Audit Report'!B1030</f>
        <v>0</v>
      </c>
      <c r="E1030">
        <f>'Audit Report'!C1030</f>
        <v>0</v>
      </c>
      <c r="I1030">
        <f>'Audit Report'!D1030</f>
        <v>0</v>
      </c>
      <c r="J1030">
        <f>'Audit Report'!H1030</f>
        <v>0</v>
      </c>
      <c r="L1030" t="str">
        <f>_xlfn.TEXTJOIN(", ", FALSE, 'Audit Report'!K1030,'Audit Report'!L1030,'Audit Report'!M1030)</f>
        <v xml:space="preserve">, , </v>
      </c>
      <c r="M1030">
        <f>'Audit Report'!O1030</f>
        <v>0</v>
      </c>
      <c r="N1030" t="str" cm="1">
        <f t="array" ref="N1030">IF(M1030="","",
_xlfn.TEXTJOIN(", ",TRUE,
    _xlfn.MAP(_xlfn.TEXTSPLIT(M1030,","),_xlfn.LAMBDA(_xlpm.x,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0">
        <f>'Audit Report'!F1030</f>
        <v>0</v>
      </c>
      <c r="S1030">
        <f>'Audit Report'!Q1030</f>
        <v>0</v>
      </c>
    </row>
    <row r="1031" spans="4:19">
      <c r="D1031">
        <f>'Audit Report'!B1031</f>
        <v>0</v>
      </c>
      <c r="E1031">
        <f>'Audit Report'!C1031</f>
        <v>0</v>
      </c>
      <c r="I1031">
        <f>'Audit Report'!D1031</f>
        <v>0</v>
      </c>
      <c r="J1031">
        <f>'Audit Report'!H1031</f>
        <v>0</v>
      </c>
      <c r="L1031" t="str">
        <f>_xlfn.TEXTJOIN(", ", FALSE, 'Audit Report'!K1031,'Audit Report'!L1031,'Audit Report'!M1031)</f>
        <v xml:space="preserve">, , </v>
      </c>
      <c r="M1031">
        <f>'Audit Report'!O1031</f>
        <v>0</v>
      </c>
      <c r="N1031" t="str" cm="1">
        <f t="array" ref="N1031">IF(M1031="","",
_xlfn.TEXTJOIN(", ",TRUE,
    _xlfn.MAP(_xlfn.TEXTSPLIT(M1031,","),_xlfn.LAMBDA(_xlpm.x,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1">
        <f>'Audit Report'!F1031</f>
        <v>0</v>
      </c>
      <c r="S1031">
        <f>'Audit Report'!Q1031</f>
        <v>0</v>
      </c>
    </row>
    <row r="1032" spans="4:19">
      <c r="D1032">
        <f>'Audit Report'!B1032</f>
        <v>0</v>
      </c>
      <c r="E1032">
        <f>'Audit Report'!C1032</f>
        <v>0</v>
      </c>
      <c r="I1032">
        <f>'Audit Report'!D1032</f>
        <v>0</v>
      </c>
      <c r="J1032">
        <f>'Audit Report'!H1032</f>
        <v>0</v>
      </c>
      <c r="L1032" t="str">
        <f>_xlfn.TEXTJOIN(", ", FALSE, 'Audit Report'!K1032,'Audit Report'!L1032,'Audit Report'!M1032)</f>
        <v xml:space="preserve">, , </v>
      </c>
      <c r="M1032">
        <f>'Audit Report'!O1032</f>
        <v>0</v>
      </c>
      <c r="N1032" t="str" cm="1">
        <f t="array" ref="N1032">IF(M1032="","",
_xlfn.TEXTJOIN(", ",TRUE,
    _xlfn.MAP(_xlfn.TEXTSPLIT(M1032,","),_xlfn.LAMBDA(_xlpm.x,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2">
        <f>'Audit Report'!F1032</f>
        <v>0</v>
      </c>
      <c r="S1032">
        <f>'Audit Report'!Q1032</f>
        <v>0</v>
      </c>
    </row>
    <row r="1033" spans="4:19">
      <c r="D1033">
        <f>'Audit Report'!B1033</f>
        <v>0</v>
      </c>
      <c r="E1033">
        <f>'Audit Report'!C1033</f>
        <v>0</v>
      </c>
      <c r="I1033">
        <f>'Audit Report'!D1033</f>
        <v>0</v>
      </c>
      <c r="J1033">
        <f>'Audit Report'!H1033</f>
        <v>0</v>
      </c>
      <c r="L1033" t="str">
        <f>_xlfn.TEXTJOIN(", ", FALSE, 'Audit Report'!K1033,'Audit Report'!L1033,'Audit Report'!M1033)</f>
        <v xml:space="preserve">, , </v>
      </c>
      <c r="M1033">
        <f>'Audit Report'!O1033</f>
        <v>0</v>
      </c>
      <c r="N1033" t="str" cm="1">
        <f t="array" ref="N1033">IF(M1033="","",
_xlfn.TEXTJOIN(", ",TRUE,
    _xlfn.MAP(_xlfn.TEXTSPLIT(M1033,","),_xlfn.LAMBDA(_xlpm.x,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3">
        <f>'Audit Report'!F1033</f>
        <v>0</v>
      </c>
      <c r="S1033">
        <f>'Audit Report'!Q1033</f>
        <v>0</v>
      </c>
    </row>
    <row r="1034" spans="4:19">
      <c r="D1034">
        <f>'Audit Report'!B1034</f>
        <v>0</v>
      </c>
      <c r="E1034">
        <f>'Audit Report'!C1034</f>
        <v>0</v>
      </c>
      <c r="I1034">
        <f>'Audit Report'!D1034</f>
        <v>0</v>
      </c>
      <c r="J1034">
        <f>'Audit Report'!H1034</f>
        <v>0</v>
      </c>
      <c r="L1034" t="str">
        <f>_xlfn.TEXTJOIN(", ", FALSE, 'Audit Report'!K1034,'Audit Report'!L1034,'Audit Report'!M1034)</f>
        <v xml:space="preserve">, , </v>
      </c>
      <c r="M1034">
        <f>'Audit Report'!O1034</f>
        <v>0</v>
      </c>
      <c r="N1034" t="str" cm="1">
        <f t="array" ref="N1034">IF(M1034="","",
_xlfn.TEXTJOIN(", ",TRUE,
    _xlfn.MAP(_xlfn.TEXTSPLIT(M1034,","),_xlfn.LAMBDA(_xlpm.x,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4">
        <f>'Audit Report'!F1034</f>
        <v>0</v>
      </c>
      <c r="S1034">
        <f>'Audit Report'!Q1034</f>
        <v>0</v>
      </c>
    </row>
    <row r="1035" spans="4:19">
      <c r="D1035">
        <f>'Audit Report'!B1035</f>
        <v>0</v>
      </c>
      <c r="E1035">
        <f>'Audit Report'!C1035</f>
        <v>0</v>
      </c>
      <c r="I1035">
        <f>'Audit Report'!D1035</f>
        <v>0</v>
      </c>
      <c r="J1035">
        <f>'Audit Report'!H1035</f>
        <v>0</v>
      </c>
      <c r="L1035" t="str">
        <f>_xlfn.TEXTJOIN(", ", FALSE, 'Audit Report'!K1035,'Audit Report'!L1035,'Audit Report'!M1035)</f>
        <v xml:space="preserve">, , </v>
      </c>
      <c r="M1035">
        <f>'Audit Report'!O1035</f>
        <v>0</v>
      </c>
      <c r="N1035" t="str" cm="1">
        <f t="array" ref="N1035">IF(M1035="","",
_xlfn.TEXTJOIN(", ",TRUE,
    _xlfn.MAP(_xlfn.TEXTSPLIT(M1035,","),_xlfn.LAMBDA(_xlpm.x,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5">
        <f>'Audit Report'!F1035</f>
        <v>0</v>
      </c>
      <c r="S1035">
        <f>'Audit Report'!Q1035</f>
        <v>0</v>
      </c>
    </row>
    <row r="1036" spans="4:19">
      <c r="D1036">
        <f>'Audit Report'!B1036</f>
        <v>0</v>
      </c>
      <c r="E1036">
        <f>'Audit Report'!C1036</f>
        <v>0</v>
      </c>
      <c r="I1036">
        <f>'Audit Report'!D1036</f>
        <v>0</v>
      </c>
      <c r="J1036">
        <f>'Audit Report'!H1036</f>
        <v>0</v>
      </c>
      <c r="L1036" t="str">
        <f>_xlfn.TEXTJOIN(", ", FALSE, 'Audit Report'!K1036,'Audit Report'!L1036,'Audit Report'!M1036)</f>
        <v xml:space="preserve">, , </v>
      </c>
      <c r="M1036">
        <f>'Audit Report'!O1036</f>
        <v>0</v>
      </c>
      <c r="N1036" t="str" cm="1">
        <f t="array" ref="N1036">IF(M1036="","",
_xlfn.TEXTJOIN(", ",TRUE,
    _xlfn.MAP(_xlfn.TEXTSPLIT(M1036,","),_xlfn.LAMBDA(_xlpm.x,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6">
        <f>'Audit Report'!F1036</f>
        <v>0</v>
      </c>
      <c r="S1036">
        <f>'Audit Report'!Q1036</f>
        <v>0</v>
      </c>
    </row>
    <row r="1037" spans="4:19">
      <c r="D1037">
        <f>'Audit Report'!B1037</f>
        <v>0</v>
      </c>
      <c r="E1037">
        <f>'Audit Report'!C1037</f>
        <v>0</v>
      </c>
      <c r="I1037">
        <f>'Audit Report'!D1037</f>
        <v>0</v>
      </c>
      <c r="J1037">
        <f>'Audit Report'!H1037</f>
        <v>0</v>
      </c>
      <c r="L1037" t="str">
        <f>_xlfn.TEXTJOIN(", ", FALSE, 'Audit Report'!K1037,'Audit Report'!L1037,'Audit Report'!M1037)</f>
        <v xml:space="preserve">, , </v>
      </c>
      <c r="M1037">
        <f>'Audit Report'!O1037</f>
        <v>0</v>
      </c>
      <c r="N1037" t="str" cm="1">
        <f t="array" ref="N1037">IF(M1037="","",
_xlfn.TEXTJOIN(", ",TRUE,
    _xlfn.MAP(_xlfn.TEXTSPLIT(M1037,","),_xlfn.LAMBDA(_xlpm.x,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7">
        <f>'Audit Report'!F1037</f>
        <v>0</v>
      </c>
      <c r="S1037">
        <f>'Audit Report'!Q1037</f>
        <v>0</v>
      </c>
    </row>
    <row r="1038" spans="4:19">
      <c r="D1038">
        <f>'Audit Report'!B1038</f>
        <v>0</v>
      </c>
      <c r="E1038">
        <f>'Audit Report'!C1038</f>
        <v>0</v>
      </c>
      <c r="I1038">
        <f>'Audit Report'!D1038</f>
        <v>0</v>
      </c>
      <c r="J1038">
        <f>'Audit Report'!H1038</f>
        <v>0</v>
      </c>
      <c r="L1038" t="str">
        <f>_xlfn.TEXTJOIN(", ", FALSE, 'Audit Report'!K1038,'Audit Report'!L1038,'Audit Report'!M1038)</f>
        <v xml:space="preserve">, , </v>
      </c>
      <c r="M1038">
        <f>'Audit Report'!O1038</f>
        <v>0</v>
      </c>
      <c r="N1038" t="str" cm="1">
        <f t="array" ref="N1038">IF(M1038="","",
_xlfn.TEXTJOIN(", ",TRUE,
    _xlfn.MAP(_xlfn.TEXTSPLIT(M1038,","),_xlfn.LAMBDA(_xlpm.x,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8">
        <f>'Audit Report'!F1038</f>
        <v>0</v>
      </c>
      <c r="S1038">
        <f>'Audit Report'!Q1038</f>
        <v>0</v>
      </c>
    </row>
    <row r="1039" spans="4:19">
      <c r="D1039">
        <f>'Audit Report'!B1039</f>
        <v>0</v>
      </c>
      <c r="E1039">
        <f>'Audit Report'!C1039</f>
        <v>0</v>
      </c>
      <c r="I1039">
        <f>'Audit Report'!D1039</f>
        <v>0</v>
      </c>
      <c r="J1039">
        <f>'Audit Report'!H1039</f>
        <v>0</v>
      </c>
      <c r="L1039" t="str">
        <f>_xlfn.TEXTJOIN(", ", FALSE, 'Audit Report'!K1039,'Audit Report'!L1039,'Audit Report'!M1039)</f>
        <v xml:space="preserve">, , </v>
      </c>
      <c r="M1039">
        <f>'Audit Report'!O1039</f>
        <v>0</v>
      </c>
      <c r="N1039" t="str" cm="1">
        <f t="array" ref="N1039">IF(M1039="","",
_xlfn.TEXTJOIN(", ",TRUE,
    _xlfn.MAP(_xlfn.TEXTSPLIT(M1039,","),_xlfn.LAMBDA(_xlpm.x,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9">
        <f>'Audit Report'!F1039</f>
        <v>0</v>
      </c>
      <c r="S1039">
        <f>'Audit Report'!Q1039</f>
        <v>0</v>
      </c>
    </row>
    <row r="1040" spans="4:19">
      <c r="D1040">
        <f>'Audit Report'!B1040</f>
        <v>0</v>
      </c>
      <c r="E1040">
        <f>'Audit Report'!C1040</f>
        <v>0</v>
      </c>
      <c r="I1040">
        <f>'Audit Report'!D1040</f>
        <v>0</v>
      </c>
      <c r="J1040">
        <f>'Audit Report'!H1040</f>
        <v>0</v>
      </c>
      <c r="L1040" t="str">
        <f>_xlfn.TEXTJOIN(", ", FALSE, 'Audit Report'!K1040,'Audit Report'!L1040,'Audit Report'!M1040)</f>
        <v xml:space="preserve">, , </v>
      </c>
      <c r="M1040">
        <f>'Audit Report'!O1040</f>
        <v>0</v>
      </c>
      <c r="N1040" t="str" cm="1">
        <f t="array" ref="N1040">IF(M1040="","",
_xlfn.TEXTJOIN(", ",TRUE,
    _xlfn.MAP(_xlfn.TEXTSPLIT(M1040,","),_xlfn.LAMBDA(_xlpm.x,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0">
        <f>'Audit Report'!F1040</f>
        <v>0</v>
      </c>
      <c r="S1040">
        <f>'Audit Report'!Q1040</f>
        <v>0</v>
      </c>
    </row>
    <row r="1041" spans="4:19">
      <c r="D1041">
        <f>'Audit Report'!B1041</f>
        <v>0</v>
      </c>
      <c r="E1041">
        <f>'Audit Report'!C1041</f>
        <v>0</v>
      </c>
      <c r="I1041">
        <f>'Audit Report'!D1041</f>
        <v>0</v>
      </c>
      <c r="J1041">
        <f>'Audit Report'!H1041</f>
        <v>0</v>
      </c>
      <c r="L1041" t="str">
        <f>_xlfn.TEXTJOIN(", ", FALSE, 'Audit Report'!K1041,'Audit Report'!L1041,'Audit Report'!M1041)</f>
        <v xml:space="preserve">, , </v>
      </c>
      <c r="M1041">
        <f>'Audit Report'!O1041</f>
        <v>0</v>
      </c>
      <c r="N1041" t="str" cm="1">
        <f t="array" ref="N1041">IF(M1041="","",
_xlfn.TEXTJOIN(", ",TRUE,
    _xlfn.MAP(_xlfn.TEXTSPLIT(M1041,","),_xlfn.LAMBDA(_xlpm.x,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1">
        <f>'Audit Report'!F1041</f>
        <v>0</v>
      </c>
      <c r="S1041">
        <f>'Audit Report'!Q1041</f>
        <v>0</v>
      </c>
    </row>
    <row r="1042" spans="4:19">
      <c r="D1042">
        <f>'Audit Report'!B1042</f>
        <v>0</v>
      </c>
      <c r="E1042">
        <f>'Audit Report'!C1042</f>
        <v>0</v>
      </c>
      <c r="I1042">
        <f>'Audit Report'!D1042</f>
        <v>0</v>
      </c>
      <c r="J1042">
        <f>'Audit Report'!H1042</f>
        <v>0</v>
      </c>
      <c r="L1042" t="str">
        <f>_xlfn.TEXTJOIN(", ", FALSE, 'Audit Report'!K1042,'Audit Report'!L1042,'Audit Report'!M1042)</f>
        <v xml:space="preserve">, , </v>
      </c>
      <c r="M1042">
        <f>'Audit Report'!O1042</f>
        <v>0</v>
      </c>
      <c r="N1042" t="str" cm="1">
        <f t="array" ref="N1042">IF(M1042="","",
_xlfn.TEXTJOIN(", ",TRUE,
    _xlfn.MAP(_xlfn.TEXTSPLIT(M1042,","),_xlfn.LAMBDA(_xlpm.x,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2">
        <f>'Audit Report'!F1042</f>
        <v>0</v>
      </c>
      <c r="S1042">
        <f>'Audit Report'!Q1042</f>
        <v>0</v>
      </c>
    </row>
    <row r="1043" spans="4:19">
      <c r="D1043">
        <f>'Audit Report'!B1043</f>
        <v>0</v>
      </c>
      <c r="E1043">
        <f>'Audit Report'!C1043</f>
        <v>0</v>
      </c>
      <c r="I1043">
        <f>'Audit Report'!D1043</f>
        <v>0</v>
      </c>
      <c r="J1043">
        <f>'Audit Report'!H1043</f>
        <v>0</v>
      </c>
      <c r="L1043" t="str">
        <f>_xlfn.TEXTJOIN(", ", FALSE, 'Audit Report'!K1043,'Audit Report'!L1043,'Audit Report'!M1043)</f>
        <v xml:space="preserve">, , </v>
      </c>
      <c r="M1043">
        <f>'Audit Report'!O1043</f>
        <v>0</v>
      </c>
      <c r="N1043" t="str" cm="1">
        <f t="array" ref="N1043">IF(M1043="","",
_xlfn.TEXTJOIN(", ",TRUE,
    _xlfn.MAP(_xlfn.TEXTSPLIT(M1043,","),_xlfn.LAMBDA(_xlpm.x,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3">
        <f>'Audit Report'!F1043</f>
        <v>0</v>
      </c>
      <c r="S1043">
        <f>'Audit Report'!Q1043</f>
        <v>0</v>
      </c>
    </row>
    <row r="1044" spans="4:19">
      <c r="D1044">
        <f>'Audit Report'!B1044</f>
        <v>0</v>
      </c>
      <c r="E1044">
        <f>'Audit Report'!C1044</f>
        <v>0</v>
      </c>
      <c r="I1044">
        <f>'Audit Report'!D1044</f>
        <v>0</v>
      </c>
      <c r="J1044">
        <f>'Audit Report'!H1044</f>
        <v>0</v>
      </c>
      <c r="L1044" t="str">
        <f>_xlfn.TEXTJOIN(", ", FALSE, 'Audit Report'!K1044,'Audit Report'!L1044,'Audit Report'!M1044)</f>
        <v xml:space="preserve">, , </v>
      </c>
      <c r="M1044">
        <f>'Audit Report'!O1044</f>
        <v>0</v>
      </c>
      <c r="N1044" t="str" cm="1">
        <f t="array" ref="N1044">IF(M1044="","",
_xlfn.TEXTJOIN(", ",TRUE,
    _xlfn.MAP(_xlfn.TEXTSPLIT(M1044,","),_xlfn.LAMBDA(_xlpm.x,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4">
        <f>'Audit Report'!F1044</f>
        <v>0</v>
      </c>
      <c r="S1044">
        <f>'Audit Report'!Q1044</f>
        <v>0</v>
      </c>
    </row>
    <row r="1045" spans="4:19">
      <c r="D1045">
        <f>'Audit Report'!B1045</f>
        <v>0</v>
      </c>
      <c r="E1045">
        <f>'Audit Report'!C1045</f>
        <v>0</v>
      </c>
      <c r="I1045">
        <f>'Audit Report'!D1045</f>
        <v>0</v>
      </c>
      <c r="J1045">
        <f>'Audit Report'!H1045</f>
        <v>0</v>
      </c>
      <c r="L1045" t="str">
        <f>_xlfn.TEXTJOIN(", ", FALSE, 'Audit Report'!K1045,'Audit Report'!L1045,'Audit Report'!M1045)</f>
        <v xml:space="preserve">, , </v>
      </c>
      <c r="M1045">
        <f>'Audit Report'!O1045</f>
        <v>0</v>
      </c>
      <c r="N1045" t="str" cm="1">
        <f t="array" ref="N1045">IF(M1045="","",
_xlfn.TEXTJOIN(", ",TRUE,
    _xlfn.MAP(_xlfn.TEXTSPLIT(M1045,","),_xlfn.LAMBDA(_xlpm.x,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5">
        <f>'Audit Report'!F1045</f>
        <v>0</v>
      </c>
      <c r="S1045">
        <f>'Audit Report'!Q1045</f>
        <v>0</v>
      </c>
    </row>
    <row r="1046" spans="4:19">
      <c r="D1046">
        <f>'Audit Report'!B1046</f>
        <v>0</v>
      </c>
      <c r="E1046">
        <f>'Audit Report'!C1046</f>
        <v>0</v>
      </c>
      <c r="I1046">
        <f>'Audit Report'!D1046</f>
        <v>0</v>
      </c>
      <c r="J1046">
        <f>'Audit Report'!H1046</f>
        <v>0</v>
      </c>
      <c r="L1046" t="str">
        <f>_xlfn.TEXTJOIN(", ", FALSE, 'Audit Report'!K1046,'Audit Report'!L1046,'Audit Report'!M1046)</f>
        <v xml:space="preserve">, , </v>
      </c>
      <c r="M1046">
        <f>'Audit Report'!O1046</f>
        <v>0</v>
      </c>
      <c r="N1046" t="str" cm="1">
        <f t="array" ref="N1046">IF(M1046="","",
_xlfn.TEXTJOIN(", ",TRUE,
    _xlfn.MAP(_xlfn.TEXTSPLIT(M1046,","),_xlfn.LAMBDA(_xlpm.x,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6">
        <f>'Audit Report'!F1046</f>
        <v>0</v>
      </c>
      <c r="S1046">
        <f>'Audit Report'!Q1046</f>
        <v>0</v>
      </c>
    </row>
    <row r="1047" spans="4:19">
      <c r="D1047">
        <f>'Audit Report'!B1047</f>
        <v>0</v>
      </c>
      <c r="E1047">
        <f>'Audit Report'!C1047</f>
        <v>0</v>
      </c>
      <c r="I1047">
        <f>'Audit Report'!D1047</f>
        <v>0</v>
      </c>
      <c r="J1047">
        <f>'Audit Report'!H1047</f>
        <v>0</v>
      </c>
      <c r="L1047" t="str">
        <f>_xlfn.TEXTJOIN(", ", FALSE, 'Audit Report'!K1047,'Audit Report'!L1047,'Audit Report'!M1047)</f>
        <v xml:space="preserve">, , </v>
      </c>
      <c r="M1047">
        <f>'Audit Report'!O1047</f>
        <v>0</v>
      </c>
      <c r="N1047" t="str" cm="1">
        <f t="array" ref="N1047">IF(M1047="","",
_xlfn.TEXTJOIN(", ",TRUE,
    _xlfn.MAP(_xlfn.TEXTSPLIT(M1047,","),_xlfn.LAMBDA(_xlpm.x,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7">
        <f>'Audit Report'!F1047</f>
        <v>0</v>
      </c>
      <c r="S1047">
        <f>'Audit Report'!Q1047</f>
        <v>0</v>
      </c>
    </row>
    <row r="1048" spans="4:19">
      <c r="D1048">
        <f>'Audit Report'!B1048</f>
        <v>0</v>
      </c>
      <c r="E1048">
        <f>'Audit Report'!C1048</f>
        <v>0</v>
      </c>
      <c r="I1048">
        <f>'Audit Report'!D1048</f>
        <v>0</v>
      </c>
      <c r="J1048">
        <f>'Audit Report'!H1048</f>
        <v>0</v>
      </c>
      <c r="L1048" t="str">
        <f>_xlfn.TEXTJOIN(", ", FALSE, 'Audit Report'!K1048,'Audit Report'!L1048,'Audit Report'!M1048)</f>
        <v xml:space="preserve">, , </v>
      </c>
      <c r="M1048">
        <f>'Audit Report'!O1048</f>
        <v>0</v>
      </c>
      <c r="N1048" t="str" cm="1">
        <f t="array" ref="N1048">IF(M1048="","",
_xlfn.TEXTJOIN(", ",TRUE,
    _xlfn.MAP(_xlfn.TEXTSPLIT(M1048,","),_xlfn.LAMBDA(_xlpm.x,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8">
        <f>'Audit Report'!F1048</f>
        <v>0</v>
      </c>
      <c r="S1048">
        <f>'Audit Report'!Q1048</f>
        <v>0</v>
      </c>
    </row>
    <row r="1049" spans="4:19">
      <c r="D1049">
        <f>'Audit Report'!B1049</f>
        <v>0</v>
      </c>
      <c r="E1049">
        <f>'Audit Report'!C1049</f>
        <v>0</v>
      </c>
      <c r="I1049">
        <f>'Audit Report'!D1049</f>
        <v>0</v>
      </c>
      <c r="J1049">
        <f>'Audit Report'!H1049</f>
        <v>0</v>
      </c>
      <c r="L1049" t="str">
        <f>_xlfn.TEXTJOIN(", ", FALSE, 'Audit Report'!K1049,'Audit Report'!L1049,'Audit Report'!M1049)</f>
        <v xml:space="preserve">, , </v>
      </c>
      <c r="M1049">
        <f>'Audit Report'!O1049</f>
        <v>0</v>
      </c>
      <c r="N1049" t="str" cm="1">
        <f t="array" ref="N1049">IF(M1049="","",
_xlfn.TEXTJOIN(", ",TRUE,
    _xlfn.MAP(_xlfn.TEXTSPLIT(M1049,","),_xlfn.LAMBDA(_xlpm.x,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9">
        <f>'Audit Report'!F1049</f>
        <v>0</v>
      </c>
      <c r="S1049">
        <f>'Audit Report'!Q1049</f>
        <v>0</v>
      </c>
    </row>
    <row r="1050" spans="4:19">
      <c r="D1050">
        <f>'Audit Report'!B1050</f>
        <v>0</v>
      </c>
      <c r="E1050">
        <f>'Audit Report'!C1050</f>
        <v>0</v>
      </c>
      <c r="I1050">
        <f>'Audit Report'!D1050</f>
        <v>0</v>
      </c>
      <c r="J1050">
        <f>'Audit Report'!H1050</f>
        <v>0</v>
      </c>
      <c r="L1050" t="str">
        <f>_xlfn.TEXTJOIN(", ", FALSE, 'Audit Report'!K1050,'Audit Report'!L1050,'Audit Report'!M1050)</f>
        <v xml:space="preserve">, , </v>
      </c>
      <c r="M1050">
        <f>'Audit Report'!O1050</f>
        <v>0</v>
      </c>
      <c r="N1050" t="str" cm="1">
        <f t="array" ref="N1050">IF(M1050="","",
_xlfn.TEXTJOIN(", ",TRUE,
    _xlfn.MAP(_xlfn.TEXTSPLIT(M1050,","),_xlfn.LAMBDA(_xlpm.x,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0">
        <f>'Audit Report'!F1050</f>
        <v>0</v>
      </c>
      <c r="S1050">
        <f>'Audit Report'!Q1050</f>
        <v>0</v>
      </c>
    </row>
    <row r="1051" spans="4:19">
      <c r="D1051">
        <f>'Audit Report'!B1051</f>
        <v>0</v>
      </c>
      <c r="E1051">
        <f>'Audit Report'!C1051</f>
        <v>0</v>
      </c>
      <c r="I1051">
        <f>'Audit Report'!D1051</f>
        <v>0</v>
      </c>
      <c r="J1051">
        <f>'Audit Report'!H1051</f>
        <v>0</v>
      </c>
      <c r="L1051" t="str">
        <f>_xlfn.TEXTJOIN(", ", FALSE, 'Audit Report'!K1051,'Audit Report'!L1051,'Audit Report'!M1051)</f>
        <v xml:space="preserve">, , </v>
      </c>
      <c r="M1051">
        <f>'Audit Report'!O1051</f>
        <v>0</v>
      </c>
      <c r="N1051" t="str" cm="1">
        <f t="array" ref="N1051">IF(M1051="","",
_xlfn.TEXTJOIN(", ",TRUE,
    _xlfn.MAP(_xlfn.TEXTSPLIT(M1051,","),_xlfn.LAMBDA(_xlpm.x,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1">
        <f>'Audit Report'!F1051</f>
        <v>0</v>
      </c>
      <c r="S1051">
        <f>'Audit Report'!Q1051</f>
        <v>0</v>
      </c>
    </row>
    <row r="1052" spans="4:19">
      <c r="D1052">
        <f>'Audit Report'!B1052</f>
        <v>0</v>
      </c>
      <c r="E1052">
        <f>'Audit Report'!C1052</f>
        <v>0</v>
      </c>
      <c r="I1052">
        <f>'Audit Report'!D1052</f>
        <v>0</v>
      </c>
      <c r="J1052">
        <f>'Audit Report'!H1052</f>
        <v>0</v>
      </c>
      <c r="L1052" t="str">
        <f>_xlfn.TEXTJOIN(", ", FALSE, 'Audit Report'!K1052,'Audit Report'!L1052,'Audit Report'!M1052)</f>
        <v xml:space="preserve">, , </v>
      </c>
      <c r="M1052">
        <f>'Audit Report'!O1052</f>
        <v>0</v>
      </c>
      <c r="N1052" t="str" cm="1">
        <f t="array" ref="N1052">IF(M1052="","",
_xlfn.TEXTJOIN(", ",TRUE,
    _xlfn.MAP(_xlfn.TEXTSPLIT(M1052,","),_xlfn.LAMBDA(_xlpm.x,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2">
        <f>'Audit Report'!F1052</f>
        <v>0</v>
      </c>
      <c r="S1052">
        <f>'Audit Report'!Q1052</f>
        <v>0</v>
      </c>
    </row>
    <row r="1053" spans="4:19">
      <c r="D1053">
        <f>'Audit Report'!B1053</f>
        <v>0</v>
      </c>
      <c r="E1053">
        <f>'Audit Report'!C1053</f>
        <v>0</v>
      </c>
      <c r="I1053">
        <f>'Audit Report'!D1053</f>
        <v>0</v>
      </c>
      <c r="J1053">
        <f>'Audit Report'!H1053</f>
        <v>0</v>
      </c>
      <c r="L1053" t="str">
        <f>_xlfn.TEXTJOIN(", ", FALSE, 'Audit Report'!K1053,'Audit Report'!L1053,'Audit Report'!M1053)</f>
        <v xml:space="preserve">, , </v>
      </c>
      <c r="M1053">
        <f>'Audit Report'!O1053</f>
        <v>0</v>
      </c>
      <c r="N1053" t="str" cm="1">
        <f t="array" ref="N1053">IF(M1053="","",
_xlfn.TEXTJOIN(", ",TRUE,
    _xlfn.MAP(_xlfn.TEXTSPLIT(M1053,","),_xlfn.LAMBDA(_xlpm.x,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3">
        <f>'Audit Report'!F1053</f>
        <v>0</v>
      </c>
      <c r="S1053">
        <f>'Audit Report'!Q1053</f>
        <v>0</v>
      </c>
    </row>
    <row r="1054" spans="4:19">
      <c r="D1054">
        <f>'Audit Report'!B1054</f>
        <v>0</v>
      </c>
      <c r="E1054">
        <f>'Audit Report'!C1054</f>
        <v>0</v>
      </c>
      <c r="I1054">
        <f>'Audit Report'!D1054</f>
        <v>0</v>
      </c>
      <c r="J1054">
        <f>'Audit Report'!H1054</f>
        <v>0</v>
      </c>
      <c r="L1054" t="str">
        <f>_xlfn.TEXTJOIN(", ", FALSE, 'Audit Report'!K1054,'Audit Report'!L1054,'Audit Report'!M1054)</f>
        <v xml:space="preserve">, , </v>
      </c>
      <c r="M1054">
        <f>'Audit Report'!O1054</f>
        <v>0</v>
      </c>
      <c r="N1054" t="str" cm="1">
        <f t="array" ref="N1054">IF(M1054="","",
_xlfn.TEXTJOIN(", ",TRUE,
    _xlfn.MAP(_xlfn.TEXTSPLIT(M1054,","),_xlfn.LAMBDA(_xlpm.x,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4">
        <f>'Audit Report'!F1054</f>
        <v>0</v>
      </c>
      <c r="S1054">
        <f>'Audit Report'!Q1054</f>
        <v>0</v>
      </c>
    </row>
    <row r="1055" spans="4:19">
      <c r="D1055">
        <f>'Audit Report'!B1055</f>
        <v>0</v>
      </c>
      <c r="E1055">
        <f>'Audit Report'!C1055</f>
        <v>0</v>
      </c>
      <c r="I1055">
        <f>'Audit Report'!D1055</f>
        <v>0</v>
      </c>
      <c r="J1055">
        <f>'Audit Report'!H1055</f>
        <v>0</v>
      </c>
      <c r="L1055" t="str">
        <f>_xlfn.TEXTJOIN(", ", FALSE, 'Audit Report'!K1055,'Audit Report'!L1055,'Audit Report'!M1055)</f>
        <v xml:space="preserve">, , </v>
      </c>
      <c r="M1055">
        <f>'Audit Report'!O1055</f>
        <v>0</v>
      </c>
      <c r="N1055" t="str" cm="1">
        <f t="array" ref="N1055">IF(M1055="","",
_xlfn.TEXTJOIN(", ",TRUE,
    _xlfn.MAP(_xlfn.TEXTSPLIT(M1055,","),_xlfn.LAMBDA(_xlpm.x,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5">
        <f>'Audit Report'!F1055</f>
        <v>0</v>
      </c>
      <c r="S1055">
        <f>'Audit Report'!Q1055</f>
        <v>0</v>
      </c>
    </row>
    <row r="1056" spans="4:19">
      <c r="D1056">
        <f>'Audit Report'!B1056</f>
        <v>0</v>
      </c>
      <c r="E1056">
        <f>'Audit Report'!C1056</f>
        <v>0</v>
      </c>
      <c r="I1056">
        <f>'Audit Report'!D1056</f>
        <v>0</v>
      </c>
      <c r="J1056">
        <f>'Audit Report'!H1056</f>
        <v>0</v>
      </c>
      <c r="L1056" t="str">
        <f>_xlfn.TEXTJOIN(", ", FALSE, 'Audit Report'!K1056,'Audit Report'!L1056,'Audit Report'!M1056)</f>
        <v xml:space="preserve">, , </v>
      </c>
      <c r="M1056">
        <f>'Audit Report'!O1056</f>
        <v>0</v>
      </c>
      <c r="N1056" t="str" cm="1">
        <f t="array" ref="N1056">IF(M1056="","",
_xlfn.TEXTJOIN(", ",TRUE,
    _xlfn.MAP(_xlfn.TEXTSPLIT(M1056,","),_xlfn.LAMBDA(_xlpm.x,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6">
        <f>'Audit Report'!F1056</f>
        <v>0</v>
      </c>
      <c r="S1056">
        <f>'Audit Report'!Q1056</f>
        <v>0</v>
      </c>
    </row>
    <row r="1057" spans="4:19">
      <c r="D1057">
        <f>'Audit Report'!B1057</f>
        <v>0</v>
      </c>
      <c r="E1057">
        <f>'Audit Report'!C1057</f>
        <v>0</v>
      </c>
      <c r="I1057">
        <f>'Audit Report'!D1057</f>
        <v>0</v>
      </c>
      <c r="J1057">
        <f>'Audit Report'!H1057</f>
        <v>0</v>
      </c>
      <c r="L1057" t="str">
        <f>_xlfn.TEXTJOIN(", ", FALSE, 'Audit Report'!K1057,'Audit Report'!L1057,'Audit Report'!M1057)</f>
        <v xml:space="preserve">, , </v>
      </c>
      <c r="M1057">
        <f>'Audit Report'!O1057</f>
        <v>0</v>
      </c>
      <c r="N1057" t="str" cm="1">
        <f t="array" ref="N1057">IF(M1057="","",
_xlfn.TEXTJOIN(", ",TRUE,
    _xlfn.MAP(_xlfn.TEXTSPLIT(M1057,","),_xlfn.LAMBDA(_xlpm.x,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7">
        <f>'Audit Report'!F1057</f>
        <v>0</v>
      </c>
      <c r="S1057">
        <f>'Audit Report'!Q1057</f>
        <v>0</v>
      </c>
    </row>
    <row r="1058" spans="4:19">
      <c r="D1058">
        <f>'Audit Report'!B1058</f>
        <v>0</v>
      </c>
      <c r="E1058">
        <f>'Audit Report'!C1058</f>
        <v>0</v>
      </c>
      <c r="I1058">
        <f>'Audit Report'!D1058</f>
        <v>0</v>
      </c>
      <c r="J1058">
        <f>'Audit Report'!H1058</f>
        <v>0</v>
      </c>
      <c r="L1058" t="str">
        <f>_xlfn.TEXTJOIN(", ", FALSE, 'Audit Report'!K1058,'Audit Report'!L1058,'Audit Report'!M1058)</f>
        <v xml:space="preserve">, , </v>
      </c>
      <c r="M1058">
        <f>'Audit Report'!O1058</f>
        <v>0</v>
      </c>
      <c r="N1058" t="str" cm="1">
        <f t="array" ref="N1058">IF(M1058="","",
_xlfn.TEXTJOIN(", ",TRUE,
    _xlfn.MAP(_xlfn.TEXTSPLIT(M1058,","),_xlfn.LAMBDA(_xlpm.x,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8">
        <f>'Audit Report'!F1058</f>
        <v>0</v>
      </c>
      <c r="S1058">
        <f>'Audit Report'!Q1058</f>
        <v>0</v>
      </c>
    </row>
    <row r="1059" spans="4:19">
      <c r="D1059">
        <f>'Audit Report'!B1059</f>
        <v>0</v>
      </c>
      <c r="E1059">
        <f>'Audit Report'!C1059</f>
        <v>0</v>
      </c>
      <c r="I1059">
        <f>'Audit Report'!D1059</f>
        <v>0</v>
      </c>
      <c r="J1059">
        <f>'Audit Report'!H1059</f>
        <v>0</v>
      </c>
      <c r="L1059" t="str">
        <f>_xlfn.TEXTJOIN(", ", FALSE, 'Audit Report'!K1059,'Audit Report'!L1059,'Audit Report'!M1059)</f>
        <v xml:space="preserve">, , </v>
      </c>
      <c r="M1059">
        <f>'Audit Report'!O1059</f>
        <v>0</v>
      </c>
      <c r="N1059" t="str" cm="1">
        <f t="array" ref="N1059">IF(M1059="","",
_xlfn.TEXTJOIN(", ",TRUE,
    _xlfn.MAP(_xlfn.TEXTSPLIT(M1059,","),_xlfn.LAMBDA(_xlpm.x,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9">
        <f>'Audit Report'!F1059</f>
        <v>0</v>
      </c>
      <c r="S1059">
        <f>'Audit Report'!Q1059</f>
        <v>0</v>
      </c>
    </row>
    <row r="1060" spans="4:19">
      <c r="D1060">
        <f>'Audit Report'!B1060</f>
        <v>0</v>
      </c>
      <c r="E1060">
        <f>'Audit Report'!C1060</f>
        <v>0</v>
      </c>
      <c r="I1060">
        <f>'Audit Report'!D1060</f>
        <v>0</v>
      </c>
      <c r="J1060">
        <f>'Audit Report'!H1060</f>
        <v>0</v>
      </c>
      <c r="L1060" t="str">
        <f>_xlfn.TEXTJOIN(", ", FALSE, 'Audit Report'!K1060,'Audit Report'!L1060,'Audit Report'!M1060)</f>
        <v xml:space="preserve">, , </v>
      </c>
      <c r="M1060">
        <f>'Audit Report'!O1060</f>
        <v>0</v>
      </c>
      <c r="N1060" t="str" cm="1">
        <f t="array" ref="N1060">IF(M1060="","",
_xlfn.TEXTJOIN(", ",TRUE,
    _xlfn.MAP(_xlfn.TEXTSPLIT(M1060,","),_xlfn.LAMBDA(_xlpm.x,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0">
        <f>'Audit Report'!F1060</f>
        <v>0</v>
      </c>
      <c r="S1060">
        <f>'Audit Report'!Q1060</f>
        <v>0</v>
      </c>
    </row>
    <row r="1061" spans="4:19">
      <c r="D1061">
        <f>'Audit Report'!B1061</f>
        <v>0</v>
      </c>
      <c r="E1061">
        <f>'Audit Report'!C1061</f>
        <v>0</v>
      </c>
      <c r="I1061">
        <f>'Audit Report'!D1061</f>
        <v>0</v>
      </c>
      <c r="J1061">
        <f>'Audit Report'!H1061</f>
        <v>0</v>
      </c>
      <c r="L1061" t="str">
        <f>_xlfn.TEXTJOIN(", ", FALSE, 'Audit Report'!K1061,'Audit Report'!L1061,'Audit Report'!M1061)</f>
        <v xml:space="preserve">, , </v>
      </c>
      <c r="M1061">
        <f>'Audit Report'!O1061</f>
        <v>0</v>
      </c>
      <c r="N1061" t="str" cm="1">
        <f t="array" ref="N1061">IF(M1061="","",
_xlfn.TEXTJOIN(", ",TRUE,
    _xlfn.MAP(_xlfn.TEXTSPLIT(M1061,","),_xlfn.LAMBDA(_xlpm.x,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1">
        <f>'Audit Report'!F1061</f>
        <v>0</v>
      </c>
      <c r="S1061">
        <f>'Audit Report'!Q1061</f>
        <v>0</v>
      </c>
    </row>
    <row r="1062" spans="4:19">
      <c r="D1062">
        <f>'Audit Report'!B1062</f>
        <v>0</v>
      </c>
      <c r="E1062">
        <f>'Audit Report'!C1062</f>
        <v>0</v>
      </c>
      <c r="I1062">
        <f>'Audit Report'!D1062</f>
        <v>0</v>
      </c>
      <c r="J1062">
        <f>'Audit Report'!H1062</f>
        <v>0</v>
      </c>
      <c r="L1062" t="str">
        <f>_xlfn.TEXTJOIN(", ", FALSE, 'Audit Report'!K1062,'Audit Report'!L1062,'Audit Report'!M1062)</f>
        <v xml:space="preserve">, , </v>
      </c>
      <c r="M1062">
        <f>'Audit Report'!O1062</f>
        <v>0</v>
      </c>
      <c r="N1062" t="str" cm="1">
        <f t="array" ref="N1062">IF(M1062="","",
_xlfn.TEXTJOIN(", ",TRUE,
    _xlfn.MAP(_xlfn.TEXTSPLIT(M1062,","),_xlfn.LAMBDA(_xlpm.x,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2">
        <f>'Audit Report'!F1062</f>
        <v>0</v>
      </c>
      <c r="S1062">
        <f>'Audit Report'!Q1062</f>
        <v>0</v>
      </c>
    </row>
    <row r="1063" spans="4:19">
      <c r="D1063">
        <f>'Audit Report'!B1063</f>
        <v>0</v>
      </c>
      <c r="E1063">
        <f>'Audit Report'!C1063</f>
        <v>0</v>
      </c>
      <c r="I1063">
        <f>'Audit Report'!D1063</f>
        <v>0</v>
      </c>
      <c r="J1063">
        <f>'Audit Report'!H1063</f>
        <v>0</v>
      </c>
      <c r="L1063" t="str">
        <f>_xlfn.TEXTJOIN(", ", FALSE, 'Audit Report'!K1063,'Audit Report'!L1063,'Audit Report'!M1063)</f>
        <v xml:space="preserve">, , </v>
      </c>
      <c r="M1063">
        <f>'Audit Report'!O1063</f>
        <v>0</v>
      </c>
      <c r="N1063" t="str" cm="1">
        <f t="array" ref="N1063">IF(M1063="","",
_xlfn.TEXTJOIN(", ",TRUE,
    _xlfn.MAP(_xlfn.TEXTSPLIT(M1063,","),_xlfn.LAMBDA(_xlpm.x,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3">
        <f>'Audit Report'!F1063</f>
        <v>0</v>
      </c>
      <c r="S1063">
        <f>'Audit Report'!Q1063</f>
        <v>0</v>
      </c>
    </row>
    <row r="1064" spans="4:19">
      <c r="D1064">
        <f>'Audit Report'!B1064</f>
        <v>0</v>
      </c>
      <c r="E1064">
        <f>'Audit Report'!C1064</f>
        <v>0</v>
      </c>
      <c r="I1064">
        <f>'Audit Report'!D1064</f>
        <v>0</v>
      </c>
      <c r="J1064">
        <f>'Audit Report'!H1064</f>
        <v>0</v>
      </c>
      <c r="L1064" t="str">
        <f>_xlfn.TEXTJOIN(", ", FALSE, 'Audit Report'!K1064,'Audit Report'!L1064,'Audit Report'!M1064)</f>
        <v xml:space="preserve">, , </v>
      </c>
      <c r="M1064">
        <f>'Audit Report'!O1064</f>
        <v>0</v>
      </c>
      <c r="N1064" t="str" cm="1">
        <f t="array" ref="N1064">IF(M1064="","",
_xlfn.TEXTJOIN(", ",TRUE,
    _xlfn.MAP(_xlfn.TEXTSPLIT(M1064,","),_xlfn.LAMBDA(_xlpm.x,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4">
        <f>'Audit Report'!F1064</f>
        <v>0</v>
      </c>
      <c r="S1064">
        <f>'Audit Report'!Q1064</f>
        <v>0</v>
      </c>
    </row>
    <row r="1065" spans="4:19">
      <c r="D1065">
        <f>'Audit Report'!B1065</f>
        <v>0</v>
      </c>
      <c r="E1065">
        <f>'Audit Report'!C1065</f>
        <v>0</v>
      </c>
      <c r="I1065">
        <f>'Audit Report'!D1065</f>
        <v>0</v>
      </c>
      <c r="J1065">
        <f>'Audit Report'!H1065</f>
        <v>0</v>
      </c>
      <c r="L1065" t="str">
        <f>_xlfn.TEXTJOIN(", ", FALSE, 'Audit Report'!K1065,'Audit Report'!L1065,'Audit Report'!M1065)</f>
        <v xml:space="preserve">, , </v>
      </c>
      <c r="M1065">
        <f>'Audit Report'!O1065</f>
        <v>0</v>
      </c>
      <c r="N1065" t="str" cm="1">
        <f t="array" ref="N1065">IF(M1065="","",
_xlfn.TEXTJOIN(", ",TRUE,
    _xlfn.MAP(_xlfn.TEXTSPLIT(M1065,","),_xlfn.LAMBDA(_xlpm.x,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5">
        <f>'Audit Report'!F1065</f>
        <v>0</v>
      </c>
      <c r="S1065">
        <f>'Audit Report'!Q1065</f>
        <v>0</v>
      </c>
    </row>
    <row r="1066" spans="4:19">
      <c r="D1066">
        <f>'Audit Report'!B1066</f>
        <v>0</v>
      </c>
      <c r="E1066">
        <f>'Audit Report'!C1066</f>
        <v>0</v>
      </c>
      <c r="I1066">
        <f>'Audit Report'!D1066</f>
        <v>0</v>
      </c>
      <c r="J1066">
        <f>'Audit Report'!H1066</f>
        <v>0</v>
      </c>
      <c r="L1066" t="str">
        <f>_xlfn.TEXTJOIN(", ", FALSE, 'Audit Report'!K1066,'Audit Report'!L1066,'Audit Report'!M1066)</f>
        <v xml:space="preserve">, , </v>
      </c>
      <c r="M1066">
        <f>'Audit Report'!O1066</f>
        <v>0</v>
      </c>
      <c r="N1066" t="str" cm="1">
        <f t="array" ref="N1066">IF(M1066="","",
_xlfn.TEXTJOIN(", ",TRUE,
    _xlfn.MAP(_xlfn.TEXTSPLIT(M1066,","),_xlfn.LAMBDA(_xlpm.x,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6">
        <f>'Audit Report'!F1066</f>
        <v>0</v>
      </c>
      <c r="S1066">
        <f>'Audit Report'!Q1066</f>
        <v>0</v>
      </c>
    </row>
    <row r="1067" spans="4:19">
      <c r="D1067">
        <f>'Audit Report'!B1067</f>
        <v>0</v>
      </c>
      <c r="E1067">
        <f>'Audit Report'!C1067</f>
        <v>0</v>
      </c>
      <c r="I1067">
        <f>'Audit Report'!D1067</f>
        <v>0</v>
      </c>
      <c r="J1067">
        <f>'Audit Report'!H1067</f>
        <v>0</v>
      </c>
      <c r="L1067" t="str">
        <f>_xlfn.TEXTJOIN(", ", FALSE, 'Audit Report'!K1067,'Audit Report'!L1067,'Audit Report'!M1067)</f>
        <v xml:space="preserve">, , </v>
      </c>
      <c r="M1067">
        <f>'Audit Report'!O1067</f>
        <v>0</v>
      </c>
      <c r="N1067" t="str" cm="1">
        <f t="array" ref="N1067">IF(M1067="","",
_xlfn.TEXTJOIN(", ",TRUE,
    _xlfn.MAP(_xlfn.TEXTSPLIT(M1067,","),_xlfn.LAMBDA(_xlpm.x,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7">
        <f>'Audit Report'!F1067</f>
        <v>0</v>
      </c>
      <c r="S1067">
        <f>'Audit Report'!Q1067</f>
        <v>0</v>
      </c>
    </row>
    <row r="1068" spans="4:19">
      <c r="D1068">
        <f>'Audit Report'!B1068</f>
        <v>0</v>
      </c>
      <c r="E1068">
        <f>'Audit Report'!C1068</f>
        <v>0</v>
      </c>
      <c r="I1068">
        <f>'Audit Report'!D1068</f>
        <v>0</v>
      </c>
      <c r="J1068">
        <f>'Audit Report'!H1068</f>
        <v>0</v>
      </c>
      <c r="L1068" t="str">
        <f>_xlfn.TEXTJOIN(", ", FALSE, 'Audit Report'!K1068,'Audit Report'!L1068,'Audit Report'!M1068)</f>
        <v xml:space="preserve">, , </v>
      </c>
      <c r="M1068">
        <f>'Audit Report'!O1068</f>
        <v>0</v>
      </c>
      <c r="N1068" t="str" cm="1">
        <f t="array" ref="N1068">IF(M1068="","",
_xlfn.TEXTJOIN(", ",TRUE,
    _xlfn.MAP(_xlfn.TEXTSPLIT(M1068,","),_xlfn.LAMBDA(_xlpm.x,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8">
        <f>'Audit Report'!F1068</f>
        <v>0</v>
      </c>
      <c r="S1068">
        <f>'Audit Report'!Q1068</f>
        <v>0</v>
      </c>
    </row>
    <row r="1069" spans="4:19">
      <c r="D1069">
        <f>'Audit Report'!B1069</f>
        <v>0</v>
      </c>
      <c r="E1069">
        <f>'Audit Report'!C1069</f>
        <v>0</v>
      </c>
      <c r="I1069">
        <f>'Audit Report'!D1069</f>
        <v>0</v>
      </c>
      <c r="J1069">
        <f>'Audit Report'!H1069</f>
        <v>0</v>
      </c>
      <c r="L1069" t="str">
        <f>_xlfn.TEXTJOIN(", ", FALSE, 'Audit Report'!K1069,'Audit Report'!L1069,'Audit Report'!M1069)</f>
        <v xml:space="preserve">, , </v>
      </c>
      <c r="M1069">
        <f>'Audit Report'!O1069</f>
        <v>0</v>
      </c>
      <c r="N1069" t="str" cm="1">
        <f t="array" ref="N1069">IF(M1069="","",
_xlfn.TEXTJOIN(", ",TRUE,
    _xlfn.MAP(_xlfn.TEXTSPLIT(M1069,","),_xlfn.LAMBDA(_xlpm.x,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9">
        <f>'Audit Report'!F1069</f>
        <v>0</v>
      </c>
      <c r="S1069">
        <f>'Audit Report'!Q1069</f>
        <v>0</v>
      </c>
    </row>
    <row r="1070" spans="4:19">
      <c r="D1070">
        <f>'Audit Report'!B1070</f>
        <v>0</v>
      </c>
      <c r="E1070">
        <f>'Audit Report'!C1070</f>
        <v>0</v>
      </c>
      <c r="I1070">
        <f>'Audit Report'!D1070</f>
        <v>0</v>
      </c>
      <c r="J1070">
        <f>'Audit Report'!H1070</f>
        <v>0</v>
      </c>
      <c r="L1070" t="str">
        <f>_xlfn.TEXTJOIN(", ", FALSE, 'Audit Report'!K1070,'Audit Report'!L1070,'Audit Report'!M1070)</f>
        <v xml:space="preserve">, , </v>
      </c>
      <c r="M1070">
        <f>'Audit Report'!O1070</f>
        <v>0</v>
      </c>
      <c r="N1070" t="str" cm="1">
        <f t="array" ref="N1070">IF(M1070="","",
_xlfn.TEXTJOIN(", ",TRUE,
    _xlfn.MAP(_xlfn.TEXTSPLIT(M1070,","),_xlfn.LAMBDA(_xlpm.x,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0">
        <f>'Audit Report'!F1070</f>
        <v>0</v>
      </c>
      <c r="S1070">
        <f>'Audit Report'!Q1070</f>
        <v>0</v>
      </c>
    </row>
    <row r="1071" spans="4:19">
      <c r="D1071">
        <f>'Audit Report'!B1071</f>
        <v>0</v>
      </c>
      <c r="E1071">
        <f>'Audit Report'!C1071</f>
        <v>0</v>
      </c>
      <c r="I1071">
        <f>'Audit Report'!D1071</f>
        <v>0</v>
      </c>
      <c r="J1071">
        <f>'Audit Report'!H1071</f>
        <v>0</v>
      </c>
      <c r="L1071" t="str">
        <f>_xlfn.TEXTJOIN(", ", FALSE, 'Audit Report'!K1071,'Audit Report'!L1071,'Audit Report'!M1071)</f>
        <v xml:space="preserve">, , </v>
      </c>
      <c r="M1071">
        <f>'Audit Report'!O1071</f>
        <v>0</v>
      </c>
      <c r="N1071" t="str" cm="1">
        <f t="array" ref="N1071">IF(M1071="","",
_xlfn.TEXTJOIN(", ",TRUE,
    _xlfn.MAP(_xlfn.TEXTSPLIT(M1071,","),_xlfn.LAMBDA(_xlpm.x,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1">
        <f>'Audit Report'!F1071</f>
        <v>0</v>
      </c>
      <c r="S1071">
        <f>'Audit Report'!Q1071</f>
        <v>0</v>
      </c>
    </row>
    <row r="1072" spans="4:19">
      <c r="D1072">
        <f>'Audit Report'!B1072</f>
        <v>0</v>
      </c>
      <c r="E1072">
        <f>'Audit Report'!C1072</f>
        <v>0</v>
      </c>
      <c r="I1072">
        <f>'Audit Report'!D1072</f>
        <v>0</v>
      </c>
      <c r="J1072">
        <f>'Audit Report'!H1072</f>
        <v>0</v>
      </c>
      <c r="L1072" t="str">
        <f>_xlfn.TEXTJOIN(", ", FALSE, 'Audit Report'!K1072,'Audit Report'!L1072,'Audit Report'!M1072)</f>
        <v xml:space="preserve">, , </v>
      </c>
      <c r="M1072">
        <f>'Audit Report'!O1072</f>
        <v>0</v>
      </c>
      <c r="N1072" t="str" cm="1">
        <f t="array" ref="N1072">IF(M1072="","",
_xlfn.TEXTJOIN(", ",TRUE,
    _xlfn.MAP(_xlfn.TEXTSPLIT(M1072,","),_xlfn.LAMBDA(_xlpm.x,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2">
        <f>'Audit Report'!F1072</f>
        <v>0</v>
      </c>
      <c r="S1072">
        <f>'Audit Report'!Q1072</f>
        <v>0</v>
      </c>
    </row>
    <row r="1073" spans="4:19">
      <c r="D1073">
        <f>'Audit Report'!B1073</f>
        <v>0</v>
      </c>
      <c r="E1073">
        <f>'Audit Report'!C1073</f>
        <v>0</v>
      </c>
      <c r="I1073">
        <f>'Audit Report'!D1073</f>
        <v>0</v>
      </c>
      <c r="J1073">
        <f>'Audit Report'!H1073</f>
        <v>0</v>
      </c>
      <c r="L1073" t="str">
        <f>_xlfn.TEXTJOIN(", ", FALSE, 'Audit Report'!K1073,'Audit Report'!L1073,'Audit Report'!M1073)</f>
        <v xml:space="preserve">, , </v>
      </c>
      <c r="M1073">
        <f>'Audit Report'!O1073</f>
        <v>0</v>
      </c>
      <c r="N1073" t="str" cm="1">
        <f t="array" ref="N1073">IF(M1073="","",
_xlfn.TEXTJOIN(", ",TRUE,
    _xlfn.MAP(_xlfn.TEXTSPLIT(M1073,","),_xlfn.LAMBDA(_xlpm.x,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3">
        <f>'Audit Report'!F1073</f>
        <v>0</v>
      </c>
      <c r="S1073">
        <f>'Audit Report'!Q1073</f>
        <v>0</v>
      </c>
    </row>
    <row r="1074" spans="4:19">
      <c r="D1074">
        <f>'Audit Report'!B1074</f>
        <v>0</v>
      </c>
      <c r="E1074">
        <f>'Audit Report'!C1074</f>
        <v>0</v>
      </c>
      <c r="I1074">
        <f>'Audit Report'!D1074</f>
        <v>0</v>
      </c>
      <c r="J1074">
        <f>'Audit Report'!H1074</f>
        <v>0</v>
      </c>
      <c r="L1074" t="str">
        <f>_xlfn.TEXTJOIN(", ", FALSE, 'Audit Report'!K1074,'Audit Report'!L1074,'Audit Report'!M1074)</f>
        <v xml:space="preserve">, , </v>
      </c>
      <c r="M1074">
        <f>'Audit Report'!O1074</f>
        <v>0</v>
      </c>
      <c r="N1074" t="str" cm="1">
        <f t="array" ref="N1074">IF(M1074="","",
_xlfn.TEXTJOIN(", ",TRUE,
    _xlfn.MAP(_xlfn.TEXTSPLIT(M1074,","),_xlfn.LAMBDA(_xlpm.x,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4">
        <f>'Audit Report'!F1074</f>
        <v>0</v>
      </c>
      <c r="S1074">
        <f>'Audit Report'!Q1074</f>
        <v>0</v>
      </c>
    </row>
    <row r="1075" spans="4:19">
      <c r="D1075">
        <f>'Audit Report'!B1075</f>
        <v>0</v>
      </c>
      <c r="E1075">
        <f>'Audit Report'!C1075</f>
        <v>0</v>
      </c>
      <c r="I1075">
        <f>'Audit Report'!D1075</f>
        <v>0</v>
      </c>
      <c r="J1075">
        <f>'Audit Report'!H1075</f>
        <v>0</v>
      </c>
      <c r="L1075" t="str">
        <f>_xlfn.TEXTJOIN(", ", FALSE, 'Audit Report'!K1075,'Audit Report'!L1075,'Audit Report'!M1075)</f>
        <v xml:space="preserve">, , </v>
      </c>
      <c r="M1075">
        <f>'Audit Report'!O1075</f>
        <v>0</v>
      </c>
      <c r="N1075" t="str" cm="1">
        <f t="array" ref="N1075">IF(M1075="","",
_xlfn.TEXTJOIN(", ",TRUE,
    _xlfn.MAP(_xlfn.TEXTSPLIT(M1075,","),_xlfn.LAMBDA(_xlpm.x,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5">
        <f>'Audit Report'!F1075</f>
        <v>0</v>
      </c>
      <c r="S1075">
        <f>'Audit Report'!Q1075</f>
        <v>0</v>
      </c>
    </row>
    <row r="1076" spans="4:19">
      <c r="D1076">
        <f>'Audit Report'!B1076</f>
        <v>0</v>
      </c>
      <c r="E1076">
        <f>'Audit Report'!C1076</f>
        <v>0</v>
      </c>
      <c r="I1076">
        <f>'Audit Report'!D1076</f>
        <v>0</v>
      </c>
      <c r="J1076">
        <f>'Audit Report'!H1076</f>
        <v>0</v>
      </c>
      <c r="L1076" t="str">
        <f>_xlfn.TEXTJOIN(", ", FALSE, 'Audit Report'!K1076,'Audit Report'!L1076,'Audit Report'!M1076)</f>
        <v xml:space="preserve">, , </v>
      </c>
      <c r="M1076">
        <f>'Audit Report'!O1076</f>
        <v>0</v>
      </c>
      <c r="N1076" t="str" cm="1">
        <f t="array" ref="N1076">IF(M1076="","",
_xlfn.TEXTJOIN(", ",TRUE,
    _xlfn.MAP(_xlfn.TEXTSPLIT(M1076,","),_xlfn.LAMBDA(_xlpm.x,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6">
        <f>'Audit Report'!F1076</f>
        <v>0</v>
      </c>
      <c r="S1076">
        <f>'Audit Report'!Q1076</f>
        <v>0</v>
      </c>
    </row>
    <row r="1077" spans="4:19">
      <c r="D1077">
        <f>'Audit Report'!B1077</f>
        <v>0</v>
      </c>
      <c r="E1077">
        <f>'Audit Report'!C1077</f>
        <v>0</v>
      </c>
      <c r="I1077">
        <f>'Audit Report'!D1077</f>
        <v>0</v>
      </c>
      <c r="J1077">
        <f>'Audit Report'!H1077</f>
        <v>0</v>
      </c>
      <c r="L1077" t="str">
        <f>_xlfn.TEXTJOIN(", ", FALSE, 'Audit Report'!K1077,'Audit Report'!L1077,'Audit Report'!M1077)</f>
        <v xml:space="preserve">, , </v>
      </c>
      <c r="M1077">
        <f>'Audit Report'!O1077</f>
        <v>0</v>
      </c>
      <c r="N1077" t="str" cm="1">
        <f t="array" ref="N1077">IF(M1077="","",
_xlfn.TEXTJOIN(", ",TRUE,
    _xlfn.MAP(_xlfn.TEXTSPLIT(M1077,","),_xlfn.LAMBDA(_xlpm.x,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7">
        <f>'Audit Report'!F1077</f>
        <v>0</v>
      </c>
      <c r="S1077">
        <f>'Audit Report'!Q1077</f>
        <v>0</v>
      </c>
    </row>
    <row r="1078" spans="4:19">
      <c r="D1078">
        <f>'Audit Report'!B1078</f>
        <v>0</v>
      </c>
      <c r="E1078">
        <f>'Audit Report'!C1078</f>
        <v>0</v>
      </c>
      <c r="I1078">
        <f>'Audit Report'!D1078</f>
        <v>0</v>
      </c>
      <c r="J1078">
        <f>'Audit Report'!H1078</f>
        <v>0</v>
      </c>
      <c r="L1078" t="str">
        <f>_xlfn.TEXTJOIN(", ", FALSE, 'Audit Report'!K1078,'Audit Report'!L1078,'Audit Report'!M1078)</f>
        <v xml:space="preserve">, , </v>
      </c>
      <c r="M1078">
        <f>'Audit Report'!O1078</f>
        <v>0</v>
      </c>
      <c r="N1078" t="str" cm="1">
        <f t="array" ref="N1078">IF(M1078="","",
_xlfn.TEXTJOIN(", ",TRUE,
    _xlfn.MAP(_xlfn.TEXTSPLIT(M1078,","),_xlfn.LAMBDA(_xlpm.x,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8">
        <f>'Audit Report'!F1078</f>
        <v>0</v>
      </c>
      <c r="S1078">
        <f>'Audit Report'!Q1078</f>
        <v>0</v>
      </c>
    </row>
    <row r="1079" spans="4:19">
      <c r="D1079">
        <f>'Audit Report'!B1079</f>
        <v>0</v>
      </c>
      <c r="E1079">
        <f>'Audit Report'!C1079</f>
        <v>0</v>
      </c>
      <c r="I1079">
        <f>'Audit Report'!D1079</f>
        <v>0</v>
      </c>
      <c r="J1079">
        <f>'Audit Report'!H1079</f>
        <v>0</v>
      </c>
      <c r="L1079" t="str">
        <f>_xlfn.TEXTJOIN(", ", FALSE, 'Audit Report'!K1079,'Audit Report'!L1079,'Audit Report'!M1079)</f>
        <v xml:space="preserve">, , </v>
      </c>
      <c r="M1079">
        <f>'Audit Report'!O1079</f>
        <v>0</v>
      </c>
      <c r="N1079" t="str" cm="1">
        <f t="array" ref="N1079">IF(M1079="","",
_xlfn.TEXTJOIN(", ",TRUE,
    _xlfn.MAP(_xlfn.TEXTSPLIT(M1079,","),_xlfn.LAMBDA(_xlpm.x,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9">
        <f>'Audit Report'!F1079</f>
        <v>0</v>
      </c>
      <c r="S1079">
        <f>'Audit Report'!Q1079</f>
        <v>0</v>
      </c>
    </row>
    <row r="1080" spans="4:19">
      <c r="D1080">
        <f>'Audit Report'!B1080</f>
        <v>0</v>
      </c>
      <c r="E1080">
        <f>'Audit Report'!C1080</f>
        <v>0</v>
      </c>
      <c r="I1080">
        <f>'Audit Report'!D1080</f>
        <v>0</v>
      </c>
      <c r="J1080">
        <f>'Audit Report'!H1080</f>
        <v>0</v>
      </c>
      <c r="L1080" t="str">
        <f>_xlfn.TEXTJOIN(", ", FALSE, 'Audit Report'!K1080,'Audit Report'!L1080,'Audit Report'!M1080)</f>
        <v xml:space="preserve">, , </v>
      </c>
      <c r="M1080">
        <f>'Audit Report'!O1080</f>
        <v>0</v>
      </c>
      <c r="N1080" t="str" cm="1">
        <f t="array" ref="N1080">IF(M1080="","",
_xlfn.TEXTJOIN(", ",TRUE,
    _xlfn.MAP(_xlfn.TEXTSPLIT(M1080,","),_xlfn.LAMBDA(_xlpm.x,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0">
        <f>'Audit Report'!F1080</f>
        <v>0</v>
      </c>
      <c r="S1080">
        <f>'Audit Report'!Q1080</f>
        <v>0</v>
      </c>
    </row>
    <row r="1081" spans="4:19">
      <c r="D1081">
        <f>'Audit Report'!B1081</f>
        <v>0</v>
      </c>
      <c r="E1081">
        <f>'Audit Report'!C1081</f>
        <v>0</v>
      </c>
      <c r="I1081">
        <f>'Audit Report'!D1081</f>
        <v>0</v>
      </c>
      <c r="J1081">
        <f>'Audit Report'!H1081</f>
        <v>0</v>
      </c>
      <c r="L1081" t="str">
        <f>_xlfn.TEXTJOIN(", ", FALSE, 'Audit Report'!K1081,'Audit Report'!L1081,'Audit Report'!M1081)</f>
        <v xml:space="preserve">, , </v>
      </c>
      <c r="M1081">
        <f>'Audit Report'!O1081</f>
        <v>0</v>
      </c>
      <c r="N1081" t="str" cm="1">
        <f t="array" ref="N1081">IF(M1081="","",
_xlfn.TEXTJOIN(", ",TRUE,
    _xlfn.MAP(_xlfn.TEXTSPLIT(M1081,","),_xlfn.LAMBDA(_xlpm.x,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1">
        <f>'Audit Report'!F1081</f>
        <v>0</v>
      </c>
      <c r="S1081">
        <f>'Audit Report'!Q1081</f>
        <v>0</v>
      </c>
    </row>
    <row r="1082" spans="4:19">
      <c r="D1082">
        <f>'Audit Report'!B1082</f>
        <v>0</v>
      </c>
      <c r="E1082">
        <f>'Audit Report'!C1082</f>
        <v>0</v>
      </c>
      <c r="I1082">
        <f>'Audit Report'!D1082</f>
        <v>0</v>
      </c>
      <c r="J1082">
        <f>'Audit Report'!H1082</f>
        <v>0</v>
      </c>
      <c r="L1082" t="str">
        <f>_xlfn.TEXTJOIN(", ", FALSE, 'Audit Report'!K1082,'Audit Report'!L1082,'Audit Report'!M1082)</f>
        <v xml:space="preserve">, , </v>
      </c>
      <c r="M1082">
        <f>'Audit Report'!O1082</f>
        <v>0</v>
      </c>
      <c r="N1082" t="str" cm="1">
        <f t="array" ref="N1082">IF(M1082="","",
_xlfn.TEXTJOIN(", ",TRUE,
    _xlfn.MAP(_xlfn.TEXTSPLIT(M1082,","),_xlfn.LAMBDA(_xlpm.x,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2">
        <f>'Audit Report'!F1082</f>
        <v>0</v>
      </c>
      <c r="S1082">
        <f>'Audit Report'!Q1082</f>
        <v>0</v>
      </c>
    </row>
    <row r="1083" spans="4:19">
      <c r="D1083">
        <f>'Audit Report'!B1083</f>
        <v>0</v>
      </c>
      <c r="E1083">
        <f>'Audit Report'!C1083</f>
        <v>0</v>
      </c>
      <c r="I1083">
        <f>'Audit Report'!D1083</f>
        <v>0</v>
      </c>
      <c r="J1083">
        <f>'Audit Report'!H1083</f>
        <v>0</v>
      </c>
      <c r="L1083" t="str">
        <f>_xlfn.TEXTJOIN(", ", FALSE, 'Audit Report'!K1083,'Audit Report'!L1083,'Audit Report'!M1083)</f>
        <v xml:space="preserve">, , </v>
      </c>
      <c r="M1083">
        <f>'Audit Report'!O1083</f>
        <v>0</v>
      </c>
      <c r="N1083" t="str" cm="1">
        <f t="array" ref="N1083">IF(M1083="","",
_xlfn.TEXTJOIN(", ",TRUE,
    _xlfn.MAP(_xlfn.TEXTSPLIT(M1083,","),_xlfn.LAMBDA(_xlpm.x,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3">
        <f>'Audit Report'!F1083</f>
        <v>0</v>
      </c>
      <c r="S1083">
        <f>'Audit Report'!Q1083</f>
        <v>0</v>
      </c>
    </row>
    <row r="1084" spans="4:19">
      <c r="D1084">
        <f>'Audit Report'!B1084</f>
        <v>0</v>
      </c>
      <c r="E1084">
        <f>'Audit Report'!C1084</f>
        <v>0</v>
      </c>
      <c r="I1084">
        <f>'Audit Report'!D1084</f>
        <v>0</v>
      </c>
      <c r="J1084">
        <f>'Audit Report'!H1084</f>
        <v>0</v>
      </c>
      <c r="L1084" t="str">
        <f>_xlfn.TEXTJOIN(", ", FALSE, 'Audit Report'!K1084,'Audit Report'!L1084,'Audit Report'!M1084)</f>
        <v xml:space="preserve">, , </v>
      </c>
      <c r="M1084">
        <f>'Audit Report'!O1084</f>
        <v>0</v>
      </c>
      <c r="N1084" t="str" cm="1">
        <f t="array" ref="N1084">IF(M1084="","",
_xlfn.TEXTJOIN(", ",TRUE,
    _xlfn.MAP(_xlfn.TEXTSPLIT(M1084,","),_xlfn.LAMBDA(_xlpm.x,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4">
        <f>'Audit Report'!F1084</f>
        <v>0</v>
      </c>
      <c r="S1084">
        <f>'Audit Report'!Q1084</f>
        <v>0</v>
      </c>
    </row>
    <row r="1085" spans="4:19">
      <c r="D1085">
        <f>'Audit Report'!B1085</f>
        <v>0</v>
      </c>
      <c r="E1085">
        <f>'Audit Report'!C1085</f>
        <v>0</v>
      </c>
      <c r="I1085">
        <f>'Audit Report'!D1085</f>
        <v>0</v>
      </c>
      <c r="J1085">
        <f>'Audit Report'!H1085</f>
        <v>0</v>
      </c>
      <c r="L1085" t="str">
        <f>_xlfn.TEXTJOIN(", ", FALSE, 'Audit Report'!K1085,'Audit Report'!L1085,'Audit Report'!M1085)</f>
        <v xml:space="preserve">, , </v>
      </c>
      <c r="M1085">
        <f>'Audit Report'!O1085</f>
        <v>0</v>
      </c>
      <c r="N1085" t="str" cm="1">
        <f t="array" ref="N1085">IF(M1085="","",
_xlfn.TEXTJOIN(", ",TRUE,
    _xlfn.MAP(_xlfn.TEXTSPLIT(M1085,","),_xlfn.LAMBDA(_xlpm.x,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5">
        <f>'Audit Report'!F1085</f>
        <v>0</v>
      </c>
      <c r="S1085">
        <f>'Audit Report'!Q1085</f>
        <v>0</v>
      </c>
    </row>
    <row r="1086" spans="4:19">
      <c r="D1086">
        <f>'Audit Report'!B1086</f>
        <v>0</v>
      </c>
      <c r="E1086">
        <f>'Audit Report'!C1086</f>
        <v>0</v>
      </c>
      <c r="I1086">
        <f>'Audit Report'!D1086</f>
        <v>0</v>
      </c>
      <c r="J1086">
        <f>'Audit Report'!H1086</f>
        <v>0</v>
      </c>
      <c r="L1086" t="str">
        <f>_xlfn.TEXTJOIN(", ", FALSE, 'Audit Report'!K1086,'Audit Report'!L1086,'Audit Report'!M1086)</f>
        <v xml:space="preserve">, , </v>
      </c>
      <c r="M1086">
        <f>'Audit Report'!O1086</f>
        <v>0</v>
      </c>
      <c r="N1086" t="str" cm="1">
        <f t="array" ref="N1086">IF(M1086="","",
_xlfn.TEXTJOIN(", ",TRUE,
    _xlfn.MAP(_xlfn.TEXTSPLIT(M1086,","),_xlfn.LAMBDA(_xlpm.x,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6">
        <f>'Audit Report'!F1086</f>
        <v>0</v>
      </c>
      <c r="S1086">
        <f>'Audit Report'!Q1086</f>
        <v>0</v>
      </c>
    </row>
    <row r="1087" spans="4:19">
      <c r="D1087">
        <f>'Audit Report'!B1087</f>
        <v>0</v>
      </c>
      <c r="E1087">
        <f>'Audit Report'!C1087</f>
        <v>0</v>
      </c>
      <c r="I1087">
        <f>'Audit Report'!D1087</f>
        <v>0</v>
      </c>
      <c r="J1087">
        <f>'Audit Report'!H1087</f>
        <v>0</v>
      </c>
      <c r="L1087" t="str">
        <f>_xlfn.TEXTJOIN(", ", FALSE, 'Audit Report'!K1087,'Audit Report'!L1087,'Audit Report'!M1087)</f>
        <v xml:space="preserve">, , </v>
      </c>
      <c r="M1087">
        <f>'Audit Report'!O1087</f>
        <v>0</v>
      </c>
      <c r="N1087" t="str" cm="1">
        <f t="array" ref="N1087">IF(M1087="","",
_xlfn.TEXTJOIN(", ",TRUE,
    _xlfn.MAP(_xlfn.TEXTSPLIT(M1087,","),_xlfn.LAMBDA(_xlpm.x,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7">
        <f>'Audit Report'!F1087</f>
        <v>0</v>
      </c>
      <c r="S1087">
        <f>'Audit Report'!Q1087</f>
        <v>0</v>
      </c>
    </row>
    <row r="1088" spans="4:19">
      <c r="D1088">
        <f>'Audit Report'!B1088</f>
        <v>0</v>
      </c>
      <c r="E1088">
        <f>'Audit Report'!C1088</f>
        <v>0</v>
      </c>
      <c r="I1088">
        <f>'Audit Report'!D1088</f>
        <v>0</v>
      </c>
      <c r="J1088">
        <f>'Audit Report'!H1088</f>
        <v>0</v>
      </c>
      <c r="L1088" t="str">
        <f>_xlfn.TEXTJOIN(", ", FALSE, 'Audit Report'!K1088,'Audit Report'!L1088,'Audit Report'!M1088)</f>
        <v xml:space="preserve">, , </v>
      </c>
      <c r="M1088">
        <f>'Audit Report'!O1088</f>
        <v>0</v>
      </c>
      <c r="N1088" t="str" cm="1">
        <f t="array" ref="N1088">IF(M1088="","",
_xlfn.TEXTJOIN(", ",TRUE,
    _xlfn.MAP(_xlfn.TEXTSPLIT(M1088,","),_xlfn.LAMBDA(_xlpm.x,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8">
        <f>'Audit Report'!F1088</f>
        <v>0</v>
      </c>
      <c r="S1088">
        <f>'Audit Report'!Q1088</f>
        <v>0</v>
      </c>
    </row>
    <row r="1089" spans="4:19">
      <c r="D1089">
        <f>'Audit Report'!B1089</f>
        <v>0</v>
      </c>
      <c r="E1089">
        <f>'Audit Report'!C1089</f>
        <v>0</v>
      </c>
      <c r="I1089">
        <f>'Audit Report'!D1089</f>
        <v>0</v>
      </c>
      <c r="J1089">
        <f>'Audit Report'!H1089</f>
        <v>0</v>
      </c>
      <c r="L1089" t="str">
        <f>_xlfn.TEXTJOIN(", ", FALSE, 'Audit Report'!K1089,'Audit Report'!L1089,'Audit Report'!M1089)</f>
        <v xml:space="preserve">, , </v>
      </c>
      <c r="M1089">
        <f>'Audit Report'!O1089</f>
        <v>0</v>
      </c>
      <c r="N1089" t="str" cm="1">
        <f t="array" ref="N1089">IF(M1089="","",
_xlfn.TEXTJOIN(", ",TRUE,
    _xlfn.MAP(_xlfn.TEXTSPLIT(M1089,","),_xlfn.LAMBDA(_xlpm.x,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9">
        <f>'Audit Report'!F1089</f>
        <v>0</v>
      </c>
      <c r="S1089">
        <f>'Audit Report'!Q1089</f>
        <v>0</v>
      </c>
    </row>
    <row r="1090" spans="4:19">
      <c r="D1090">
        <f>'Audit Report'!B1090</f>
        <v>0</v>
      </c>
      <c r="E1090">
        <f>'Audit Report'!C1090</f>
        <v>0</v>
      </c>
      <c r="I1090">
        <f>'Audit Report'!D1090</f>
        <v>0</v>
      </c>
      <c r="J1090">
        <f>'Audit Report'!H1090</f>
        <v>0</v>
      </c>
      <c r="L1090" t="str">
        <f>_xlfn.TEXTJOIN(", ", FALSE, 'Audit Report'!K1090,'Audit Report'!L1090,'Audit Report'!M1090)</f>
        <v xml:space="preserve">, , </v>
      </c>
      <c r="M1090">
        <f>'Audit Report'!O1090</f>
        <v>0</v>
      </c>
      <c r="N1090" t="str" cm="1">
        <f t="array" ref="N1090">IF(M1090="","",
_xlfn.TEXTJOIN(", ",TRUE,
    _xlfn.MAP(_xlfn.TEXTSPLIT(M1090,","),_xlfn.LAMBDA(_xlpm.x,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0">
        <f>'Audit Report'!F1090</f>
        <v>0</v>
      </c>
      <c r="S1090">
        <f>'Audit Report'!Q1090</f>
        <v>0</v>
      </c>
    </row>
    <row r="1091" spans="4:19">
      <c r="D1091">
        <f>'Audit Report'!B1091</f>
        <v>0</v>
      </c>
      <c r="E1091">
        <f>'Audit Report'!C1091</f>
        <v>0</v>
      </c>
      <c r="I1091">
        <f>'Audit Report'!D1091</f>
        <v>0</v>
      </c>
      <c r="J1091">
        <f>'Audit Report'!H1091</f>
        <v>0</v>
      </c>
      <c r="L1091" t="str">
        <f>_xlfn.TEXTJOIN(", ", FALSE, 'Audit Report'!K1091,'Audit Report'!L1091,'Audit Report'!M1091)</f>
        <v xml:space="preserve">, , </v>
      </c>
      <c r="M1091">
        <f>'Audit Report'!O1091</f>
        <v>0</v>
      </c>
      <c r="N1091" t="str" cm="1">
        <f t="array" ref="N1091">IF(M1091="","",
_xlfn.TEXTJOIN(", ",TRUE,
    _xlfn.MAP(_xlfn.TEXTSPLIT(M1091,","),_xlfn.LAMBDA(_xlpm.x,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1">
        <f>'Audit Report'!F1091</f>
        <v>0</v>
      </c>
      <c r="S1091">
        <f>'Audit Report'!Q1091</f>
        <v>0</v>
      </c>
    </row>
    <row r="1092" spans="4:19">
      <c r="D1092">
        <f>'Audit Report'!B1092</f>
        <v>0</v>
      </c>
      <c r="E1092">
        <f>'Audit Report'!C1092</f>
        <v>0</v>
      </c>
      <c r="I1092">
        <f>'Audit Report'!D1092</f>
        <v>0</v>
      </c>
      <c r="J1092">
        <f>'Audit Report'!H1092</f>
        <v>0</v>
      </c>
      <c r="L1092" t="str">
        <f>_xlfn.TEXTJOIN(", ", FALSE, 'Audit Report'!K1092,'Audit Report'!L1092,'Audit Report'!M1092)</f>
        <v xml:space="preserve">, , </v>
      </c>
      <c r="M1092">
        <f>'Audit Report'!O1092</f>
        <v>0</v>
      </c>
      <c r="N1092" t="str" cm="1">
        <f t="array" ref="N1092">IF(M1092="","",
_xlfn.TEXTJOIN(", ",TRUE,
    _xlfn.MAP(_xlfn.TEXTSPLIT(M1092,","),_xlfn.LAMBDA(_xlpm.x,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2">
        <f>'Audit Report'!F1092</f>
        <v>0</v>
      </c>
      <c r="S1092">
        <f>'Audit Report'!Q1092</f>
        <v>0</v>
      </c>
    </row>
    <row r="1093" spans="4:19">
      <c r="D1093">
        <f>'Audit Report'!B1093</f>
        <v>0</v>
      </c>
      <c r="E1093">
        <f>'Audit Report'!C1093</f>
        <v>0</v>
      </c>
      <c r="I1093">
        <f>'Audit Report'!D1093</f>
        <v>0</v>
      </c>
      <c r="J1093">
        <f>'Audit Report'!H1093</f>
        <v>0</v>
      </c>
      <c r="L1093" t="str">
        <f>_xlfn.TEXTJOIN(", ", FALSE, 'Audit Report'!K1093,'Audit Report'!L1093,'Audit Report'!M1093)</f>
        <v xml:space="preserve">, , </v>
      </c>
      <c r="M1093">
        <f>'Audit Report'!O1093</f>
        <v>0</v>
      </c>
      <c r="N1093" t="str" cm="1">
        <f t="array" ref="N1093">IF(M1093="","",
_xlfn.TEXTJOIN(", ",TRUE,
    _xlfn.MAP(_xlfn.TEXTSPLIT(M1093,","),_xlfn.LAMBDA(_xlpm.x,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3">
        <f>'Audit Report'!F1093</f>
        <v>0</v>
      </c>
      <c r="S1093">
        <f>'Audit Report'!Q1093</f>
        <v>0</v>
      </c>
    </row>
    <row r="1094" spans="4:19">
      <c r="D1094">
        <f>'Audit Report'!B1094</f>
        <v>0</v>
      </c>
      <c r="E1094">
        <f>'Audit Report'!C1094</f>
        <v>0</v>
      </c>
      <c r="I1094">
        <f>'Audit Report'!D1094</f>
        <v>0</v>
      </c>
      <c r="J1094">
        <f>'Audit Report'!H1094</f>
        <v>0</v>
      </c>
      <c r="L1094" t="str">
        <f>_xlfn.TEXTJOIN(", ", FALSE, 'Audit Report'!K1094,'Audit Report'!L1094,'Audit Report'!M1094)</f>
        <v xml:space="preserve">, , </v>
      </c>
      <c r="M1094">
        <f>'Audit Report'!O1094</f>
        <v>0</v>
      </c>
      <c r="N1094" t="str" cm="1">
        <f t="array" ref="N1094">IF(M1094="","",
_xlfn.TEXTJOIN(", ",TRUE,
    _xlfn.MAP(_xlfn.TEXTSPLIT(M1094,","),_xlfn.LAMBDA(_xlpm.x,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4">
        <f>'Audit Report'!F1094</f>
        <v>0</v>
      </c>
      <c r="S1094">
        <f>'Audit Report'!Q1094</f>
        <v>0</v>
      </c>
    </row>
    <row r="1095" spans="4:19">
      <c r="D1095">
        <f>'Audit Report'!B1095</f>
        <v>0</v>
      </c>
      <c r="E1095">
        <f>'Audit Report'!C1095</f>
        <v>0</v>
      </c>
      <c r="I1095">
        <f>'Audit Report'!D1095</f>
        <v>0</v>
      </c>
      <c r="J1095">
        <f>'Audit Report'!H1095</f>
        <v>0</v>
      </c>
      <c r="L1095" t="str">
        <f>_xlfn.TEXTJOIN(", ", FALSE, 'Audit Report'!K1095,'Audit Report'!L1095,'Audit Report'!M1095)</f>
        <v xml:space="preserve">, , </v>
      </c>
      <c r="M1095">
        <f>'Audit Report'!O1095</f>
        <v>0</v>
      </c>
      <c r="N1095" t="str" cm="1">
        <f t="array" ref="N1095">IF(M1095="","",
_xlfn.TEXTJOIN(", ",TRUE,
    _xlfn.MAP(_xlfn.TEXTSPLIT(M1095,","),_xlfn.LAMBDA(_xlpm.x,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5">
        <f>'Audit Report'!F1095</f>
        <v>0</v>
      </c>
      <c r="S1095">
        <f>'Audit Report'!Q1095</f>
        <v>0</v>
      </c>
    </row>
    <row r="1096" spans="4:19">
      <c r="D1096">
        <f>'Audit Report'!B1096</f>
        <v>0</v>
      </c>
      <c r="E1096">
        <f>'Audit Report'!C1096</f>
        <v>0</v>
      </c>
      <c r="I1096">
        <f>'Audit Report'!D1096</f>
        <v>0</v>
      </c>
      <c r="J1096">
        <f>'Audit Report'!H1096</f>
        <v>0</v>
      </c>
      <c r="L1096" t="str">
        <f>_xlfn.TEXTJOIN(", ", FALSE, 'Audit Report'!K1096,'Audit Report'!L1096,'Audit Report'!M1096)</f>
        <v xml:space="preserve">, , </v>
      </c>
      <c r="M1096">
        <f>'Audit Report'!O1096</f>
        <v>0</v>
      </c>
      <c r="N1096" t="str" cm="1">
        <f t="array" ref="N1096">IF(M1096="","",
_xlfn.TEXTJOIN(", ",TRUE,
    _xlfn.MAP(_xlfn.TEXTSPLIT(M1096,","),_xlfn.LAMBDA(_xlpm.x,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6">
        <f>'Audit Report'!F1096</f>
        <v>0</v>
      </c>
      <c r="S1096">
        <f>'Audit Report'!Q1096</f>
        <v>0</v>
      </c>
    </row>
    <row r="1097" spans="4:19">
      <c r="D1097">
        <f>'Audit Report'!B1097</f>
        <v>0</v>
      </c>
      <c r="E1097">
        <f>'Audit Report'!C1097</f>
        <v>0</v>
      </c>
      <c r="I1097">
        <f>'Audit Report'!D1097</f>
        <v>0</v>
      </c>
      <c r="J1097">
        <f>'Audit Report'!H1097</f>
        <v>0</v>
      </c>
      <c r="L1097" t="str">
        <f>_xlfn.TEXTJOIN(", ", FALSE, 'Audit Report'!K1097,'Audit Report'!L1097,'Audit Report'!M1097)</f>
        <v xml:space="preserve">, , </v>
      </c>
      <c r="M1097">
        <f>'Audit Report'!O1097</f>
        <v>0</v>
      </c>
      <c r="N1097" t="str" cm="1">
        <f t="array" ref="N1097">IF(M1097="","",
_xlfn.TEXTJOIN(", ",TRUE,
    _xlfn.MAP(_xlfn.TEXTSPLIT(M1097,","),_xlfn.LAMBDA(_xlpm.x,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7">
        <f>'Audit Report'!F1097</f>
        <v>0</v>
      </c>
      <c r="S1097">
        <f>'Audit Report'!Q1097</f>
        <v>0</v>
      </c>
    </row>
    <row r="1098" spans="4:19">
      <c r="D1098">
        <f>'Audit Report'!B1098</f>
        <v>0</v>
      </c>
      <c r="E1098">
        <f>'Audit Report'!C1098</f>
        <v>0</v>
      </c>
      <c r="I1098">
        <f>'Audit Report'!D1098</f>
        <v>0</v>
      </c>
      <c r="J1098">
        <f>'Audit Report'!H1098</f>
        <v>0</v>
      </c>
      <c r="L1098" t="str">
        <f>_xlfn.TEXTJOIN(", ", FALSE, 'Audit Report'!K1098,'Audit Report'!L1098,'Audit Report'!M1098)</f>
        <v xml:space="preserve">, , </v>
      </c>
      <c r="M1098">
        <f>'Audit Report'!O1098</f>
        <v>0</v>
      </c>
      <c r="N1098" t="str" cm="1">
        <f t="array" ref="N1098">IF(M1098="","",
_xlfn.TEXTJOIN(", ",TRUE,
    _xlfn.MAP(_xlfn.TEXTSPLIT(M1098,","),_xlfn.LAMBDA(_xlpm.x,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8">
        <f>'Audit Report'!F1098</f>
        <v>0</v>
      </c>
      <c r="S1098">
        <f>'Audit Report'!Q1098</f>
        <v>0</v>
      </c>
    </row>
    <row r="1099" spans="4:19">
      <c r="D1099">
        <f>'Audit Report'!B1099</f>
        <v>0</v>
      </c>
      <c r="E1099">
        <f>'Audit Report'!C1099</f>
        <v>0</v>
      </c>
      <c r="I1099">
        <f>'Audit Report'!D1099</f>
        <v>0</v>
      </c>
      <c r="J1099">
        <f>'Audit Report'!H1099</f>
        <v>0</v>
      </c>
      <c r="L1099" t="str">
        <f>_xlfn.TEXTJOIN(", ", FALSE, 'Audit Report'!K1099,'Audit Report'!L1099,'Audit Report'!M1099)</f>
        <v xml:space="preserve">, , </v>
      </c>
      <c r="M1099">
        <f>'Audit Report'!O1099</f>
        <v>0</v>
      </c>
      <c r="N1099" t="str" cm="1">
        <f t="array" ref="N1099">IF(M1099="","",
_xlfn.TEXTJOIN(", ",TRUE,
    _xlfn.MAP(_xlfn.TEXTSPLIT(M1099,","),_xlfn.LAMBDA(_xlpm.x,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9">
        <f>'Audit Report'!F1099</f>
        <v>0</v>
      </c>
      <c r="S1099">
        <f>'Audit Report'!Q1099</f>
        <v>0</v>
      </c>
    </row>
    <row r="1100" spans="4:19">
      <c r="D1100">
        <f>'Audit Report'!B1100</f>
        <v>0</v>
      </c>
      <c r="E1100">
        <f>'Audit Report'!C1100</f>
        <v>0</v>
      </c>
      <c r="I1100">
        <f>'Audit Report'!D1100</f>
        <v>0</v>
      </c>
      <c r="J1100">
        <f>'Audit Report'!H1100</f>
        <v>0</v>
      </c>
      <c r="L1100" t="str">
        <f>_xlfn.TEXTJOIN(", ", FALSE, 'Audit Report'!K1100,'Audit Report'!L1100,'Audit Report'!M1100)</f>
        <v xml:space="preserve">, , </v>
      </c>
      <c r="M1100">
        <f>'Audit Report'!O1100</f>
        <v>0</v>
      </c>
      <c r="N1100" t="str" cm="1">
        <f t="array" ref="N1100">IF(M1100="","",
_xlfn.TEXTJOIN(", ",TRUE,
    _xlfn.MAP(_xlfn.TEXTSPLIT(M1100,","),_xlfn.LAMBDA(_xlpm.x,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0">
        <f>'Audit Report'!F1100</f>
        <v>0</v>
      </c>
      <c r="S1100">
        <f>'Audit Report'!Q1100</f>
        <v>0</v>
      </c>
    </row>
    <row r="1101" spans="4:19">
      <c r="D1101">
        <f>'Audit Report'!B1101</f>
        <v>0</v>
      </c>
      <c r="E1101">
        <f>'Audit Report'!C1101</f>
        <v>0</v>
      </c>
      <c r="I1101">
        <f>'Audit Report'!D1101</f>
        <v>0</v>
      </c>
      <c r="J1101">
        <f>'Audit Report'!H1101</f>
        <v>0</v>
      </c>
      <c r="L1101" t="str">
        <f>_xlfn.TEXTJOIN(", ", FALSE, 'Audit Report'!K1101,'Audit Report'!L1101,'Audit Report'!M1101)</f>
        <v xml:space="preserve">, , </v>
      </c>
      <c r="M1101">
        <f>'Audit Report'!O1101</f>
        <v>0</v>
      </c>
      <c r="N1101" t="str" cm="1">
        <f t="array" ref="N1101">IF(M1101="","",
_xlfn.TEXTJOIN(", ",TRUE,
    _xlfn.MAP(_xlfn.TEXTSPLIT(M1101,","),_xlfn.LAMBDA(_xlpm.x,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1">
        <f>'Audit Report'!F1101</f>
        <v>0</v>
      </c>
      <c r="S1101">
        <f>'Audit Report'!Q1101</f>
        <v>0</v>
      </c>
    </row>
    <row r="1102" spans="4:19">
      <c r="D1102">
        <f>'Audit Report'!B1102</f>
        <v>0</v>
      </c>
      <c r="E1102">
        <f>'Audit Report'!C1102</f>
        <v>0</v>
      </c>
      <c r="I1102">
        <f>'Audit Report'!D1102</f>
        <v>0</v>
      </c>
      <c r="J1102">
        <f>'Audit Report'!H1102</f>
        <v>0</v>
      </c>
      <c r="L1102" t="str">
        <f>_xlfn.TEXTJOIN(", ", FALSE, 'Audit Report'!K1102,'Audit Report'!L1102,'Audit Report'!M1102)</f>
        <v xml:space="preserve">, , </v>
      </c>
      <c r="M1102">
        <f>'Audit Report'!O1102</f>
        <v>0</v>
      </c>
      <c r="N1102" t="str" cm="1">
        <f t="array" ref="N1102">IF(M1102="","",
_xlfn.TEXTJOIN(", ",TRUE,
    _xlfn.MAP(_xlfn.TEXTSPLIT(M1102,","),_xlfn.LAMBDA(_xlpm.x,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2">
        <f>'Audit Report'!F1102</f>
        <v>0</v>
      </c>
      <c r="S1102">
        <f>'Audit Report'!Q1102</f>
        <v>0</v>
      </c>
    </row>
    <row r="1103" spans="4:19">
      <c r="D1103">
        <f>'Audit Report'!B1103</f>
        <v>0</v>
      </c>
      <c r="E1103">
        <f>'Audit Report'!C1103</f>
        <v>0</v>
      </c>
      <c r="I1103">
        <f>'Audit Report'!D1103</f>
        <v>0</v>
      </c>
      <c r="J1103">
        <f>'Audit Report'!H1103</f>
        <v>0</v>
      </c>
      <c r="L1103" t="str">
        <f>_xlfn.TEXTJOIN(", ", FALSE, 'Audit Report'!K1103,'Audit Report'!L1103,'Audit Report'!M1103)</f>
        <v xml:space="preserve">, , </v>
      </c>
      <c r="M1103">
        <f>'Audit Report'!O1103</f>
        <v>0</v>
      </c>
      <c r="N1103" t="str" cm="1">
        <f t="array" ref="N1103">IF(M1103="","",
_xlfn.TEXTJOIN(", ",TRUE,
    _xlfn.MAP(_xlfn.TEXTSPLIT(M1103,","),_xlfn.LAMBDA(_xlpm.x,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3">
        <f>'Audit Report'!F1103</f>
        <v>0</v>
      </c>
      <c r="S1103">
        <f>'Audit Report'!Q1103</f>
        <v>0</v>
      </c>
    </row>
    <row r="1104" spans="4:19">
      <c r="D1104">
        <f>'Audit Report'!B1104</f>
        <v>0</v>
      </c>
      <c r="E1104">
        <f>'Audit Report'!C1104</f>
        <v>0</v>
      </c>
      <c r="I1104">
        <f>'Audit Report'!D1104</f>
        <v>0</v>
      </c>
      <c r="J1104">
        <f>'Audit Report'!H1104</f>
        <v>0</v>
      </c>
      <c r="L1104" t="str">
        <f>_xlfn.TEXTJOIN(", ", FALSE, 'Audit Report'!K1104,'Audit Report'!L1104,'Audit Report'!M1104)</f>
        <v xml:space="preserve">, , </v>
      </c>
      <c r="M1104">
        <f>'Audit Report'!O1104</f>
        <v>0</v>
      </c>
      <c r="N1104" t="str" cm="1">
        <f t="array" ref="N1104">IF(M1104="","",
_xlfn.TEXTJOIN(", ",TRUE,
    _xlfn.MAP(_xlfn.TEXTSPLIT(M1104,","),_xlfn.LAMBDA(_xlpm.x,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4">
        <f>'Audit Report'!F1104</f>
        <v>0</v>
      </c>
      <c r="S1104">
        <f>'Audit Report'!Q1104</f>
        <v>0</v>
      </c>
    </row>
    <row r="1105" spans="4:19">
      <c r="D1105">
        <f>'Audit Report'!B1105</f>
        <v>0</v>
      </c>
      <c r="E1105">
        <f>'Audit Report'!C1105</f>
        <v>0</v>
      </c>
      <c r="I1105">
        <f>'Audit Report'!D1105</f>
        <v>0</v>
      </c>
      <c r="J1105">
        <f>'Audit Report'!H1105</f>
        <v>0</v>
      </c>
      <c r="L1105" t="str">
        <f>_xlfn.TEXTJOIN(", ", FALSE, 'Audit Report'!K1105,'Audit Report'!L1105,'Audit Report'!M1105)</f>
        <v xml:space="preserve">, , </v>
      </c>
      <c r="M1105">
        <f>'Audit Report'!O1105</f>
        <v>0</v>
      </c>
      <c r="N1105" t="str" cm="1">
        <f t="array" ref="N1105">IF(M1105="","",
_xlfn.TEXTJOIN(", ",TRUE,
    _xlfn.MAP(_xlfn.TEXTSPLIT(M1105,","),_xlfn.LAMBDA(_xlpm.x,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5">
        <f>'Audit Report'!F1105</f>
        <v>0</v>
      </c>
      <c r="S1105">
        <f>'Audit Report'!Q1105</f>
        <v>0</v>
      </c>
    </row>
    <row r="1106" spans="4:19">
      <c r="D1106">
        <f>'Audit Report'!B1106</f>
        <v>0</v>
      </c>
      <c r="E1106">
        <f>'Audit Report'!C1106</f>
        <v>0</v>
      </c>
      <c r="I1106">
        <f>'Audit Report'!D1106</f>
        <v>0</v>
      </c>
      <c r="J1106">
        <f>'Audit Report'!H1106</f>
        <v>0</v>
      </c>
      <c r="L1106" t="str">
        <f>_xlfn.TEXTJOIN(", ", FALSE, 'Audit Report'!K1106,'Audit Report'!L1106,'Audit Report'!M1106)</f>
        <v xml:space="preserve">, , </v>
      </c>
      <c r="M1106">
        <f>'Audit Report'!O1106</f>
        <v>0</v>
      </c>
      <c r="N1106" t="str" cm="1">
        <f t="array" ref="N1106">IF(M1106="","",
_xlfn.TEXTJOIN(", ",TRUE,
    _xlfn.MAP(_xlfn.TEXTSPLIT(M1106,","),_xlfn.LAMBDA(_xlpm.x,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6">
        <f>'Audit Report'!F1106</f>
        <v>0</v>
      </c>
      <c r="S1106">
        <f>'Audit Report'!Q1106</f>
        <v>0</v>
      </c>
    </row>
    <row r="1107" spans="4:19">
      <c r="D1107">
        <f>'Audit Report'!B1107</f>
        <v>0</v>
      </c>
      <c r="E1107">
        <f>'Audit Report'!C1107</f>
        <v>0</v>
      </c>
      <c r="I1107">
        <f>'Audit Report'!D1107</f>
        <v>0</v>
      </c>
      <c r="J1107">
        <f>'Audit Report'!H1107</f>
        <v>0</v>
      </c>
      <c r="L1107" t="str">
        <f>_xlfn.TEXTJOIN(", ", FALSE, 'Audit Report'!K1107,'Audit Report'!L1107,'Audit Report'!M1107)</f>
        <v xml:space="preserve">, , </v>
      </c>
      <c r="M1107">
        <f>'Audit Report'!O1107</f>
        <v>0</v>
      </c>
      <c r="N1107" t="str" cm="1">
        <f t="array" ref="N1107">IF(M1107="","",
_xlfn.TEXTJOIN(", ",TRUE,
    _xlfn.MAP(_xlfn.TEXTSPLIT(M1107,","),_xlfn.LAMBDA(_xlpm.x,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7">
        <f>'Audit Report'!F1107</f>
        <v>0</v>
      </c>
      <c r="S1107">
        <f>'Audit Report'!Q1107</f>
        <v>0</v>
      </c>
    </row>
    <row r="1108" spans="4:19">
      <c r="D1108">
        <f>'Audit Report'!B1108</f>
        <v>0</v>
      </c>
      <c r="E1108">
        <f>'Audit Report'!C1108</f>
        <v>0</v>
      </c>
      <c r="I1108">
        <f>'Audit Report'!D1108</f>
        <v>0</v>
      </c>
      <c r="J1108">
        <f>'Audit Report'!H1108</f>
        <v>0</v>
      </c>
      <c r="L1108" t="str">
        <f>_xlfn.TEXTJOIN(", ", FALSE, 'Audit Report'!K1108,'Audit Report'!L1108,'Audit Report'!M1108)</f>
        <v xml:space="preserve">, , </v>
      </c>
      <c r="M1108">
        <f>'Audit Report'!O1108</f>
        <v>0</v>
      </c>
      <c r="N1108" t="str" cm="1">
        <f t="array" ref="N1108">IF(M1108="","",
_xlfn.TEXTJOIN(", ",TRUE,
    _xlfn.MAP(_xlfn.TEXTSPLIT(M1108,","),_xlfn.LAMBDA(_xlpm.x,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8">
        <f>'Audit Report'!F1108</f>
        <v>0</v>
      </c>
      <c r="S1108">
        <f>'Audit Report'!Q1108</f>
        <v>0</v>
      </c>
    </row>
    <row r="1109" spans="4:19">
      <c r="D1109">
        <f>'Audit Report'!B1109</f>
        <v>0</v>
      </c>
      <c r="E1109">
        <f>'Audit Report'!C1109</f>
        <v>0</v>
      </c>
      <c r="I1109">
        <f>'Audit Report'!D1109</f>
        <v>0</v>
      </c>
      <c r="J1109">
        <f>'Audit Report'!H1109</f>
        <v>0</v>
      </c>
      <c r="L1109" t="str">
        <f>_xlfn.TEXTJOIN(", ", FALSE, 'Audit Report'!K1109,'Audit Report'!L1109,'Audit Report'!M1109)</f>
        <v xml:space="preserve">, , </v>
      </c>
      <c r="M1109">
        <f>'Audit Report'!O1109</f>
        <v>0</v>
      </c>
      <c r="N1109" t="str" cm="1">
        <f t="array" ref="N1109">IF(M1109="","",
_xlfn.TEXTJOIN(", ",TRUE,
    _xlfn.MAP(_xlfn.TEXTSPLIT(M1109,","),_xlfn.LAMBDA(_xlpm.x,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9">
        <f>'Audit Report'!F1109</f>
        <v>0</v>
      </c>
      <c r="S1109">
        <f>'Audit Report'!Q1109</f>
        <v>0</v>
      </c>
    </row>
    <row r="1110" spans="4:19">
      <c r="D1110">
        <f>'Audit Report'!B1110</f>
        <v>0</v>
      </c>
      <c r="E1110">
        <f>'Audit Report'!C1110</f>
        <v>0</v>
      </c>
      <c r="I1110">
        <f>'Audit Report'!D1110</f>
        <v>0</v>
      </c>
      <c r="J1110">
        <f>'Audit Report'!H1110</f>
        <v>0</v>
      </c>
      <c r="L1110" t="str">
        <f>_xlfn.TEXTJOIN(", ", FALSE, 'Audit Report'!K1110,'Audit Report'!L1110,'Audit Report'!M1110)</f>
        <v xml:space="preserve">, , </v>
      </c>
      <c r="M1110">
        <f>'Audit Report'!O1110</f>
        <v>0</v>
      </c>
      <c r="N1110" t="str" cm="1">
        <f t="array" ref="N1110">IF(M1110="","",
_xlfn.TEXTJOIN(", ",TRUE,
    _xlfn.MAP(_xlfn.TEXTSPLIT(M1110,","),_xlfn.LAMBDA(_xlpm.x,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0">
        <f>'Audit Report'!F1110</f>
        <v>0</v>
      </c>
      <c r="S1110">
        <f>'Audit Report'!Q1110</f>
        <v>0</v>
      </c>
    </row>
    <row r="1111" spans="4:19">
      <c r="D1111">
        <f>'Audit Report'!B1111</f>
        <v>0</v>
      </c>
      <c r="E1111">
        <f>'Audit Report'!C1111</f>
        <v>0</v>
      </c>
      <c r="I1111">
        <f>'Audit Report'!D1111</f>
        <v>0</v>
      </c>
      <c r="J1111">
        <f>'Audit Report'!H1111</f>
        <v>0</v>
      </c>
      <c r="L1111" t="str">
        <f>_xlfn.TEXTJOIN(", ", FALSE, 'Audit Report'!K1111,'Audit Report'!L1111,'Audit Report'!M1111)</f>
        <v xml:space="preserve">, , </v>
      </c>
      <c r="M1111">
        <f>'Audit Report'!O1111</f>
        <v>0</v>
      </c>
      <c r="N1111" t="str" cm="1">
        <f t="array" ref="N1111">IF(M1111="","",
_xlfn.TEXTJOIN(", ",TRUE,
    _xlfn.MAP(_xlfn.TEXTSPLIT(M1111,","),_xlfn.LAMBDA(_xlpm.x,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1">
        <f>'Audit Report'!F1111</f>
        <v>0</v>
      </c>
      <c r="S1111">
        <f>'Audit Report'!Q1111</f>
        <v>0</v>
      </c>
    </row>
    <row r="1112" spans="4:19">
      <c r="D1112">
        <f>'Audit Report'!B1112</f>
        <v>0</v>
      </c>
      <c r="E1112">
        <f>'Audit Report'!C1112</f>
        <v>0</v>
      </c>
      <c r="I1112">
        <f>'Audit Report'!D1112</f>
        <v>0</v>
      </c>
      <c r="J1112">
        <f>'Audit Report'!H1112</f>
        <v>0</v>
      </c>
      <c r="L1112" t="str">
        <f>_xlfn.TEXTJOIN(", ", FALSE, 'Audit Report'!K1112,'Audit Report'!L1112,'Audit Report'!M1112)</f>
        <v xml:space="preserve">, , </v>
      </c>
      <c r="M1112">
        <f>'Audit Report'!O1112</f>
        <v>0</v>
      </c>
      <c r="N1112" t="str" cm="1">
        <f t="array" ref="N1112">IF(M1112="","",
_xlfn.TEXTJOIN(", ",TRUE,
    _xlfn.MAP(_xlfn.TEXTSPLIT(M1112,","),_xlfn.LAMBDA(_xlpm.x,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2">
        <f>'Audit Report'!F1112</f>
        <v>0</v>
      </c>
      <c r="S1112">
        <f>'Audit Report'!Q1112</f>
        <v>0</v>
      </c>
    </row>
    <row r="1113" spans="4:19">
      <c r="D1113">
        <f>'Audit Report'!B1113</f>
        <v>0</v>
      </c>
      <c r="E1113">
        <f>'Audit Report'!C1113</f>
        <v>0</v>
      </c>
      <c r="I1113">
        <f>'Audit Report'!D1113</f>
        <v>0</v>
      </c>
      <c r="J1113">
        <f>'Audit Report'!H1113</f>
        <v>0</v>
      </c>
      <c r="L1113" t="str">
        <f>_xlfn.TEXTJOIN(", ", FALSE, 'Audit Report'!K1113,'Audit Report'!L1113,'Audit Report'!M1113)</f>
        <v xml:space="preserve">, , </v>
      </c>
      <c r="M1113">
        <f>'Audit Report'!O1113</f>
        <v>0</v>
      </c>
      <c r="N1113" t="str" cm="1">
        <f t="array" ref="N1113">IF(M1113="","",
_xlfn.TEXTJOIN(", ",TRUE,
    _xlfn.MAP(_xlfn.TEXTSPLIT(M1113,","),_xlfn.LAMBDA(_xlpm.x,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3">
        <f>'Audit Report'!F1113</f>
        <v>0</v>
      </c>
      <c r="S1113">
        <f>'Audit Report'!Q1113</f>
        <v>0</v>
      </c>
    </row>
    <row r="1114" spans="4:19">
      <c r="D1114">
        <f>'Audit Report'!B1114</f>
        <v>0</v>
      </c>
      <c r="E1114">
        <f>'Audit Report'!C1114</f>
        <v>0</v>
      </c>
      <c r="I1114">
        <f>'Audit Report'!D1114</f>
        <v>0</v>
      </c>
      <c r="J1114">
        <f>'Audit Report'!H1114</f>
        <v>0</v>
      </c>
      <c r="L1114" t="str">
        <f>_xlfn.TEXTJOIN(", ", FALSE, 'Audit Report'!K1114,'Audit Report'!L1114,'Audit Report'!M1114)</f>
        <v xml:space="preserve">, , </v>
      </c>
      <c r="M1114">
        <f>'Audit Report'!O1114</f>
        <v>0</v>
      </c>
      <c r="N1114" t="str" cm="1">
        <f t="array" ref="N1114">IF(M1114="","",
_xlfn.TEXTJOIN(", ",TRUE,
    _xlfn.MAP(_xlfn.TEXTSPLIT(M1114,","),_xlfn.LAMBDA(_xlpm.x,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4">
        <f>'Audit Report'!F1114</f>
        <v>0</v>
      </c>
      <c r="S1114">
        <f>'Audit Report'!Q1114</f>
        <v>0</v>
      </c>
    </row>
    <row r="1115" spans="4:19">
      <c r="D1115">
        <f>'Audit Report'!B1115</f>
        <v>0</v>
      </c>
      <c r="E1115">
        <f>'Audit Report'!C1115</f>
        <v>0</v>
      </c>
      <c r="I1115">
        <f>'Audit Report'!D1115</f>
        <v>0</v>
      </c>
      <c r="J1115">
        <f>'Audit Report'!H1115</f>
        <v>0</v>
      </c>
      <c r="L1115" t="str">
        <f>_xlfn.TEXTJOIN(", ", FALSE, 'Audit Report'!K1115,'Audit Report'!L1115,'Audit Report'!M1115)</f>
        <v xml:space="preserve">, , </v>
      </c>
      <c r="M1115">
        <f>'Audit Report'!O1115</f>
        <v>0</v>
      </c>
      <c r="N1115" t="str" cm="1">
        <f t="array" ref="N1115">IF(M1115="","",
_xlfn.TEXTJOIN(", ",TRUE,
    _xlfn.MAP(_xlfn.TEXTSPLIT(M1115,","),_xlfn.LAMBDA(_xlpm.x,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5">
        <f>'Audit Report'!F1115</f>
        <v>0</v>
      </c>
      <c r="S1115">
        <f>'Audit Report'!Q1115</f>
        <v>0</v>
      </c>
    </row>
    <row r="1116" spans="4:19">
      <c r="D1116">
        <f>'Audit Report'!B1116</f>
        <v>0</v>
      </c>
      <c r="E1116">
        <f>'Audit Report'!C1116</f>
        <v>0</v>
      </c>
      <c r="I1116">
        <f>'Audit Report'!D1116</f>
        <v>0</v>
      </c>
      <c r="J1116">
        <f>'Audit Report'!H1116</f>
        <v>0</v>
      </c>
      <c r="L1116" t="str">
        <f>_xlfn.TEXTJOIN(", ", FALSE, 'Audit Report'!K1116,'Audit Report'!L1116,'Audit Report'!M1116)</f>
        <v xml:space="preserve">, , </v>
      </c>
      <c r="M1116">
        <f>'Audit Report'!O1116</f>
        <v>0</v>
      </c>
      <c r="N1116" t="str" cm="1">
        <f t="array" ref="N1116">IF(M1116="","",
_xlfn.TEXTJOIN(", ",TRUE,
    _xlfn.MAP(_xlfn.TEXTSPLIT(M1116,","),_xlfn.LAMBDA(_xlpm.x,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6">
        <f>'Audit Report'!F1116</f>
        <v>0</v>
      </c>
      <c r="S1116">
        <f>'Audit Report'!Q1116</f>
        <v>0</v>
      </c>
    </row>
    <row r="1117" spans="4:19">
      <c r="D1117">
        <f>'Audit Report'!B1117</f>
        <v>0</v>
      </c>
      <c r="E1117">
        <f>'Audit Report'!C1117</f>
        <v>0</v>
      </c>
      <c r="I1117">
        <f>'Audit Report'!D1117</f>
        <v>0</v>
      </c>
      <c r="J1117">
        <f>'Audit Report'!H1117</f>
        <v>0</v>
      </c>
      <c r="L1117" t="str">
        <f>_xlfn.TEXTJOIN(", ", FALSE, 'Audit Report'!K1117,'Audit Report'!L1117,'Audit Report'!M1117)</f>
        <v xml:space="preserve">, , </v>
      </c>
      <c r="M1117">
        <f>'Audit Report'!O1117</f>
        <v>0</v>
      </c>
      <c r="N1117" t="str" cm="1">
        <f t="array" ref="N1117">IF(M1117="","",
_xlfn.TEXTJOIN(", ",TRUE,
    _xlfn.MAP(_xlfn.TEXTSPLIT(M1117,","),_xlfn.LAMBDA(_xlpm.x,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7">
        <f>'Audit Report'!F1117</f>
        <v>0</v>
      </c>
      <c r="S1117">
        <f>'Audit Report'!Q1117</f>
        <v>0</v>
      </c>
    </row>
    <row r="1118" spans="4:19">
      <c r="D1118">
        <f>'Audit Report'!B1118</f>
        <v>0</v>
      </c>
      <c r="E1118">
        <f>'Audit Report'!C1118</f>
        <v>0</v>
      </c>
      <c r="I1118">
        <f>'Audit Report'!D1118</f>
        <v>0</v>
      </c>
      <c r="J1118">
        <f>'Audit Report'!H1118</f>
        <v>0</v>
      </c>
      <c r="L1118" t="str">
        <f>_xlfn.TEXTJOIN(", ", FALSE, 'Audit Report'!K1118,'Audit Report'!L1118,'Audit Report'!M1118)</f>
        <v xml:space="preserve">, , </v>
      </c>
      <c r="M1118">
        <f>'Audit Report'!O1118</f>
        <v>0</v>
      </c>
      <c r="N1118" t="str" cm="1">
        <f t="array" ref="N1118">IF(M1118="","",
_xlfn.TEXTJOIN(", ",TRUE,
    _xlfn.MAP(_xlfn.TEXTSPLIT(M1118,","),_xlfn.LAMBDA(_xlpm.x,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8">
        <f>'Audit Report'!F1118</f>
        <v>0</v>
      </c>
      <c r="S1118">
        <f>'Audit Report'!Q1118</f>
        <v>0</v>
      </c>
    </row>
    <row r="1119" spans="4:19">
      <c r="D1119">
        <f>'Audit Report'!B1119</f>
        <v>0</v>
      </c>
      <c r="E1119">
        <f>'Audit Report'!C1119</f>
        <v>0</v>
      </c>
      <c r="I1119">
        <f>'Audit Report'!D1119</f>
        <v>0</v>
      </c>
      <c r="J1119">
        <f>'Audit Report'!H1119</f>
        <v>0</v>
      </c>
      <c r="L1119" t="str">
        <f>_xlfn.TEXTJOIN(", ", FALSE, 'Audit Report'!K1119,'Audit Report'!L1119,'Audit Report'!M1119)</f>
        <v xml:space="preserve">, , </v>
      </c>
      <c r="M1119">
        <f>'Audit Report'!O1119</f>
        <v>0</v>
      </c>
      <c r="N1119" t="str" cm="1">
        <f t="array" ref="N1119">IF(M1119="","",
_xlfn.TEXTJOIN(", ",TRUE,
    _xlfn.MAP(_xlfn.TEXTSPLIT(M1119,","),_xlfn.LAMBDA(_xlpm.x,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9">
        <f>'Audit Report'!F1119</f>
        <v>0</v>
      </c>
      <c r="S1119">
        <f>'Audit Report'!Q1119</f>
        <v>0</v>
      </c>
    </row>
    <row r="1120" spans="4:19">
      <c r="D1120">
        <f>'Audit Report'!B1120</f>
        <v>0</v>
      </c>
      <c r="E1120">
        <f>'Audit Report'!C1120</f>
        <v>0</v>
      </c>
      <c r="I1120">
        <f>'Audit Report'!D1120</f>
        <v>0</v>
      </c>
      <c r="J1120">
        <f>'Audit Report'!H1120</f>
        <v>0</v>
      </c>
      <c r="L1120" t="str">
        <f>_xlfn.TEXTJOIN(", ", FALSE, 'Audit Report'!K1120,'Audit Report'!L1120,'Audit Report'!M1120)</f>
        <v xml:space="preserve">, , </v>
      </c>
      <c r="M1120">
        <f>'Audit Report'!O1120</f>
        <v>0</v>
      </c>
      <c r="N1120" t="str" cm="1">
        <f t="array" ref="N1120">IF(M1120="","",
_xlfn.TEXTJOIN(", ",TRUE,
    _xlfn.MAP(_xlfn.TEXTSPLIT(M1120,","),_xlfn.LAMBDA(_xlpm.x,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0">
        <f>'Audit Report'!F1120</f>
        <v>0</v>
      </c>
      <c r="S1120">
        <f>'Audit Report'!Q1120</f>
        <v>0</v>
      </c>
    </row>
    <row r="1121" spans="4:19">
      <c r="D1121">
        <f>'Audit Report'!B1121</f>
        <v>0</v>
      </c>
      <c r="E1121">
        <f>'Audit Report'!C1121</f>
        <v>0</v>
      </c>
      <c r="I1121">
        <f>'Audit Report'!D1121</f>
        <v>0</v>
      </c>
      <c r="J1121">
        <f>'Audit Report'!H1121</f>
        <v>0</v>
      </c>
      <c r="L1121" t="str">
        <f>_xlfn.TEXTJOIN(", ", FALSE, 'Audit Report'!K1121,'Audit Report'!L1121,'Audit Report'!M1121)</f>
        <v xml:space="preserve">, , </v>
      </c>
      <c r="M1121">
        <f>'Audit Report'!O1121</f>
        <v>0</v>
      </c>
      <c r="N1121" t="str" cm="1">
        <f t="array" ref="N1121">IF(M1121="","",
_xlfn.TEXTJOIN(", ",TRUE,
    _xlfn.MAP(_xlfn.TEXTSPLIT(M1121,","),_xlfn.LAMBDA(_xlpm.x,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1">
        <f>'Audit Report'!F1121</f>
        <v>0</v>
      </c>
      <c r="S1121">
        <f>'Audit Report'!Q1121</f>
        <v>0</v>
      </c>
    </row>
    <row r="1122" spans="4:19">
      <c r="D1122">
        <f>'Audit Report'!B1122</f>
        <v>0</v>
      </c>
      <c r="E1122">
        <f>'Audit Report'!C1122</f>
        <v>0</v>
      </c>
      <c r="I1122">
        <f>'Audit Report'!D1122</f>
        <v>0</v>
      </c>
      <c r="J1122">
        <f>'Audit Report'!H1122</f>
        <v>0</v>
      </c>
      <c r="L1122" t="str">
        <f>_xlfn.TEXTJOIN(", ", FALSE, 'Audit Report'!K1122,'Audit Report'!L1122,'Audit Report'!M1122)</f>
        <v xml:space="preserve">, , </v>
      </c>
      <c r="M1122">
        <f>'Audit Report'!O1122</f>
        <v>0</v>
      </c>
      <c r="N1122" t="str" cm="1">
        <f t="array" ref="N1122">IF(M1122="","",
_xlfn.TEXTJOIN(", ",TRUE,
    _xlfn.MAP(_xlfn.TEXTSPLIT(M1122,","),_xlfn.LAMBDA(_xlpm.x,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2">
        <f>'Audit Report'!F1122</f>
        <v>0</v>
      </c>
      <c r="S1122">
        <f>'Audit Report'!Q1122</f>
        <v>0</v>
      </c>
    </row>
    <row r="1123" spans="4:19">
      <c r="D1123">
        <f>'Audit Report'!B1123</f>
        <v>0</v>
      </c>
      <c r="E1123">
        <f>'Audit Report'!C1123</f>
        <v>0</v>
      </c>
      <c r="I1123">
        <f>'Audit Report'!D1123</f>
        <v>0</v>
      </c>
      <c r="J1123">
        <f>'Audit Report'!H1123</f>
        <v>0</v>
      </c>
      <c r="L1123" t="str">
        <f>_xlfn.TEXTJOIN(", ", FALSE, 'Audit Report'!K1123,'Audit Report'!L1123,'Audit Report'!M1123)</f>
        <v xml:space="preserve">, , </v>
      </c>
      <c r="M1123">
        <f>'Audit Report'!O1123</f>
        <v>0</v>
      </c>
      <c r="N1123" t="str" cm="1">
        <f t="array" ref="N1123">IF(M1123="","",
_xlfn.TEXTJOIN(", ",TRUE,
    _xlfn.MAP(_xlfn.TEXTSPLIT(M1123,","),_xlfn.LAMBDA(_xlpm.x,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3">
        <f>'Audit Report'!F1123</f>
        <v>0</v>
      </c>
      <c r="S1123">
        <f>'Audit Report'!Q1123</f>
        <v>0</v>
      </c>
    </row>
    <row r="1124" spans="4:19">
      <c r="D1124">
        <f>'Audit Report'!B1124</f>
        <v>0</v>
      </c>
      <c r="E1124">
        <f>'Audit Report'!C1124</f>
        <v>0</v>
      </c>
      <c r="I1124">
        <f>'Audit Report'!D1124</f>
        <v>0</v>
      </c>
      <c r="J1124">
        <f>'Audit Report'!H1124</f>
        <v>0</v>
      </c>
      <c r="L1124" t="str">
        <f>_xlfn.TEXTJOIN(", ", FALSE, 'Audit Report'!K1124,'Audit Report'!L1124,'Audit Report'!M1124)</f>
        <v xml:space="preserve">, , </v>
      </c>
      <c r="M1124">
        <f>'Audit Report'!O1124</f>
        <v>0</v>
      </c>
      <c r="N1124" t="str" cm="1">
        <f t="array" ref="N1124">IF(M1124="","",
_xlfn.TEXTJOIN(", ",TRUE,
    _xlfn.MAP(_xlfn.TEXTSPLIT(M1124,","),_xlfn.LAMBDA(_xlpm.x,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4">
        <f>'Audit Report'!F1124</f>
        <v>0</v>
      </c>
      <c r="S1124">
        <f>'Audit Report'!Q1124</f>
        <v>0</v>
      </c>
    </row>
    <row r="1125" spans="4:19">
      <c r="D1125">
        <f>'Audit Report'!B1125</f>
        <v>0</v>
      </c>
      <c r="E1125">
        <f>'Audit Report'!C1125</f>
        <v>0</v>
      </c>
      <c r="I1125">
        <f>'Audit Report'!D1125</f>
        <v>0</v>
      </c>
      <c r="J1125">
        <f>'Audit Report'!H1125</f>
        <v>0</v>
      </c>
      <c r="L1125" t="str">
        <f>_xlfn.TEXTJOIN(", ", FALSE, 'Audit Report'!K1125,'Audit Report'!L1125,'Audit Report'!M1125)</f>
        <v xml:space="preserve">, , </v>
      </c>
      <c r="M1125">
        <f>'Audit Report'!O1125</f>
        <v>0</v>
      </c>
      <c r="N1125" t="str" cm="1">
        <f t="array" ref="N1125">IF(M1125="","",
_xlfn.TEXTJOIN(", ",TRUE,
    _xlfn.MAP(_xlfn.TEXTSPLIT(M1125,","),_xlfn.LAMBDA(_xlpm.x,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5">
        <f>'Audit Report'!F1125</f>
        <v>0</v>
      </c>
      <c r="S1125">
        <f>'Audit Report'!Q1125</f>
        <v>0</v>
      </c>
    </row>
    <row r="1126" spans="4:19">
      <c r="D1126">
        <f>'Audit Report'!B1126</f>
        <v>0</v>
      </c>
      <c r="E1126">
        <f>'Audit Report'!C1126</f>
        <v>0</v>
      </c>
      <c r="I1126">
        <f>'Audit Report'!D1126</f>
        <v>0</v>
      </c>
      <c r="J1126">
        <f>'Audit Report'!H1126</f>
        <v>0</v>
      </c>
      <c r="L1126" t="str">
        <f>_xlfn.TEXTJOIN(", ", FALSE, 'Audit Report'!K1126,'Audit Report'!L1126,'Audit Report'!M1126)</f>
        <v xml:space="preserve">, , </v>
      </c>
      <c r="M1126">
        <f>'Audit Report'!O1126</f>
        <v>0</v>
      </c>
      <c r="N1126" t="str" cm="1">
        <f t="array" ref="N1126">IF(M1126="","",
_xlfn.TEXTJOIN(", ",TRUE,
    _xlfn.MAP(_xlfn.TEXTSPLIT(M1126,","),_xlfn.LAMBDA(_xlpm.x,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6">
        <f>'Audit Report'!F1126</f>
        <v>0</v>
      </c>
      <c r="S1126">
        <f>'Audit Report'!Q1126</f>
        <v>0</v>
      </c>
    </row>
    <row r="1127" spans="4:19">
      <c r="D1127">
        <f>'Audit Report'!B1127</f>
        <v>0</v>
      </c>
      <c r="E1127">
        <f>'Audit Report'!C1127</f>
        <v>0</v>
      </c>
      <c r="I1127">
        <f>'Audit Report'!D1127</f>
        <v>0</v>
      </c>
      <c r="J1127">
        <f>'Audit Report'!H1127</f>
        <v>0</v>
      </c>
      <c r="L1127" t="str">
        <f>_xlfn.TEXTJOIN(", ", FALSE, 'Audit Report'!K1127,'Audit Report'!L1127,'Audit Report'!M1127)</f>
        <v xml:space="preserve">, , </v>
      </c>
      <c r="M1127">
        <f>'Audit Report'!O1127</f>
        <v>0</v>
      </c>
      <c r="N1127" t="str" cm="1">
        <f t="array" ref="N1127">IF(M1127="","",
_xlfn.TEXTJOIN(", ",TRUE,
    _xlfn.MAP(_xlfn.TEXTSPLIT(M1127,","),_xlfn.LAMBDA(_xlpm.x,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7">
        <f>'Audit Report'!F1127</f>
        <v>0</v>
      </c>
      <c r="S1127">
        <f>'Audit Report'!Q1127</f>
        <v>0</v>
      </c>
    </row>
    <row r="1128" spans="4:19">
      <c r="D1128">
        <f>'Audit Report'!B1128</f>
        <v>0</v>
      </c>
      <c r="E1128">
        <f>'Audit Report'!C1128</f>
        <v>0</v>
      </c>
      <c r="I1128">
        <f>'Audit Report'!D1128</f>
        <v>0</v>
      </c>
      <c r="J1128">
        <f>'Audit Report'!H1128</f>
        <v>0</v>
      </c>
      <c r="L1128" t="str">
        <f>_xlfn.TEXTJOIN(", ", FALSE, 'Audit Report'!K1128,'Audit Report'!L1128,'Audit Report'!M1128)</f>
        <v xml:space="preserve">, , </v>
      </c>
      <c r="M1128">
        <f>'Audit Report'!O1128</f>
        <v>0</v>
      </c>
      <c r="N1128" t="str" cm="1">
        <f t="array" ref="N1128">IF(M1128="","",
_xlfn.TEXTJOIN(", ",TRUE,
    _xlfn.MAP(_xlfn.TEXTSPLIT(M1128,","),_xlfn.LAMBDA(_xlpm.x,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8">
        <f>'Audit Report'!F1128</f>
        <v>0</v>
      </c>
      <c r="S1128">
        <f>'Audit Report'!Q1128</f>
        <v>0</v>
      </c>
    </row>
    <row r="1129" spans="4:19">
      <c r="D1129">
        <f>'Audit Report'!B1129</f>
        <v>0</v>
      </c>
      <c r="E1129">
        <f>'Audit Report'!C1129</f>
        <v>0</v>
      </c>
      <c r="I1129">
        <f>'Audit Report'!D1129</f>
        <v>0</v>
      </c>
      <c r="J1129">
        <f>'Audit Report'!H1129</f>
        <v>0</v>
      </c>
      <c r="L1129" t="str">
        <f>_xlfn.TEXTJOIN(", ", FALSE, 'Audit Report'!K1129,'Audit Report'!L1129,'Audit Report'!M1129)</f>
        <v xml:space="preserve">, , </v>
      </c>
      <c r="M1129">
        <f>'Audit Report'!O1129</f>
        <v>0</v>
      </c>
      <c r="N1129" t="str" cm="1">
        <f t="array" ref="N1129">IF(M1129="","",
_xlfn.TEXTJOIN(", ",TRUE,
    _xlfn.MAP(_xlfn.TEXTSPLIT(M1129,","),_xlfn.LAMBDA(_xlpm.x,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9">
        <f>'Audit Report'!F1129</f>
        <v>0</v>
      </c>
      <c r="S1129">
        <f>'Audit Report'!Q1129</f>
        <v>0</v>
      </c>
    </row>
    <row r="1130" spans="4:19">
      <c r="D1130">
        <f>'Audit Report'!B1130</f>
        <v>0</v>
      </c>
      <c r="E1130">
        <f>'Audit Report'!C1130</f>
        <v>0</v>
      </c>
      <c r="I1130">
        <f>'Audit Report'!D1130</f>
        <v>0</v>
      </c>
      <c r="J1130">
        <f>'Audit Report'!H1130</f>
        <v>0</v>
      </c>
      <c r="L1130" t="str">
        <f>_xlfn.TEXTJOIN(", ", FALSE, 'Audit Report'!K1130,'Audit Report'!L1130,'Audit Report'!M1130)</f>
        <v xml:space="preserve">, , </v>
      </c>
      <c r="M1130">
        <f>'Audit Report'!O1130</f>
        <v>0</v>
      </c>
      <c r="N1130" t="str" cm="1">
        <f t="array" ref="N1130">IF(M1130="","",
_xlfn.TEXTJOIN(", ",TRUE,
    _xlfn.MAP(_xlfn.TEXTSPLIT(M1130,","),_xlfn.LAMBDA(_xlpm.x,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0">
        <f>'Audit Report'!F1130</f>
        <v>0</v>
      </c>
      <c r="S1130">
        <f>'Audit Report'!Q1130</f>
        <v>0</v>
      </c>
    </row>
    <row r="1131" spans="4:19">
      <c r="D1131">
        <f>'Audit Report'!B1131</f>
        <v>0</v>
      </c>
      <c r="E1131">
        <f>'Audit Report'!C1131</f>
        <v>0</v>
      </c>
      <c r="I1131">
        <f>'Audit Report'!D1131</f>
        <v>0</v>
      </c>
      <c r="J1131">
        <f>'Audit Report'!H1131</f>
        <v>0</v>
      </c>
      <c r="L1131" t="str">
        <f>_xlfn.TEXTJOIN(", ", FALSE, 'Audit Report'!K1131,'Audit Report'!L1131,'Audit Report'!M1131)</f>
        <v xml:space="preserve">, , </v>
      </c>
      <c r="M1131">
        <f>'Audit Report'!O1131</f>
        <v>0</v>
      </c>
      <c r="N1131" t="str" cm="1">
        <f t="array" ref="N1131">IF(M1131="","",
_xlfn.TEXTJOIN(", ",TRUE,
    _xlfn.MAP(_xlfn.TEXTSPLIT(M1131,","),_xlfn.LAMBDA(_xlpm.x,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1">
        <f>'Audit Report'!F1131</f>
        <v>0</v>
      </c>
      <c r="S1131">
        <f>'Audit Report'!Q1131</f>
        <v>0</v>
      </c>
    </row>
    <row r="1132" spans="4:19">
      <c r="D1132">
        <f>'Audit Report'!B1132</f>
        <v>0</v>
      </c>
      <c r="E1132">
        <f>'Audit Report'!C1132</f>
        <v>0</v>
      </c>
      <c r="I1132">
        <f>'Audit Report'!D1132</f>
        <v>0</v>
      </c>
      <c r="J1132">
        <f>'Audit Report'!H1132</f>
        <v>0</v>
      </c>
      <c r="L1132" t="str">
        <f>_xlfn.TEXTJOIN(", ", FALSE, 'Audit Report'!K1132,'Audit Report'!L1132,'Audit Report'!M1132)</f>
        <v xml:space="preserve">, , </v>
      </c>
      <c r="M1132">
        <f>'Audit Report'!O1132</f>
        <v>0</v>
      </c>
      <c r="N1132" t="str" cm="1">
        <f t="array" ref="N1132">IF(M1132="","",
_xlfn.TEXTJOIN(", ",TRUE,
    _xlfn.MAP(_xlfn.TEXTSPLIT(M1132,","),_xlfn.LAMBDA(_xlpm.x,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2">
        <f>'Audit Report'!F1132</f>
        <v>0</v>
      </c>
      <c r="S1132">
        <f>'Audit Report'!Q1132</f>
        <v>0</v>
      </c>
    </row>
    <row r="1133" spans="4:19">
      <c r="D1133">
        <f>'Audit Report'!B1133</f>
        <v>0</v>
      </c>
      <c r="E1133">
        <f>'Audit Report'!C1133</f>
        <v>0</v>
      </c>
      <c r="I1133">
        <f>'Audit Report'!D1133</f>
        <v>0</v>
      </c>
      <c r="J1133">
        <f>'Audit Report'!H1133</f>
        <v>0</v>
      </c>
      <c r="L1133" t="str">
        <f>_xlfn.TEXTJOIN(", ", FALSE, 'Audit Report'!K1133,'Audit Report'!L1133,'Audit Report'!M1133)</f>
        <v xml:space="preserve">, , </v>
      </c>
      <c r="M1133">
        <f>'Audit Report'!O1133</f>
        <v>0</v>
      </c>
      <c r="N1133" t="str" cm="1">
        <f t="array" ref="N1133">IF(M1133="","",
_xlfn.TEXTJOIN(", ",TRUE,
    _xlfn.MAP(_xlfn.TEXTSPLIT(M1133,","),_xlfn.LAMBDA(_xlpm.x,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3">
        <f>'Audit Report'!F1133</f>
        <v>0</v>
      </c>
      <c r="S1133">
        <f>'Audit Report'!Q1133</f>
        <v>0</v>
      </c>
    </row>
    <row r="1134" spans="4:19">
      <c r="D1134">
        <f>'Audit Report'!B1134</f>
        <v>0</v>
      </c>
      <c r="E1134">
        <f>'Audit Report'!C1134</f>
        <v>0</v>
      </c>
      <c r="I1134">
        <f>'Audit Report'!D1134</f>
        <v>0</v>
      </c>
      <c r="J1134">
        <f>'Audit Report'!H1134</f>
        <v>0</v>
      </c>
      <c r="L1134" t="str">
        <f>_xlfn.TEXTJOIN(", ", FALSE, 'Audit Report'!K1134,'Audit Report'!L1134,'Audit Report'!M1134)</f>
        <v xml:space="preserve">, , </v>
      </c>
      <c r="M1134">
        <f>'Audit Report'!O1134</f>
        <v>0</v>
      </c>
      <c r="N1134" t="str" cm="1">
        <f t="array" ref="N1134">IF(M1134="","",
_xlfn.TEXTJOIN(", ",TRUE,
    _xlfn.MAP(_xlfn.TEXTSPLIT(M1134,","),_xlfn.LAMBDA(_xlpm.x,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4">
        <f>'Audit Report'!F1134</f>
        <v>0</v>
      </c>
      <c r="S1134">
        <f>'Audit Report'!Q1134</f>
        <v>0</v>
      </c>
    </row>
    <row r="1135" spans="4:19">
      <c r="D1135">
        <f>'Audit Report'!B1135</f>
        <v>0</v>
      </c>
      <c r="E1135">
        <f>'Audit Report'!C1135</f>
        <v>0</v>
      </c>
      <c r="I1135">
        <f>'Audit Report'!D1135</f>
        <v>0</v>
      </c>
      <c r="J1135">
        <f>'Audit Report'!H1135</f>
        <v>0</v>
      </c>
      <c r="L1135" t="str">
        <f>_xlfn.TEXTJOIN(", ", FALSE, 'Audit Report'!K1135,'Audit Report'!L1135,'Audit Report'!M1135)</f>
        <v xml:space="preserve">, , </v>
      </c>
      <c r="M1135">
        <f>'Audit Report'!O1135</f>
        <v>0</v>
      </c>
      <c r="N1135" t="str" cm="1">
        <f t="array" ref="N1135">IF(M1135="","",
_xlfn.TEXTJOIN(", ",TRUE,
    _xlfn.MAP(_xlfn.TEXTSPLIT(M1135,","),_xlfn.LAMBDA(_xlpm.x,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5">
        <f>'Audit Report'!F1135</f>
        <v>0</v>
      </c>
      <c r="S1135">
        <f>'Audit Report'!Q1135</f>
        <v>0</v>
      </c>
    </row>
    <row r="1136" spans="4:19">
      <c r="D1136">
        <f>'Audit Report'!B1136</f>
        <v>0</v>
      </c>
      <c r="E1136">
        <f>'Audit Report'!C1136</f>
        <v>0</v>
      </c>
      <c r="I1136">
        <f>'Audit Report'!D1136</f>
        <v>0</v>
      </c>
      <c r="J1136">
        <f>'Audit Report'!H1136</f>
        <v>0</v>
      </c>
      <c r="L1136" t="str">
        <f>_xlfn.TEXTJOIN(", ", FALSE, 'Audit Report'!K1136,'Audit Report'!L1136,'Audit Report'!M1136)</f>
        <v xml:space="preserve">, , </v>
      </c>
      <c r="M1136">
        <f>'Audit Report'!O1136</f>
        <v>0</v>
      </c>
      <c r="N1136" t="str" cm="1">
        <f t="array" ref="N1136">IF(M1136="","",
_xlfn.TEXTJOIN(", ",TRUE,
    _xlfn.MAP(_xlfn.TEXTSPLIT(M1136,","),_xlfn.LAMBDA(_xlpm.x,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6">
        <f>'Audit Report'!F1136</f>
        <v>0</v>
      </c>
      <c r="S1136">
        <f>'Audit Report'!Q1136</f>
        <v>0</v>
      </c>
    </row>
    <row r="1137" spans="4:19">
      <c r="D1137">
        <f>'Audit Report'!B1137</f>
        <v>0</v>
      </c>
      <c r="E1137">
        <f>'Audit Report'!C1137</f>
        <v>0</v>
      </c>
      <c r="I1137">
        <f>'Audit Report'!D1137</f>
        <v>0</v>
      </c>
      <c r="J1137">
        <f>'Audit Report'!H1137</f>
        <v>0</v>
      </c>
      <c r="L1137" t="str">
        <f>_xlfn.TEXTJOIN(", ", FALSE, 'Audit Report'!K1137,'Audit Report'!L1137,'Audit Report'!M1137)</f>
        <v xml:space="preserve">, , </v>
      </c>
      <c r="M1137">
        <f>'Audit Report'!O1137</f>
        <v>0</v>
      </c>
      <c r="N1137" t="str" cm="1">
        <f t="array" ref="N1137">IF(M1137="","",
_xlfn.TEXTJOIN(", ",TRUE,
    _xlfn.MAP(_xlfn.TEXTSPLIT(M1137,","),_xlfn.LAMBDA(_xlpm.x,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7">
        <f>'Audit Report'!F1137</f>
        <v>0</v>
      </c>
      <c r="S1137">
        <f>'Audit Report'!Q1137</f>
        <v>0</v>
      </c>
    </row>
    <row r="1138" spans="4:19">
      <c r="D1138">
        <f>'Audit Report'!B1138</f>
        <v>0</v>
      </c>
      <c r="E1138">
        <f>'Audit Report'!C1138</f>
        <v>0</v>
      </c>
      <c r="I1138">
        <f>'Audit Report'!D1138</f>
        <v>0</v>
      </c>
      <c r="J1138">
        <f>'Audit Report'!H1138</f>
        <v>0</v>
      </c>
      <c r="L1138" t="str">
        <f>_xlfn.TEXTJOIN(", ", FALSE, 'Audit Report'!K1138,'Audit Report'!L1138,'Audit Report'!M1138)</f>
        <v xml:space="preserve">, , </v>
      </c>
      <c r="M1138">
        <f>'Audit Report'!O1138</f>
        <v>0</v>
      </c>
      <c r="N1138" t="str" cm="1">
        <f t="array" ref="N1138">IF(M1138="","",
_xlfn.TEXTJOIN(", ",TRUE,
    _xlfn.MAP(_xlfn.TEXTSPLIT(M1138,","),_xlfn.LAMBDA(_xlpm.x,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8">
        <f>'Audit Report'!F1138</f>
        <v>0</v>
      </c>
      <c r="S1138">
        <f>'Audit Report'!Q1138</f>
        <v>0</v>
      </c>
    </row>
    <row r="1139" spans="4:19">
      <c r="D1139">
        <f>'Audit Report'!B1139</f>
        <v>0</v>
      </c>
      <c r="E1139">
        <f>'Audit Report'!C1139</f>
        <v>0</v>
      </c>
      <c r="I1139">
        <f>'Audit Report'!D1139</f>
        <v>0</v>
      </c>
      <c r="J1139">
        <f>'Audit Report'!H1139</f>
        <v>0</v>
      </c>
      <c r="L1139" t="str">
        <f>_xlfn.TEXTJOIN(", ", FALSE, 'Audit Report'!K1139,'Audit Report'!L1139,'Audit Report'!M1139)</f>
        <v xml:space="preserve">, , </v>
      </c>
      <c r="M1139">
        <f>'Audit Report'!O1139</f>
        <v>0</v>
      </c>
      <c r="N1139" t="str" cm="1">
        <f t="array" ref="N1139">IF(M1139="","",
_xlfn.TEXTJOIN(", ",TRUE,
    _xlfn.MAP(_xlfn.TEXTSPLIT(M1139,","),_xlfn.LAMBDA(_xlpm.x,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9">
        <f>'Audit Report'!F1139</f>
        <v>0</v>
      </c>
      <c r="S1139">
        <f>'Audit Report'!Q1139</f>
        <v>0</v>
      </c>
    </row>
    <row r="1140" spans="4:19">
      <c r="D1140">
        <f>'Audit Report'!B1140</f>
        <v>0</v>
      </c>
      <c r="E1140">
        <f>'Audit Report'!C1140</f>
        <v>0</v>
      </c>
      <c r="I1140">
        <f>'Audit Report'!D1140</f>
        <v>0</v>
      </c>
      <c r="J1140">
        <f>'Audit Report'!H1140</f>
        <v>0</v>
      </c>
      <c r="L1140" t="str">
        <f>_xlfn.TEXTJOIN(", ", FALSE, 'Audit Report'!K1140,'Audit Report'!L1140,'Audit Report'!M1140)</f>
        <v xml:space="preserve">, , </v>
      </c>
      <c r="M1140">
        <f>'Audit Report'!O1140</f>
        <v>0</v>
      </c>
      <c r="N1140" t="str" cm="1">
        <f t="array" ref="N1140">IF(M1140="","",
_xlfn.TEXTJOIN(", ",TRUE,
    _xlfn.MAP(_xlfn.TEXTSPLIT(M1140,","),_xlfn.LAMBDA(_xlpm.x,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0">
        <f>'Audit Report'!F1140</f>
        <v>0</v>
      </c>
      <c r="S1140">
        <f>'Audit Report'!Q1140</f>
        <v>0</v>
      </c>
    </row>
    <row r="1141" spans="4:19">
      <c r="D1141">
        <f>'Audit Report'!B1141</f>
        <v>0</v>
      </c>
      <c r="E1141">
        <f>'Audit Report'!C1141</f>
        <v>0</v>
      </c>
      <c r="I1141">
        <f>'Audit Report'!D1141</f>
        <v>0</v>
      </c>
      <c r="J1141">
        <f>'Audit Report'!H1141</f>
        <v>0</v>
      </c>
      <c r="L1141" t="str">
        <f>_xlfn.TEXTJOIN(", ", FALSE, 'Audit Report'!K1141,'Audit Report'!L1141,'Audit Report'!M1141)</f>
        <v xml:space="preserve">, , </v>
      </c>
      <c r="M1141">
        <f>'Audit Report'!O1141</f>
        <v>0</v>
      </c>
      <c r="N1141" t="str" cm="1">
        <f t="array" ref="N1141">IF(M1141="","",
_xlfn.TEXTJOIN(", ",TRUE,
    _xlfn.MAP(_xlfn.TEXTSPLIT(M1141,","),_xlfn.LAMBDA(_xlpm.x,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1">
        <f>'Audit Report'!F1141</f>
        <v>0</v>
      </c>
      <c r="S1141">
        <f>'Audit Report'!Q1141</f>
        <v>0</v>
      </c>
    </row>
    <row r="1142" spans="4:19">
      <c r="D1142">
        <f>'Audit Report'!B1142</f>
        <v>0</v>
      </c>
      <c r="E1142">
        <f>'Audit Report'!C1142</f>
        <v>0</v>
      </c>
      <c r="I1142">
        <f>'Audit Report'!D1142</f>
        <v>0</v>
      </c>
      <c r="J1142">
        <f>'Audit Report'!H1142</f>
        <v>0</v>
      </c>
      <c r="L1142" t="str">
        <f>_xlfn.TEXTJOIN(", ", FALSE, 'Audit Report'!K1142,'Audit Report'!L1142,'Audit Report'!M1142)</f>
        <v xml:space="preserve">, , </v>
      </c>
      <c r="M1142">
        <f>'Audit Report'!O1142</f>
        <v>0</v>
      </c>
      <c r="N1142" t="str" cm="1">
        <f t="array" ref="N1142">IF(M1142="","",
_xlfn.TEXTJOIN(", ",TRUE,
    _xlfn.MAP(_xlfn.TEXTSPLIT(M1142,","),_xlfn.LAMBDA(_xlpm.x,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2">
        <f>'Audit Report'!F1142</f>
        <v>0</v>
      </c>
      <c r="S1142">
        <f>'Audit Report'!Q1142</f>
        <v>0</v>
      </c>
    </row>
    <row r="1143" spans="4:19">
      <c r="D1143">
        <f>'Audit Report'!B1143</f>
        <v>0</v>
      </c>
      <c r="E1143">
        <f>'Audit Report'!C1143</f>
        <v>0</v>
      </c>
      <c r="I1143">
        <f>'Audit Report'!D1143</f>
        <v>0</v>
      </c>
      <c r="J1143">
        <f>'Audit Report'!H1143</f>
        <v>0</v>
      </c>
      <c r="L1143" t="str">
        <f>_xlfn.TEXTJOIN(", ", FALSE, 'Audit Report'!K1143,'Audit Report'!L1143,'Audit Report'!M1143)</f>
        <v xml:space="preserve">, , </v>
      </c>
      <c r="M1143">
        <f>'Audit Report'!O1143</f>
        <v>0</v>
      </c>
      <c r="N1143" t="str" cm="1">
        <f t="array" ref="N1143">IF(M1143="","",
_xlfn.TEXTJOIN(", ",TRUE,
    _xlfn.MAP(_xlfn.TEXTSPLIT(M1143,","),_xlfn.LAMBDA(_xlpm.x,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3">
        <f>'Audit Report'!F1143</f>
        <v>0</v>
      </c>
      <c r="S1143">
        <f>'Audit Report'!Q1143</f>
        <v>0</v>
      </c>
    </row>
    <row r="1144" spans="4:19">
      <c r="D1144">
        <f>'Audit Report'!B1144</f>
        <v>0</v>
      </c>
      <c r="E1144">
        <f>'Audit Report'!C1144</f>
        <v>0</v>
      </c>
      <c r="I1144">
        <f>'Audit Report'!D1144</f>
        <v>0</v>
      </c>
      <c r="J1144">
        <f>'Audit Report'!H1144</f>
        <v>0</v>
      </c>
      <c r="L1144" t="str">
        <f>_xlfn.TEXTJOIN(", ", FALSE, 'Audit Report'!K1144,'Audit Report'!L1144,'Audit Report'!M1144)</f>
        <v xml:space="preserve">, , </v>
      </c>
      <c r="M1144">
        <f>'Audit Report'!O1144</f>
        <v>0</v>
      </c>
      <c r="N1144" t="str" cm="1">
        <f t="array" ref="N1144">IF(M1144="","",
_xlfn.TEXTJOIN(", ",TRUE,
    _xlfn.MAP(_xlfn.TEXTSPLIT(M1144,","),_xlfn.LAMBDA(_xlpm.x,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4">
        <f>'Audit Report'!F1144</f>
        <v>0</v>
      </c>
      <c r="S1144">
        <f>'Audit Report'!Q1144</f>
        <v>0</v>
      </c>
    </row>
    <row r="1145" spans="4:19">
      <c r="D1145">
        <f>'Audit Report'!B1145</f>
        <v>0</v>
      </c>
      <c r="E1145">
        <f>'Audit Report'!C1145</f>
        <v>0</v>
      </c>
      <c r="I1145">
        <f>'Audit Report'!D1145</f>
        <v>0</v>
      </c>
      <c r="J1145">
        <f>'Audit Report'!H1145</f>
        <v>0</v>
      </c>
      <c r="L1145" t="str">
        <f>_xlfn.TEXTJOIN(", ", FALSE, 'Audit Report'!K1145,'Audit Report'!L1145,'Audit Report'!M1145)</f>
        <v xml:space="preserve">, , </v>
      </c>
      <c r="M1145">
        <f>'Audit Report'!O1145</f>
        <v>0</v>
      </c>
      <c r="N1145" t="str" cm="1">
        <f t="array" ref="N1145">IF(M1145="","",
_xlfn.TEXTJOIN(", ",TRUE,
    _xlfn.MAP(_xlfn.TEXTSPLIT(M1145,","),_xlfn.LAMBDA(_xlpm.x,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5">
        <f>'Audit Report'!F1145</f>
        <v>0</v>
      </c>
      <c r="S1145">
        <f>'Audit Report'!Q1145</f>
        <v>0</v>
      </c>
    </row>
    <row r="1146" spans="4:19">
      <c r="D1146">
        <f>'Audit Report'!B1146</f>
        <v>0</v>
      </c>
      <c r="E1146">
        <f>'Audit Report'!C1146</f>
        <v>0</v>
      </c>
      <c r="I1146">
        <f>'Audit Report'!D1146</f>
        <v>0</v>
      </c>
      <c r="J1146">
        <f>'Audit Report'!H1146</f>
        <v>0</v>
      </c>
      <c r="L1146" t="str">
        <f>_xlfn.TEXTJOIN(", ", FALSE, 'Audit Report'!K1146,'Audit Report'!L1146,'Audit Report'!M1146)</f>
        <v xml:space="preserve">, , </v>
      </c>
      <c r="M1146">
        <f>'Audit Report'!O1146</f>
        <v>0</v>
      </c>
      <c r="N1146" t="str" cm="1">
        <f t="array" ref="N1146">IF(M1146="","",
_xlfn.TEXTJOIN(", ",TRUE,
    _xlfn.MAP(_xlfn.TEXTSPLIT(M1146,","),_xlfn.LAMBDA(_xlpm.x,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6">
        <f>'Audit Report'!F1146</f>
        <v>0</v>
      </c>
      <c r="S1146">
        <f>'Audit Report'!Q1146</f>
        <v>0</v>
      </c>
    </row>
    <row r="1147" spans="4:19">
      <c r="D1147">
        <f>'Audit Report'!B1147</f>
        <v>0</v>
      </c>
      <c r="E1147">
        <f>'Audit Report'!C1147</f>
        <v>0</v>
      </c>
      <c r="I1147">
        <f>'Audit Report'!D1147</f>
        <v>0</v>
      </c>
      <c r="J1147">
        <f>'Audit Report'!H1147</f>
        <v>0</v>
      </c>
      <c r="L1147" t="str">
        <f>_xlfn.TEXTJOIN(", ", FALSE, 'Audit Report'!K1147,'Audit Report'!L1147,'Audit Report'!M1147)</f>
        <v xml:space="preserve">, , </v>
      </c>
      <c r="M1147">
        <f>'Audit Report'!O1147</f>
        <v>0</v>
      </c>
      <c r="N1147" t="str" cm="1">
        <f t="array" ref="N1147">IF(M1147="","",
_xlfn.TEXTJOIN(", ",TRUE,
    _xlfn.MAP(_xlfn.TEXTSPLIT(M1147,","),_xlfn.LAMBDA(_xlpm.x,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7">
        <f>'Audit Report'!F1147</f>
        <v>0</v>
      </c>
      <c r="S1147">
        <f>'Audit Report'!Q1147</f>
        <v>0</v>
      </c>
    </row>
    <row r="1148" spans="4:19">
      <c r="D1148">
        <f>'Audit Report'!B1148</f>
        <v>0</v>
      </c>
      <c r="E1148">
        <f>'Audit Report'!C1148</f>
        <v>0</v>
      </c>
      <c r="I1148">
        <f>'Audit Report'!D1148</f>
        <v>0</v>
      </c>
      <c r="J1148">
        <f>'Audit Report'!H1148</f>
        <v>0</v>
      </c>
      <c r="L1148" t="str">
        <f>_xlfn.TEXTJOIN(", ", FALSE, 'Audit Report'!K1148,'Audit Report'!L1148,'Audit Report'!M1148)</f>
        <v xml:space="preserve">, , </v>
      </c>
      <c r="M1148">
        <f>'Audit Report'!O1148</f>
        <v>0</v>
      </c>
      <c r="N1148" t="str" cm="1">
        <f t="array" ref="N1148">IF(M1148="","",
_xlfn.TEXTJOIN(", ",TRUE,
    _xlfn.MAP(_xlfn.TEXTSPLIT(M1148,","),_xlfn.LAMBDA(_xlpm.x,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8">
        <f>'Audit Report'!F1148</f>
        <v>0</v>
      </c>
      <c r="S1148">
        <f>'Audit Report'!Q1148</f>
        <v>0</v>
      </c>
    </row>
    <row r="1149" spans="4:19">
      <c r="D1149">
        <f>'Audit Report'!B1149</f>
        <v>0</v>
      </c>
      <c r="E1149">
        <f>'Audit Report'!C1149</f>
        <v>0</v>
      </c>
      <c r="I1149">
        <f>'Audit Report'!D1149</f>
        <v>0</v>
      </c>
      <c r="J1149">
        <f>'Audit Report'!H1149</f>
        <v>0</v>
      </c>
      <c r="L1149" t="str">
        <f>_xlfn.TEXTJOIN(", ", FALSE, 'Audit Report'!K1149,'Audit Report'!L1149,'Audit Report'!M1149)</f>
        <v xml:space="preserve">, , </v>
      </c>
      <c r="M1149">
        <f>'Audit Report'!O1149</f>
        <v>0</v>
      </c>
      <c r="N1149" t="str" cm="1">
        <f t="array" ref="N1149">IF(M1149="","",
_xlfn.TEXTJOIN(", ",TRUE,
    _xlfn.MAP(_xlfn.TEXTSPLIT(M1149,","),_xlfn.LAMBDA(_xlpm.x,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9">
        <f>'Audit Report'!F1149</f>
        <v>0</v>
      </c>
      <c r="S1149">
        <f>'Audit Report'!Q1149</f>
        <v>0</v>
      </c>
    </row>
    <row r="1150" spans="4:19">
      <c r="D1150">
        <f>'Audit Report'!B1150</f>
        <v>0</v>
      </c>
      <c r="E1150">
        <f>'Audit Report'!C1150</f>
        <v>0</v>
      </c>
      <c r="I1150">
        <f>'Audit Report'!D1150</f>
        <v>0</v>
      </c>
      <c r="J1150">
        <f>'Audit Report'!H1150</f>
        <v>0</v>
      </c>
      <c r="L1150" t="str">
        <f>_xlfn.TEXTJOIN(", ", FALSE, 'Audit Report'!K1150,'Audit Report'!L1150,'Audit Report'!M1150)</f>
        <v xml:space="preserve">, , </v>
      </c>
      <c r="M1150">
        <f>'Audit Report'!O1150</f>
        <v>0</v>
      </c>
      <c r="N1150" t="str" cm="1">
        <f t="array" ref="N1150">IF(M1150="","",
_xlfn.TEXTJOIN(", ",TRUE,
    _xlfn.MAP(_xlfn.TEXTSPLIT(M1150,","),_xlfn.LAMBDA(_xlpm.x,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0">
        <f>'Audit Report'!F1150</f>
        <v>0</v>
      </c>
      <c r="S1150">
        <f>'Audit Report'!Q1150</f>
        <v>0</v>
      </c>
    </row>
    <row r="1151" spans="4:19">
      <c r="D1151">
        <f>'Audit Report'!B1151</f>
        <v>0</v>
      </c>
      <c r="E1151">
        <f>'Audit Report'!C1151</f>
        <v>0</v>
      </c>
      <c r="I1151">
        <f>'Audit Report'!D1151</f>
        <v>0</v>
      </c>
      <c r="J1151">
        <f>'Audit Report'!H1151</f>
        <v>0</v>
      </c>
      <c r="L1151" t="str">
        <f>_xlfn.TEXTJOIN(", ", FALSE, 'Audit Report'!K1151,'Audit Report'!L1151,'Audit Report'!M1151)</f>
        <v xml:space="preserve">, , </v>
      </c>
      <c r="M1151">
        <f>'Audit Report'!O1151</f>
        <v>0</v>
      </c>
      <c r="N1151" t="str" cm="1">
        <f t="array" ref="N1151">IF(M1151="","",
_xlfn.TEXTJOIN(", ",TRUE,
    _xlfn.MAP(_xlfn.TEXTSPLIT(M1151,","),_xlfn.LAMBDA(_xlpm.x,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1">
        <f>'Audit Report'!F1151</f>
        <v>0</v>
      </c>
      <c r="S1151">
        <f>'Audit Report'!Q1151</f>
        <v>0</v>
      </c>
    </row>
    <row r="1152" spans="4:19">
      <c r="D1152">
        <f>'Audit Report'!B1152</f>
        <v>0</v>
      </c>
      <c r="E1152">
        <f>'Audit Report'!C1152</f>
        <v>0</v>
      </c>
      <c r="I1152">
        <f>'Audit Report'!D1152</f>
        <v>0</v>
      </c>
      <c r="J1152">
        <f>'Audit Report'!H1152</f>
        <v>0</v>
      </c>
      <c r="L1152" t="str">
        <f>_xlfn.TEXTJOIN(", ", FALSE, 'Audit Report'!K1152,'Audit Report'!L1152,'Audit Report'!M1152)</f>
        <v xml:space="preserve">, , </v>
      </c>
      <c r="M1152">
        <f>'Audit Report'!O1152</f>
        <v>0</v>
      </c>
      <c r="N1152" t="str" cm="1">
        <f t="array" ref="N1152">IF(M1152="","",
_xlfn.TEXTJOIN(", ",TRUE,
    _xlfn.MAP(_xlfn.TEXTSPLIT(M1152,","),_xlfn.LAMBDA(_xlpm.x,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2">
        <f>'Audit Report'!F1152</f>
        <v>0</v>
      </c>
      <c r="S1152">
        <f>'Audit Report'!Q1152</f>
        <v>0</v>
      </c>
    </row>
    <row r="1153" spans="4:19">
      <c r="D1153">
        <f>'Audit Report'!B1153</f>
        <v>0</v>
      </c>
      <c r="E1153">
        <f>'Audit Report'!C1153</f>
        <v>0</v>
      </c>
      <c r="I1153">
        <f>'Audit Report'!D1153</f>
        <v>0</v>
      </c>
      <c r="J1153">
        <f>'Audit Report'!H1153</f>
        <v>0</v>
      </c>
      <c r="L1153" t="str">
        <f>_xlfn.TEXTJOIN(", ", FALSE, 'Audit Report'!K1153,'Audit Report'!L1153,'Audit Report'!M1153)</f>
        <v xml:space="preserve">, , </v>
      </c>
      <c r="M1153">
        <f>'Audit Report'!O1153</f>
        <v>0</v>
      </c>
      <c r="N1153" t="str" cm="1">
        <f t="array" ref="N1153">IF(M1153="","",
_xlfn.TEXTJOIN(", ",TRUE,
    _xlfn.MAP(_xlfn.TEXTSPLIT(M1153,","),_xlfn.LAMBDA(_xlpm.x,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3">
        <f>'Audit Report'!F1153</f>
        <v>0</v>
      </c>
      <c r="S1153">
        <f>'Audit Report'!Q1153</f>
        <v>0</v>
      </c>
    </row>
    <row r="1154" spans="4:19">
      <c r="D1154">
        <f>'Audit Report'!B1154</f>
        <v>0</v>
      </c>
      <c r="E1154">
        <f>'Audit Report'!C1154</f>
        <v>0</v>
      </c>
      <c r="I1154">
        <f>'Audit Report'!D1154</f>
        <v>0</v>
      </c>
      <c r="J1154">
        <f>'Audit Report'!H1154</f>
        <v>0</v>
      </c>
      <c r="L1154" t="str">
        <f>_xlfn.TEXTJOIN(", ", FALSE, 'Audit Report'!K1154,'Audit Report'!L1154,'Audit Report'!M1154)</f>
        <v xml:space="preserve">, , </v>
      </c>
      <c r="M1154">
        <f>'Audit Report'!O1154</f>
        <v>0</v>
      </c>
      <c r="N1154" t="str" cm="1">
        <f t="array" ref="N1154">IF(M1154="","",
_xlfn.TEXTJOIN(", ",TRUE,
    _xlfn.MAP(_xlfn.TEXTSPLIT(M1154,","),_xlfn.LAMBDA(_xlpm.x,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4">
        <f>'Audit Report'!F1154</f>
        <v>0</v>
      </c>
      <c r="S1154">
        <f>'Audit Report'!Q1154</f>
        <v>0</v>
      </c>
    </row>
    <row r="1155" spans="4:19">
      <c r="D1155">
        <f>'Audit Report'!B1155</f>
        <v>0</v>
      </c>
      <c r="E1155">
        <f>'Audit Report'!C1155</f>
        <v>0</v>
      </c>
      <c r="I1155">
        <f>'Audit Report'!D1155</f>
        <v>0</v>
      </c>
      <c r="J1155">
        <f>'Audit Report'!H1155</f>
        <v>0</v>
      </c>
      <c r="L1155" t="str">
        <f>_xlfn.TEXTJOIN(", ", FALSE, 'Audit Report'!K1155,'Audit Report'!L1155,'Audit Report'!M1155)</f>
        <v xml:space="preserve">, , </v>
      </c>
      <c r="M1155">
        <f>'Audit Report'!O1155</f>
        <v>0</v>
      </c>
      <c r="N1155" t="str" cm="1">
        <f t="array" ref="N1155">IF(M1155="","",
_xlfn.TEXTJOIN(", ",TRUE,
    _xlfn.MAP(_xlfn.TEXTSPLIT(M1155,","),_xlfn.LAMBDA(_xlpm.x,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5">
        <f>'Audit Report'!F1155</f>
        <v>0</v>
      </c>
      <c r="S1155">
        <f>'Audit Report'!Q1155</f>
        <v>0</v>
      </c>
    </row>
    <row r="1156" spans="4:19">
      <c r="D1156">
        <f>'Audit Report'!B1156</f>
        <v>0</v>
      </c>
      <c r="E1156">
        <f>'Audit Report'!C1156</f>
        <v>0</v>
      </c>
      <c r="I1156">
        <f>'Audit Report'!D1156</f>
        <v>0</v>
      </c>
      <c r="J1156">
        <f>'Audit Report'!H1156</f>
        <v>0</v>
      </c>
      <c r="L1156" t="str">
        <f>_xlfn.TEXTJOIN(", ", FALSE, 'Audit Report'!K1156,'Audit Report'!L1156,'Audit Report'!M1156)</f>
        <v xml:space="preserve">, , </v>
      </c>
      <c r="M1156">
        <f>'Audit Report'!O1156</f>
        <v>0</v>
      </c>
      <c r="N1156" t="str" cm="1">
        <f t="array" ref="N1156">IF(M1156="","",
_xlfn.TEXTJOIN(", ",TRUE,
    _xlfn.MAP(_xlfn.TEXTSPLIT(M1156,","),_xlfn.LAMBDA(_xlpm.x,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6">
        <f>'Audit Report'!F1156</f>
        <v>0</v>
      </c>
      <c r="S1156">
        <f>'Audit Report'!Q1156</f>
        <v>0</v>
      </c>
    </row>
    <row r="1157" spans="4:19">
      <c r="D1157">
        <f>'Audit Report'!B1157</f>
        <v>0</v>
      </c>
      <c r="E1157">
        <f>'Audit Report'!C1157</f>
        <v>0</v>
      </c>
      <c r="I1157">
        <f>'Audit Report'!D1157</f>
        <v>0</v>
      </c>
      <c r="J1157">
        <f>'Audit Report'!H1157</f>
        <v>0</v>
      </c>
      <c r="L1157" t="str">
        <f>_xlfn.TEXTJOIN(", ", FALSE, 'Audit Report'!K1157,'Audit Report'!L1157,'Audit Report'!M1157)</f>
        <v xml:space="preserve">, , </v>
      </c>
      <c r="M1157">
        <f>'Audit Report'!O1157</f>
        <v>0</v>
      </c>
      <c r="N1157" t="str" cm="1">
        <f t="array" ref="N1157">IF(M1157="","",
_xlfn.TEXTJOIN(", ",TRUE,
    _xlfn.MAP(_xlfn.TEXTSPLIT(M1157,","),_xlfn.LAMBDA(_xlpm.x,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7">
        <f>'Audit Report'!F1157</f>
        <v>0</v>
      </c>
      <c r="S1157">
        <f>'Audit Report'!Q1157</f>
        <v>0</v>
      </c>
    </row>
    <row r="1158" spans="4:19">
      <c r="D1158">
        <f>'Audit Report'!B1158</f>
        <v>0</v>
      </c>
      <c r="E1158">
        <f>'Audit Report'!C1158</f>
        <v>0</v>
      </c>
      <c r="I1158">
        <f>'Audit Report'!D1158</f>
        <v>0</v>
      </c>
      <c r="J1158">
        <f>'Audit Report'!H1158</f>
        <v>0</v>
      </c>
      <c r="L1158" t="str">
        <f>_xlfn.TEXTJOIN(", ", FALSE, 'Audit Report'!K1158,'Audit Report'!L1158,'Audit Report'!M1158)</f>
        <v xml:space="preserve">, , </v>
      </c>
      <c r="M1158">
        <f>'Audit Report'!O1158</f>
        <v>0</v>
      </c>
      <c r="N1158" t="str" cm="1">
        <f t="array" ref="N1158">IF(M1158="","",
_xlfn.TEXTJOIN(", ",TRUE,
    _xlfn.MAP(_xlfn.TEXTSPLIT(M1158,","),_xlfn.LAMBDA(_xlpm.x,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8">
        <f>'Audit Report'!F1158</f>
        <v>0</v>
      </c>
      <c r="S1158">
        <f>'Audit Report'!Q1158</f>
        <v>0</v>
      </c>
    </row>
    <row r="1159" spans="4:19">
      <c r="D1159">
        <f>'Audit Report'!B1159</f>
        <v>0</v>
      </c>
      <c r="E1159">
        <f>'Audit Report'!C1159</f>
        <v>0</v>
      </c>
      <c r="I1159">
        <f>'Audit Report'!D1159</f>
        <v>0</v>
      </c>
      <c r="J1159">
        <f>'Audit Report'!H1159</f>
        <v>0</v>
      </c>
      <c r="L1159" t="str">
        <f>_xlfn.TEXTJOIN(", ", FALSE, 'Audit Report'!K1159,'Audit Report'!L1159,'Audit Report'!M1159)</f>
        <v xml:space="preserve">, , </v>
      </c>
      <c r="M1159">
        <f>'Audit Report'!O1159</f>
        <v>0</v>
      </c>
      <c r="N1159" t="str" cm="1">
        <f t="array" ref="N1159">IF(M1159="","",
_xlfn.TEXTJOIN(", ",TRUE,
    _xlfn.MAP(_xlfn.TEXTSPLIT(M1159,","),_xlfn.LAMBDA(_xlpm.x,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9">
        <f>'Audit Report'!F1159</f>
        <v>0</v>
      </c>
      <c r="S1159">
        <f>'Audit Report'!Q1159</f>
        <v>0</v>
      </c>
    </row>
    <row r="1160" spans="4:19">
      <c r="D1160">
        <f>'Audit Report'!B1160</f>
        <v>0</v>
      </c>
      <c r="E1160">
        <f>'Audit Report'!C1160</f>
        <v>0</v>
      </c>
      <c r="I1160">
        <f>'Audit Report'!D1160</f>
        <v>0</v>
      </c>
      <c r="J1160">
        <f>'Audit Report'!H1160</f>
        <v>0</v>
      </c>
      <c r="L1160" t="str">
        <f>_xlfn.TEXTJOIN(", ", FALSE, 'Audit Report'!K1160,'Audit Report'!L1160,'Audit Report'!M1160)</f>
        <v xml:space="preserve">, , </v>
      </c>
      <c r="M1160">
        <f>'Audit Report'!O1160</f>
        <v>0</v>
      </c>
      <c r="N1160" t="str" cm="1">
        <f t="array" ref="N1160">IF(M1160="","",
_xlfn.TEXTJOIN(", ",TRUE,
    _xlfn.MAP(_xlfn.TEXTSPLIT(M1160,","),_xlfn.LAMBDA(_xlpm.x,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0">
        <f>'Audit Report'!F1160</f>
        <v>0</v>
      </c>
      <c r="S1160">
        <f>'Audit Report'!Q1160</f>
        <v>0</v>
      </c>
    </row>
    <row r="1161" spans="4:19">
      <c r="I1161">
        <f>'Audit Report'!D1161</f>
        <v>0</v>
      </c>
      <c r="J1161">
        <f>'Audit Report'!H1161</f>
        <v>0</v>
      </c>
      <c r="L1161" t="str">
        <f>_xlfn.TEXTJOIN(", ", FALSE, 'Audit Report'!K1161,'Audit Report'!L1161,'Audit Report'!M1161)</f>
        <v xml:space="preserve">, , </v>
      </c>
      <c r="M1161">
        <f>'Audit Report'!O1161</f>
        <v>0</v>
      </c>
      <c r="N1161" t="str" cm="1">
        <f t="array" ref="N1161">IF(M1161="","",
_xlfn.TEXTJOIN(", ",TRUE,
    _xlfn.MAP(_xlfn.TEXTSPLIT(M1161,","),_xlfn.LAMBDA(_xlpm.x,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1">
        <f>'Audit Report'!F1161</f>
        <v>0</v>
      </c>
      <c r="S1161">
        <f>'Audit Report'!Q1161</f>
        <v>0</v>
      </c>
    </row>
    <row r="1162" spans="4:19">
      <c r="I1162">
        <f>'Audit Report'!D1162</f>
        <v>0</v>
      </c>
      <c r="J1162">
        <f>'Audit Report'!H1162</f>
        <v>0</v>
      </c>
      <c r="L1162" t="str">
        <f>_xlfn.TEXTJOIN(", ", FALSE, 'Audit Report'!K1162,'Audit Report'!L1162,'Audit Report'!M1162)</f>
        <v xml:space="preserve">, , </v>
      </c>
      <c r="M1162">
        <f>'Audit Report'!O1162</f>
        <v>0</v>
      </c>
      <c r="N1162" t="str" cm="1">
        <f t="array" ref="N1162">IF(M1162="","",
_xlfn.TEXTJOIN(", ",TRUE,
    _xlfn.MAP(_xlfn.TEXTSPLIT(M1162,","),_xlfn.LAMBDA(_xlpm.x,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2">
        <f>'Audit Report'!F1162</f>
        <v>0</v>
      </c>
      <c r="S1162">
        <f>'Audit Report'!Q1162</f>
        <v>0</v>
      </c>
    </row>
    <row r="1163" spans="4:19">
      <c r="I1163">
        <f>'Audit Report'!D1163</f>
        <v>0</v>
      </c>
      <c r="J1163">
        <f>'Audit Report'!H1163</f>
        <v>0</v>
      </c>
      <c r="L1163" t="str">
        <f>_xlfn.TEXTJOIN(", ", FALSE, 'Audit Report'!K1163,'Audit Report'!L1163,'Audit Report'!M1163)</f>
        <v xml:space="preserve">, , </v>
      </c>
      <c r="M1163">
        <f>'Audit Report'!O1163</f>
        <v>0</v>
      </c>
      <c r="N1163" t="str" cm="1">
        <f t="array" ref="N1163">IF(M1163="","",
_xlfn.TEXTJOIN(", ",TRUE,
    _xlfn.MAP(_xlfn.TEXTSPLIT(M1163,","),_xlfn.LAMBDA(_xlpm.x,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3">
        <f>'Audit Report'!F1163</f>
        <v>0</v>
      </c>
      <c r="S1163">
        <f>'Audit Report'!Q1163</f>
        <v>0</v>
      </c>
    </row>
    <row r="1164" spans="4:19">
      <c r="I1164">
        <f>'Audit Report'!D1164</f>
        <v>0</v>
      </c>
      <c r="J1164">
        <f>'Audit Report'!H1164</f>
        <v>0</v>
      </c>
      <c r="L1164" t="str">
        <f>_xlfn.TEXTJOIN(", ", FALSE, 'Audit Report'!K1164,'Audit Report'!L1164,'Audit Report'!M1164)</f>
        <v xml:space="preserve">, , </v>
      </c>
      <c r="M1164">
        <f>'Audit Report'!O1164</f>
        <v>0</v>
      </c>
      <c r="N1164" t="str" cm="1">
        <f t="array" ref="N1164">IF(M1164="","",
_xlfn.TEXTJOIN(", ",TRUE,
    _xlfn.MAP(_xlfn.TEXTSPLIT(M1164,","),_xlfn.LAMBDA(_xlpm.x,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4">
        <f>'Audit Report'!F1164</f>
        <v>0</v>
      </c>
      <c r="S1164">
        <f>'Audit Report'!Q1164</f>
        <v>0</v>
      </c>
    </row>
    <row r="1165" spans="4:19">
      <c r="I1165">
        <f>'Audit Report'!D1165</f>
        <v>0</v>
      </c>
      <c r="J1165">
        <f>'Audit Report'!H1165</f>
        <v>0</v>
      </c>
      <c r="L1165" t="str">
        <f>_xlfn.TEXTJOIN(", ", FALSE, 'Audit Report'!K1165,'Audit Report'!L1165,'Audit Report'!M1165)</f>
        <v xml:space="preserve">, , </v>
      </c>
      <c r="M1165">
        <f>'Audit Report'!O1165</f>
        <v>0</v>
      </c>
      <c r="N1165" t="str" cm="1">
        <f t="array" ref="N1165">IF(M1165="","",
_xlfn.TEXTJOIN(", ",TRUE,
    _xlfn.MAP(_xlfn.TEXTSPLIT(M1165,","),_xlfn.LAMBDA(_xlpm.x,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5">
        <f>'Audit Report'!F1165</f>
        <v>0</v>
      </c>
      <c r="S1165">
        <f>'Audit Report'!Q1165</f>
        <v>0</v>
      </c>
    </row>
    <row r="1166" spans="4:19">
      <c r="I1166">
        <f>'Audit Report'!D1166</f>
        <v>0</v>
      </c>
      <c r="J1166">
        <f>'Audit Report'!H1166</f>
        <v>0</v>
      </c>
      <c r="L1166" t="str">
        <f>_xlfn.TEXTJOIN(", ", FALSE, 'Audit Report'!K1166,'Audit Report'!L1166,'Audit Report'!M1166)</f>
        <v xml:space="preserve">, , </v>
      </c>
      <c r="M1166">
        <f>'Audit Report'!O1166</f>
        <v>0</v>
      </c>
      <c r="N1166" t="str" cm="1">
        <f t="array" ref="N1166">IF(M1166="","",
_xlfn.TEXTJOIN(", ",TRUE,
    _xlfn.MAP(_xlfn.TEXTSPLIT(M1166,","),_xlfn.LAMBDA(_xlpm.x,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6">
        <f>'Audit Report'!F1166</f>
        <v>0</v>
      </c>
      <c r="S1166">
        <f>'Audit Report'!Q1166</f>
        <v>0</v>
      </c>
    </row>
    <row r="1167" spans="4:19">
      <c r="I1167">
        <f>'Audit Report'!D1167</f>
        <v>0</v>
      </c>
      <c r="J1167">
        <f>'Audit Report'!H1167</f>
        <v>0</v>
      </c>
      <c r="L1167" t="str">
        <f>_xlfn.TEXTJOIN(", ", FALSE, 'Audit Report'!K1167,'Audit Report'!L1167,'Audit Report'!M1167)</f>
        <v xml:space="preserve">, , </v>
      </c>
      <c r="M1167">
        <f>'Audit Report'!O1167</f>
        <v>0</v>
      </c>
      <c r="N1167" t="str" cm="1">
        <f t="array" ref="N1167">IF(M1167="","",
_xlfn.TEXTJOIN(", ",TRUE,
    _xlfn.MAP(_xlfn.TEXTSPLIT(M1167,","),_xlfn.LAMBDA(_xlpm.x,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7">
        <f>'Audit Report'!F1167</f>
        <v>0</v>
      </c>
      <c r="S1167">
        <f>'Audit Report'!Q1167</f>
        <v>0</v>
      </c>
    </row>
    <row r="1168" spans="4:19">
      <c r="I1168">
        <f>'Audit Report'!D1168</f>
        <v>0</v>
      </c>
      <c r="J1168">
        <f>'Audit Report'!H1168</f>
        <v>0</v>
      </c>
      <c r="L1168" t="str">
        <f>_xlfn.TEXTJOIN(", ", FALSE, 'Audit Report'!K1168,'Audit Report'!L1168,'Audit Report'!M1168)</f>
        <v xml:space="preserve">, , </v>
      </c>
      <c r="M1168">
        <f>'Audit Report'!O1168</f>
        <v>0</v>
      </c>
      <c r="N1168" t="str" cm="1">
        <f t="array" ref="N1168">IF(M1168="","",
_xlfn.TEXTJOIN(", ",TRUE,
    _xlfn.MAP(_xlfn.TEXTSPLIT(M1168,","),_xlfn.LAMBDA(_xlpm.x,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8">
        <f>'Audit Report'!F1168</f>
        <v>0</v>
      </c>
      <c r="S1168">
        <f>'Audit Report'!Q1168</f>
        <v>0</v>
      </c>
    </row>
    <row r="1169" spans="9:19">
      <c r="I1169">
        <f>'Audit Report'!D1169</f>
        <v>0</v>
      </c>
      <c r="J1169">
        <f>'Audit Report'!H1169</f>
        <v>0</v>
      </c>
      <c r="L1169" t="str">
        <f>_xlfn.TEXTJOIN(", ", FALSE, 'Audit Report'!K1169,'Audit Report'!L1169,'Audit Report'!M1169)</f>
        <v xml:space="preserve">, , </v>
      </c>
      <c r="M1169">
        <f>'Audit Report'!O1169</f>
        <v>0</v>
      </c>
      <c r="N1169" t="str" cm="1">
        <f t="array" ref="N1169">IF(M1169="","",
_xlfn.TEXTJOIN(", ",TRUE,
    _xlfn.MAP(_xlfn.TEXTSPLIT(M1169,","),_xlfn.LAMBDA(_xlpm.x,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9">
        <f>'Audit Report'!F1169</f>
        <v>0</v>
      </c>
      <c r="S1169">
        <f>'Audit Report'!Q1169</f>
        <v>0</v>
      </c>
    </row>
    <row r="1170" spans="9:19">
      <c r="I1170">
        <f>'Audit Report'!D1170</f>
        <v>0</v>
      </c>
      <c r="J1170">
        <f>'Audit Report'!H1170</f>
        <v>0</v>
      </c>
      <c r="L1170" t="str">
        <f>_xlfn.TEXTJOIN(", ", FALSE, 'Audit Report'!K1170,'Audit Report'!L1170,'Audit Report'!M1170)</f>
        <v xml:space="preserve">, , </v>
      </c>
      <c r="M1170">
        <f>'Audit Report'!O1170</f>
        <v>0</v>
      </c>
      <c r="N1170" t="str" cm="1">
        <f t="array" ref="N1170">IF(M1170="","",
_xlfn.TEXTJOIN(", ",TRUE,
    _xlfn.MAP(_xlfn.TEXTSPLIT(M1170,","),_xlfn.LAMBDA(_xlpm.x,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0">
        <f>'Audit Report'!F1170</f>
        <v>0</v>
      </c>
      <c r="S1170">
        <f>'Audit Report'!Q1170</f>
        <v>0</v>
      </c>
    </row>
    <row r="1171" spans="9:19">
      <c r="I1171">
        <f>'Audit Report'!D1171</f>
        <v>0</v>
      </c>
      <c r="J1171">
        <f>'Audit Report'!H1171</f>
        <v>0</v>
      </c>
      <c r="L1171" t="str">
        <f>_xlfn.TEXTJOIN(", ", FALSE, 'Audit Report'!K1171,'Audit Report'!L1171,'Audit Report'!M1171)</f>
        <v xml:space="preserve">, , </v>
      </c>
      <c r="M1171">
        <f>'Audit Report'!O1171</f>
        <v>0</v>
      </c>
      <c r="N1171" t="str" cm="1">
        <f t="array" ref="N1171">IF(M1171="","",
_xlfn.TEXTJOIN(", ",TRUE,
    _xlfn.MAP(_xlfn.TEXTSPLIT(M1171,","),_xlfn.LAMBDA(_xlpm.x,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1">
        <f>'Audit Report'!F1171</f>
        <v>0</v>
      </c>
      <c r="S1171">
        <f>'Audit Report'!Q1171</f>
        <v>0</v>
      </c>
    </row>
    <row r="1172" spans="9:19">
      <c r="I1172">
        <f>'Audit Report'!D1172</f>
        <v>0</v>
      </c>
      <c r="J1172">
        <f>'Audit Report'!H1172</f>
        <v>0</v>
      </c>
      <c r="L1172" t="str">
        <f>_xlfn.TEXTJOIN(", ", FALSE, 'Audit Report'!K1172,'Audit Report'!L1172,'Audit Report'!M1172)</f>
        <v xml:space="preserve">, , </v>
      </c>
      <c r="M1172">
        <f>'Audit Report'!O1172</f>
        <v>0</v>
      </c>
      <c r="N1172" t="str" cm="1">
        <f t="array" ref="N1172">IF(M1172="","",
_xlfn.TEXTJOIN(", ",TRUE,
    _xlfn.MAP(_xlfn.TEXTSPLIT(M1172,","),_xlfn.LAMBDA(_xlpm.x,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2">
        <f>'Audit Report'!F1172</f>
        <v>0</v>
      </c>
      <c r="S1172">
        <f>'Audit Report'!Q1172</f>
        <v>0</v>
      </c>
    </row>
    <row r="1173" spans="9:19">
      <c r="I1173">
        <f>'Audit Report'!D1173</f>
        <v>0</v>
      </c>
      <c r="J1173">
        <f>'Audit Report'!H1173</f>
        <v>0</v>
      </c>
      <c r="L1173" t="str">
        <f>_xlfn.TEXTJOIN(", ", FALSE, 'Audit Report'!K1173,'Audit Report'!L1173,'Audit Report'!M1173)</f>
        <v xml:space="preserve">, , </v>
      </c>
      <c r="M1173">
        <f>'Audit Report'!O1173</f>
        <v>0</v>
      </c>
      <c r="N1173" t="str" cm="1">
        <f t="array" ref="N1173">IF(M1173="","",
_xlfn.TEXTJOIN(", ",TRUE,
    _xlfn.MAP(_xlfn.TEXTSPLIT(M1173,","),_xlfn.LAMBDA(_xlpm.x,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3">
        <f>'Audit Report'!F1173</f>
        <v>0</v>
      </c>
      <c r="S1173">
        <f>'Audit Report'!Q1173</f>
        <v>0</v>
      </c>
    </row>
    <row r="1174" spans="9:19">
      <c r="I1174">
        <f>'Audit Report'!D1174</f>
        <v>0</v>
      </c>
      <c r="J1174">
        <f>'Audit Report'!H1174</f>
        <v>0</v>
      </c>
      <c r="L1174" t="str">
        <f>_xlfn.TEXTJOIN(", ", FALSE, 'Audit Report'!K1174,'Audit Report'!L1174,'Audit Report'!M1174)</f>
        <v xml:space="preserve">, , </v>
      </c>
      <c r="M1174">
        <f>'Audit Report'!O1174</f>
        <v>0</v>
      </c>
      <c r="N1174" t="str" cm="1">
        <f t="array" ref="N1174">IF(M1174="","",
_xlfn.TEXTJOIN(", ",TRUE,
    _xlfn.MAP(_xlfn.TEXTSPLIT(M1174,","),_xlfn.LAMBDA(_xlpm.x,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4">
        <f>'Audit Report'!F1174</f>
        <v>0</v>
      </c>
      <c r="S1174">
        <f>'Audit Report'!Q1174</f>
        <v>0</v>
      </c>
    </row>
    <row r="1175" spans="9:19">
      <c r="I1175">
        <f>'Audit Report'!D1175</f>
        <v>0</v>
      </c>
      <c r="J1175">
        <f>'Audit Report'!H1175</f>
        <v>0</v>
      </c>
      <c r="L1175" t="str">
        <f>_xlfn.TEXTJOIN(", ", FALSE, 'Audit Report'!K1175,'Audit Report'!L1175,'Audit Report'!M1175)</f>
        <v xml:space="preserve">, , </v>
      </c>
      <c r="M1175">
        <f>'Audit Report'!O1175</f>
        <v>0</v>
      </c>
      <c r="N1175" t="str" cm="1">
        <f t="array" ref="N1175">IF(M1175="","",
_xlfn.TEXTJOIN(", ",TRUE,
    _xlfn.MAP(_xlfn.TEXTSPLIT(M1175,","),_xlfn.LAMBDA(_xlpm.x,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5">
        <f>'Audit Report'!F1175</f>
        <v>0</v>
      </c>
      <c r="S1175">
        <f>'Audit Report'!Q1175</f>
        <v>0</v>
      </c>
    </row>
    <row r="1176" spans="9:19">
      <c r="I1176">
        <f>'Audit Report'!D1176</f>
        <v>0</v>
      </c>
      <c r="J1176">
        <f>'Audit Report'!H1176</f>
        <v>0</v>
      </c>
      <c r="L1176" t="str">
        <f>_xlfn.TEXTJOIN(", ", FALSE, 'Audit Report'!K1176,'Audit Report'!L1176,'Audit Report'!M1176)</f>
        <v xml:space="preserve">, , </v>
      </c>
      <c r="M1176">
        <f>'Audit Report'!O1176</f>
        <v>0</v>
      </c>
      <c r="N1176" t="str" cm="1">
        <f t="array" ref="N1176">IF(M1176="","",
_xlfn.TEXTJOIN(", ",TRUE,
    _xlfn.MAP(_xlfn.TEXTSPLIT(M1176,","),_xlfn.LAMBDA(_xlpm.x,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6">
        <f>'Audit Report'!F1176</f>
        <v>0</v>
      </c>
      <c r="S1176">
        <f>'Audit Report'!Q1176</f>
        <v>0</v>
      </c>
    </row>
    <row r="1177" spans="9:19">
      <c r="I1177">
        <f>'Audit Report'!D1177</f>
        <v>0</v>
      </c>
      <c r="J1177">
        <f>'Audit Report'!H1177</f>
        <v>0</v>
      </c>
      <c r="L1177" t="str">
        <f>_xlfn.TEXTJOIN(", ", FALSE, 'Audit Report'!K1177,'Audit Report'!L1177,'Audit Report'!M1177)</f>
        <v xml:space="preserve">, , </v>
      </c>
      <c r="M1177">
        <f>'Audit Report'!O1177</f>
        <v>0</v>
      </c>
      <c r="N1177" t="str" cm="1">
        <f t="array" ref="N1177">IF(M1177="","",
_xlfn.TEXTJOIN(", ",TRUE,
    _xlfn.MAP(_xlfn.TEXTSPLIT(M1177,","),_xlfn.LAMBDA(_xlpm.x,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7">
        <f>'Audit Report'!F1177</f>
        <v>0</v>
      </c>
      <c r="S1177">
        <f>'Audit Report'!Q1177</f>
        <v>0</v>
      </c>
    </row>
    <row r="1178" spans="9:19">
      <c r="I1178">
        <f>'Audit Report'!D1178</f>
        <v>0</v>
      </c>
      <c r="J1178">
        <f>'Audit Report'!H1178</f>
        <v>0</v>
      </c>
      <c r="L1178" t="str">
        <f>_xlfn.TEXTJOIN(", ", FALSE, 'Audit Report'!K1178,'Audit Report'!L1178,'Audit Report'!M1178)</f>
        <v xml:space="preserve">, , </v>
      </c>
      <c r="M1178">
        <f>'Audit Report'!O1178</f>
        <v>0</v>
      </c>
      <c r="N1178" t="str" cm="1">
        <f t="array" ref="N1178">IF(M1178="","",
_xlfn.TEXTJOIN(", ",TRUE,
    _xlfn.MAP(_xlfn.TEXTSPLIT(M1178,","),_xlfn.LAMBDA(_xlpm.x,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8">
        <f>'Audit Report'!F1178</f>
        <v>0</v>
      </c>
      <c r="S1178">
        <f>'Audit Report'!Q1178</f>
        <v>0</v>
      </c>
    </row>
    <row r="1179" spans="9:19">
      <c r="I1179">
        <f>'Audit Report'!D1179</f>
        <v>0</v>
      </c>
      <c r="J1179">
        <f>'Audit Report'!H1179</f>
        <v>0</v>
      </c>
      <c r="L1179" t="str">
        <f>_xlfn.TEXTJOIN(", ", FALSE, 'Audit Report'!K1179,'Audit Report'!L1179,'Audit Report'!M1179)</f>
        <v xml:space="preserve">, , </v>
      </c>
      <c r="M1179">
        <f>'Audit Report'!O1179</f>
        <v>0</v>
      </c>
      <c r="N1179" t="str" cm="1">
        <f t="array" ref="N1179">IF(M1179="","",
_xlfn.TEXTJOIN(", ",TRUE,
    _xlfn.MAP(_xlfn.TEXTSPLIT(M1179,","),_xlfn.LAMBDA(_xlpm.x,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9">
        <f>'Audit Report'!F1179</f>
        <v>0</v>
      </c>
      <c r="S1179">
        <f>'Audit Report'!Q1179</f>
        <v>0</v>
      </c>
    </row>
    <row r="1180" spans="9:19">
      <c r="I1180">
        <f>'Audit Report'!D1180</f>
        <v>0</v>
      </c>
      <c r="J1180">
        <f>'Audit Report'!H1180</f>
        <v>0</v>
      </c>
      <c r="L1180" t="str">
        <f>_xlfn.TEXTJOIN(", ", FALSE, 'Audit Report'!K1180,'Audit Report'!L1180,'Audit Report'!M1180)</f>
        <v xml:space="preserve">, , </v>
      </c>
      <c r="M1180">
        <f>'Audit Report'!O1180</f>
        <v>0</v>
      </c>
      <c r="N1180" t="str" cm="1">
        <f t="array" ref="N1180">IF(M1180="","",
_xlfn.TEXTJOIN(", ",TRUE,
    _xlfn.MAP(_xlfn.TEXTSPLIT(M1180,","),_xlfn.LAMBDA(_xlpm.x,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0">
        <f>'Audit Report'!F1180</f>
        <v>0</v>
      </c>
      <c r="S1180">
        <f>'Audit Report'!Q1180</f>
        <v>0</v>
      </c>
    </row>
    <row r="1181" spans="9:19">
      <c r="I1181">
        <f>'Audit Report'!D1181</f>
        <v>0</v>
      </c>
      <c r="J1181">
        <f>'Audit Report'!H1181</f>
        <v>0</v>
      </c>
      <c r="L1181" t="str">
        <f>_xlfn.TEXTJOIN(", ", FALSE, 'Audit Report'!K1181,'Audit Report'!L1181,'Audit Report'!M1181)</f>
        <v xml:space="preserve">, , </v>
      </c>
      <c r="M1181">
        <f>'Audit Report'!O1181</f>
        <v>0</v>
      </c>
      <c r="N1181" t="str" cm="1">
        <f t="array" ref="N1181">IF(M1181="","",
_xlfn.TEXTJOIN(", ",TRUE,
    _xlfn.MAP(_xlfn.TEXTSPLIT(M1181,","),_xlfn.LAMBDA(_xlpm.x,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1">
        <f>'Audit Report'!F1181</f>
        <v>0</v>
      </c>
      <c r="S1181">
        <f>'Audit Report'!Q1181</f>
        <v>0</v>
      </c>
    </row>
    <row r="1182" spans="9:19">
      <c r="I1182">
        <f>'Audit Report'!D1182</f>
        <v>0</v>
      </c>
      <c r="J1182">
        <f>'Audit Report'!H1182</f>
        <v>0</v>
      </c>
      <c r="L1182" t="str">
        <f>_xlfn.TEXTJOIN(", ", FALSE, 'Audit Report'!K1182,'Audit Report'!L1182,'Audit Report'!M1182)</f>
        <v xml:space="preserve">, , </v>
      </c>
      <c r="M1182">
        <f>'Audit Report'!O1182</f>
        <v>0</v>
      </c>
      <c r="N1182" t="str" cm="1">
        <f t="array" ref="N1182">IF(M1182="","",
_xlfn.TEXTJOIN(", ",TRUE,
    _xlfn.MAP(_xlfn.TEXTSPLIT(M1182,","),_xlfn.LAMBDA(_xlpm.x,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2">
        <f>'Audit Report'!F1182</f>
        <v>0</v>
      </c>
      <c r="S1182">
        <f>'Audit Report'!Q1182</f>
        <v>0</v>
      </c>
    </row>
    <row r="1183" spans="9:19">
      <c r="I1183">
        <f>'Audit Report'!D1183</f>
        <v>0</v>
      </c>
      <c r="J1183">
        <f>'Audit Report'!H1183</f>
        <v>0</v>
      </c>
      <c r="L1183" t="str">
        <f>_xlfn.TEXTJOIN(", ", FALSE, 'Audit Report'!K1183,'Audit Report'!L1183,'Audit Report'!M1183)</f>
        <v xml:space="preserve">, , </v>
      </c>
      <c r="M1183">
        <f>'Audit Report'!O1183</f>
        <v>0</v>
      </c>
      <c r="N1183" t="str" cm="1">
        <f t="array" ref="N1183">IF(M1183="","",
_xlfn.TEXTJOIN(", ",TRUE,
    _xlfn.MAP(_xlfn.TEXTSPLIT(M1183,","),_xlfn.LAMBDA(_xlpm.x,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3">
        <f>'Audit Report'!F1183</f>
        <v>0</v>
      </c>
      <c r="S1183">
        <f>'Audit Report'!Q1183</f>
        <v>0</v>
      </c>
    </row>
    <row r="1184" spans="9:19">
      <c r="I1184">
        <f>'Audit Report'!D1184</f>
        <v>0</v>
      </c>
      <c r="J1184">
        <f>'Audit Report'!H1184</f>
        <v>0</v>
      </c>
      <c r="L1184" t="str">
        <f>_xlfn.TEXTJOIN(", ", FALSE, 'Audit Report'!K1184,'Audit Report'!L1184,'Audit Report'!M1184)</f>
        <v xml:space="preserve">, , </v>
      </c>
      <c r="M1184">
        <f>'Audit Report'!O1184</f>
        <v>0</v>
      </c>
      <c r="N1184" t="str" cm="1">
        <f t="array" ref="N1184">IF(M1184="","",
_xlfn.TEXTJOIN(", ",TRUE,
    _xlfn.MAP(_xlfn.TEXTSPLIT(M1184,","),_xlfn.LAMBDA(_xlpm.x,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4">
        <f>'Audit Report'!F1184</f>
        <v>0</v>
      </c>
      <c r="S1184">
        <f>'Audit Report'!Q1184</f>
        <v>0</v>
      </c>
    </row>
    <row r="1185" spans="9:19">
      <c r="I1185">
        <f>'Audit Report'!D1185</f>
        <v>0</v>
      </c>
      <c r="J1185">
        <f>'Audit Report'!H1185</f>
        <v>0</v>
      </c>
      <c r="L1185" t="str">
        <f>_xlfn.TEXTJOIN(", ", FALSE, 'Audit Report'!K1185,'Audit Report'!L1185,'Audit Report'!M1185)</f>
        <v xml:space="preserve">, , </v>
      </c>
      <c r="M1185">
        <f>'Audit Report'!O1185</f>
        <v>0</v>
      </c>
      <c r="N1185" t="str" cm="1">
        <f t="array" ref="N1185">IF(M1185="","",
_xlfn.TEXTJOIN(", ",TRUE,
    _xlfn.MAP(_xlfn.TEXTSPLIT(M1185,","),_xlfn.LAMBDA(_xlpm.x,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5">
        <f>'Audit Report'!F1185</f>
        <v>0</v>
      </c>
      <c r="S1185">
        <f>'Audit Report'!Q1185</f>
        <v>0</v>
      </c>
    </row>
    <row r="1186" spans="9:19">
      <c r="I1186">
        <f>'Audit Report'!D1186</f>
        <v>0</v>
      </c>
      <c r="J1186">
        <f>'Audit Report'!H1186</f>
        <v>0</v>
      </c>
      <c r="L1186" t="str">
        <f>_xlfn.TEXTJOIN(", ", FALSE, 'Audit Report'!K1186,'Audit Report'!L1186,'Audit Report'!M1186)</f>
        <v xml:space="preserve">, , </v>
      </c>
      <c r="M1186">
        <f>'Audit Report'!O1186</f>
        <v>0</v>
      </c>
      <c r="N1186" t="str" cm="1">
        <f t="array" ref="N1186">IF(M1186="","",
_xlfn.TEXTJOIN(", ",TRUE,
    _xlfn.MAP(_xlfn.TEXTSPLIT(M1186,","),_xlfn.LAMBDA(_xlpm.x,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6">
        <f>'Audit Report'!F1186</f>
        <v>0</v>
      </c>
      <c r="S1186">
        <f>'Audit Report'!Q1186</f>
        <v>0</v>
      </c>
    </row>
    <row r="1187" spans="9:19">
      <c r="I1187">
        <f>'Audit Report'!D1187</f>
        <v>0</v>
      </c>
      <c r="J1187">
        <f>'Audit Report'!H1187</f>
        <v>0</v>
      </c>
      <c r="L1187" t="str">
        <f>_xlfn.TEXTJOIN(", ", FALSE, 'Audit Report'!K1187,'Audit Report'!L1187,'Audit Report'!M1187)</f>
        <v xml:space="preserve">, , </v>
      </c>
      <c r="M1187">
        <f>'Audit Report'!O1187</f>
        <v>0</v>
      </c>
      <c r="N1187" t="str" cm="1">
        <f t="array" ref="N1187">IF(M1187="","",
_xlfn.TEXTJOIN(", ",TRUE,
    _xlfn.MAP(_xlfn.TEXTSPLIT(M1187,","),_xlfn.LAMBDA(_xlpm.x,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7">
        <f>'Audit Report'!F1187</f>
        <v>0</v>
      </c>
      <c r="S1187">
        <f>'Audit Report'!Q1187</f>
        <v>0</v>
      </c>
    </row>
    <row r="1188" spans="9:19">
      <c r="I1188">
        <f>'Audit Report'!D1188</f>
        <v>0</v>
      </c>
      <c r="J1188">
        <f>'Audit Report'!H1188</f>
        <v>0</v>
      </c>
      <c r="L1188" t="str">
        <f>_xlfn.TEXTJOIN(", ", FALSE, 'Audit Report'!K1188,'Audit Report'!L1188,'Audit Report'!M1188)</f>
        <v xml:space="preserve">, , </v>
      </c>
      <c r="M1188">
        <f>'Audit Report'!O1188</f>
        <v>0</v>
      </c>
      <c r="N1188" t="str" cm="1">
        <f t="array" ref="N1188">IF(M1188="","",
_xlfn.TEXTJOIN(", ",TRUE,
    _xlfn.MAP(_xlfn.TEXTSPLIT(M1188,","),_xlfn.LAMBDA(_xlpm.x,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8">
        <f>'Audit Report'!F1188</f>
        <v>0</v>
      </c>
      <c r="S1188">
        <f>'Audit Report'!Q1188</f>
        <v>0</v>
      </c>
    </row>
    <row r="1189" spans="9:19">
      <c r="I1189">
        <f>'Audit Report'!D1189</f>
        <v>0</v>
      </c>
      <c r="J1189">
        <f>'Audit Report'!H1189</f>
        <v>0</v>
      </c>
      <c r="L1189" t="str">
        <f>_xlfn.TEXTJOIN(", ", FALSE, 'Audit Report'!K1189,'Audit Report'!L1189,'Audit Report'!M1189)</f>
        <v xml:space="preserve">, , </v>
      </c>
      <c r="M1189">
        <f>'Audit Report'!O1189</f>
        <v>0</v>
      </c>
      <c r="N1189" t="str" cm="1">
        <f t="array" ref="N1189">IF(M1189="","",
_xlfn.TEXTJOIN(", ",TRUE,
    _xlfn.MAP(_xlfn.TEXTSPLIT(M1189,","),_xlfn.LAMBDA(_xlpm.x,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9">
        <f>'Audit Report'!F1189</f>
        <v>0</v>
      </c>
      <c r="S1189">
        <f>'Audit Report'!Q1189</f>
        <v>0</v>
      </c>
    </row>
    <row r="1190" spans="9:19">
      <c r="I1190">
        <f>'Audit Report'!D1190</f>
        <v>0</v>
      </c>
      <c r="J1190">
        <f>'Audit Report'!H1190</f>
        <v>0</v>
      </c>
      <c r="L1190" t="str">
        <f>_xlfn.TEXTJOIN(", ", FALSE, 'Audit Report'!K1190,'Audit Report'!L1190,'Audit Report'!M1190)</f>
        <v xml:space="preserve">, , </v>
      </c>
      <c r="M1190">
        <f>'Audit Report'!O1190</f>
        <v>0</v>
      </c>
      <c r="N1190" t="str" cm="1">
        <f t="array" ref="N1190">IF(M1190="","",
_xlfn.TEXTJOIN(", ",TRUE,
    _xlfn.MAP(_xlfn.TEXTSPLIT(M1190,","),_xlfn.LAMBDA(_xlpm.x,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0">
        <f>'Audit Report'!F1190</f>
        <v>0</v>
      </c>
      <c r="S1190">
        <f>'Audit Report'!Q1190</f>
        <v>0</v>
      </c>
    </row>
    <row r="1191" spans="9:19">
      <c r="I1191">
        <f>'Audit Report'!D1191</f>
        <v>0</v>
      </c>
      <c r="J1191">
        <f>'Audit Report'!H1191</f>
        <v>0</v>
      </c>
      <c r="L1191" t="str">
        <f>_xlfn.TEXTJOIN(", ", FALSE, 'Audit Report'!K1191,'Audit Report'!L1191,'Audit Report'!M1191)</f>
        <v xml:space="preserve">, , </v>
      </c>
      <c r="M1191">
        <f>'Audit Report'!O1191</f>
        <v>0</v>
      </c>
      <c r="N1191" t="str" cm="1">
        <f t="array" ref="N1191">IF(M1191="","",
_xlfn.TEXTJOIN(", ",TRUE,
    _xlfn.MAP(_xlfn.TEXTSPLIT(M1191,","),_xlfn.LAMBDA(_xlpm.x,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1">
        <f>'Audit Report'!F1191</f>
        <v>0</v>
      </c>
      <c r="S1191">
        <f>'Audit Report'!Q1191</f>
        <v>0</v>
      </c>
    </row>
    <row r="1192" spans="9:19">
      <c r="I1192">
        <f>'Audit Report'!D1192</f>
        <v>0</v>
      </c>
      <c r="J1192">
        <f>'Audit Report'!H1192</f>
        <v>0</v>
      </c>
      <c r="L1192" t="str">
        <f>_xlfn.TEXTJOIN(", ", FALSE, 'Audit Report'!K1192,'Audit Report'!L1192,'Audit Report'!M1192)</f>
        <v xml:space="preserve">, , </v>
      </c>
      <c r="M1192">
        <f>'Audit Report'!O1192</f>
        <v>0</v>
      </c>
      <c r="N1192" t="str" cm="1">
        <f t="array" ref="N1192">IF(M1192="","",
_xlfn.TEXTJOIN(", ",TRUE,
    _xlfn.MAP(_xlfn.TEXTSPLIT(M1192,","),_xlfn.LAMBDA(_xlpm.x,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2">
        <f>'Audit Report'!F1192</f>
        <v>0</v>
      </c>
      <c r="S1192">
        <f>'Audit Report'!Q1192</f>
        <v>0</v>
      </c>
    </row>
    <row r="1193" spans="9:19">
      <c r="I1193">
        <f>'Audit Report'!D1193</f>
        <v>0</v>
      </c>
      <c r="J1193">
        <f>'Audit Report'!H1193</f>
        <v>0</v>
      </c>
      <c r="L1193" t="str">
        <f>_xlfn.TEXTJOIN(", ", FALSE, 'Audit Report'!K1193,'Audit Report'!L1193,'Audit Report'!M1193)</f>
        <v xml:space="preserve">, , </v>
      </c>
      <c r="M1193">
        <f>'Audit Report'!O1193</f>
        <v>0</v>
      </c>
      <c r="N1193" t="str" cm="1">
        <f t="array" ref="N1193">IF(M1193="","",
_xlfn.TEXTJOIN(", ",TRUE,
    _xlfn.MAP(_xlfn.TEXTSPLIT(M1193,","),_xlfn.LAMBDA(_xlpm.x,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3">
        <f>'Audit Report'!F1193</f>
        <v>0</v>
      </c>
      <c r="S1193">
        <f>'Audit Report'!Q1193</f>
        <v>0</v>
      </c>
    </row>
    <row r="1194" spans="9:19">
      <c r="I1194">
        <f>'Audit Report'!D1194</f>
        <v>0</v>
      </c>
      <c r="J1194">
        <f>'Audit Report'!H1194</f>
        <v>0</v>
      </c>
      <c r="L1194" t="str">
        <f>_xlfn.TEXTJOIN(", ", FALSE, 'Audit Report'!K1194,'Audit Report'!L1194,'Audit Report'!M1194)</f>
        <v xml:space="preserve">, , </v>
      </c>
      <c r="M1194">
        <f>'Audit Report'!O1194</f>
        <v>0</v>
      </c>
      <c r="N1194" t="str" cm="1">
        <f t="array" ref="N1194">IF(M1194="","",
_xlfn.TEXTJOIN(", ",TRUE,
    _xlfn.MAP(_xlfn.TEXTSPLIT(M1194,","),_xlfn.LAMBDA(_xlpm.x,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4">
        <f>'Audit Report'!F1194</f>
        <v>0</v>
      </c>
      <c r="S1194">
        <f>'Audit Report'!Q1194</f>
        <v>0</v>
      </c>
    </row>
    <row r="1195" spans="9:19">
      <c r="I1195">
        <f>'Audit Report'!D1195</f>
        <v>0</v>
      </c>
      <c r="J1195">
        <f>'Audit Report'!H1195</f>
        <v>0</v>
      </c>
      <c r="L1195" t="str">
        <f>_xlfn.TEXTJOIN(", ", FALSE, 'Audit Report'!K1195,'Audit Report'!L1195,'Audit Report'!M1195)</f>
        <v xml:space="preserve">, , </v>
      </c>
      <c r="M1195">
        <f>'Audit Report'!O1195</f>
        <v>0</v>
      </c>
      <c r="N1195" t="str" cm="1">
        <f t="array" ref="N1195">IF(M1195="","",
_xlfn.TEXTJOIN(", ",TRUE,
    _xlfn.MAP(_xlfn.TEXTSPLIT(M1195,","),_xlfn.LAMBDA(_xlpm.x,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5">
        <f>'Audit Report'!F1195</f>
        <v>0</v>
      </c>
      <c r="S1195">
        <f>'Audit Report'!Q1195</f>
        <v>0</v>
      </c>
    </row>
    <row r="1196" spans="9:19">
      <c r="I1196">
        <f>'Audit Report'!D1196</f>
        <v>0</v>
      </c>
      <c r="J1196">
        <f>'Audit Report'!H1196</f>
        <v>0</v>
      </c>
      <c r="L1196" t="str">
        <f>_xlfn.TEXTJOIN(", ", FALSE, 'Audit Report'!K1196,'Audit Report'!L1196,'Audit Report'!M1196)</f>
        <v xml:space="preserve">, , </v>
      </c>
      <c r="M1196">
        <f>'Audit Report'!O1196</f>
        <v>0</v>
      </c>
      <c r="N1196" t="str" cm="1">
        <f t="array" ref="N1196">IF(M1196="","",
_xlfn.TEXTJOIN(", ",TRUE,
    _xlfn.MAP(_xlfn.TEXTSPLIT(M1196,","),_xlfn.LAMBDA(_xlpm.x,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6">
        <f>'Audit Report'!F1196</f>
        <v>0</v>
      </c>
      <c r="S1196">
        <f>'Audit Report'!Q1196</f>
        <v>0</v>
      </c>
    </row>
    <row r="1197" spans="9:19">
      <c r="I1197">
        <f>'Audit Report'!D1197</f>
        <v>0</v>
      </c>
      <c r="J1197">
        <f>'Audit Report'!H1197</f>
        <v>0</v>
      </c>
      <c r="L1197" t="str">
        <f>_xlfn.TEXTJOIN(", ", FALSE, 'Audit Report'!K1197,'Audit Report'!L1197,'Audit Report'!M1197)</f>
        <v xml:space="preserve">, , </v>
      </c>
      <c r="M1197">
        <f>'Audit Report'!O1197</f>
        <v>0</v>
      </c>
      <c r="N1197" t="str" cm="1">
        <f t="array" ref="N1197">IF(M1197="","",
_xlfn.TEXTJOIN(", ",TRUE,
    _xlfn.MAP(_xlfn.TEXTSPLIT(M1197,","),_xlfn.LAMBDA(_xlpm.x,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7">
        <f>'Audit Report'!F1197</f>
        <v>0</v>
      </c>
      <c r="S1197">
        <f>'Audit Report'!Q1197</f>
        <v>0</v>
      </c>
    </row>
    <row r="1198" spans="9:19">
      <c r="I1198">
        <f>'Audit Report'!D1198</f>
        <v>0</v>
      </c>
      <c r="J1198">
        <f>'Audit Report'!H1198</f>
        <v>0</v>
      </c>
      <c r="L1198" t="str">
        <f>_xlfn.TEXTJOIN(", ", FALSE, 'Audit Report'!K1198,'Audit Report'!L1198,'Audit Report'!M1198)</f>
        <v xml:space="preserve">, , </v>
      </c>
      <c r="M1198">
        <f>'Audit Report'!O1198</f>
        <v>0</v>
      </c>
      <c r="N1198" t="str" cm="1">
        <f t="array" ref="N1198">IF(M1198="","",
_xlfn.TEXTJOIN(", ",TRUE,
    _xlfn.MAP(_xlfn.TEXTSPLIT(M1198,","),_xlfn.LAMBDA(_xlpm.x,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8">
        <f>'Audit Report'!F1198</f>
        <v>0</v>
      </c>
      <c r="S1198">
        <f>'Audit Report'!Q1198</f>
        <v>0</v>
      </c>
    </row>
    <row r="1199" spans="9:19">
      <c r="I1199">
        <f>'Audit Report'!D1199</f>
        <v>0</v>
      </c>
      <c r="J1199">
        <f>'Audit Report'!H1199</f>
        <v>0</v>
      </c>
      <c r="L1199" t="str">
        <f>_xlfn.TEXTJOIN(", ", FALSE, 'Audit Report'!K1199,'Audit Report'!L1199,'Audit Report'!M1199)</f>
        <v xml:space="preserve">, , </v>
      </c>
      <c r="M1199">
        <f>'Audit Report'!O1199</f>
        <v>0</v>
      </c>
      <c r="N1199" t="str" cm="1">
        <f t="array" ref="N1199">IF(M1199="","",
_xlfn.TEXTJOIN(", ",TRUE,
    _xlfn.MAP(_xlfn.TEXTSPLIT(M1199,","),_xlfn.LAMBDA(_xlpm.x,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9">
        <f>'Audit Report'!F1199</f>
        <v>0</v>
      </c>
      <c r="S1199">
        <f>'Audit Report'!Q1199</f>
        <v>0</v>
      </c>
    </row>
    <row r="1200" spans="9:19">
      <c r="I1200">
        <f>'Audit Report'!D1200</f>
        <v>0</v>
      </c>
      <c r="J1200">
        <f>'Audit Report'!H1200</f>
        <v>0</v>
      </c>
      <c r="L1200" t="str">
        <f>_xlfn.TEXTJOIN(", ", FALSE, 'Audit Report'!K1200,'Audit Report'!L1200,'Audit Report'!M1200)</f>
        <v xml:space="preserve">, , </v>
      </c>
      <c r="M1200">
        <f>'Audit Report'!O1200</f>
        <v>0</v>
      </c>
      <c r="N1200" t="str" cm="1">
        <f t="array" ref="N1200">IF(M1200="","",
_xlfn.TEXTJOIN(", ",TRUE,
    _xlfn.MAP(_xlfn.TEXTSPLIT(M1200,","),_xlfn.LAMBDA(_xlpm.x,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0">
        <f>'Audit Report'!F1200</f>
        <v>0</v>
      </c>
      <c r="S1200">
        <f>'Audit Report'!Q1200</f>
        <v>0</v>
      </c>
    </row>
    <row r="1201" spans="9:19">
      <c r="I1201">
        <f>'Audit Report'!D1201</f>
        <v>0</v>
      </c>
      <c r="J1201">
        <f>'Audit Report'!H1201</f>
        <v>0</v>
      </c>
      <c r="L1201" t="str">
        <f>_xlfn.TEXTJOIN(", ", FALSE, 'Audit Report'!K1201,'Audit Report'!L1201,'Audit Report'!M1201)</f>
        <v xml:space="preserve">, , </v>
      </c>
      <c r="M1201">
        <f>'Audit Report'!O1201</f>
        <v>0</v>
      </c>
      <c r="N1201" t="str" cm="1">
        <f t="array" ref="N1201">IF(M1201="","",
_xlfn.TEXTJOIN(", ",TRUE,
    _xlfn.MAP(_xlfn.TEXTSPLIT(M1201,","),_xlfn.LAMBDA(_xlpm.x,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1">
        <f>'Audit Report'!F1201</f>
        <v>0</v>
      </c>
      <c r="S1201">
        <f>'Audit Report'!Q1201</f>
        <v>0</v>
      </c>
    </row>
    <row r="1202" spans="9:19">
      <c r="I1202">
        <f>'Audit Report'!D1202</f>
        <v>0</v>
      </c>
      <c r="J1202">
        <f>'Audit Report'!H1202</f>
        <v>0</v>
      </c>
      <c r="L1202" t="str">
        <f>_xlfn.TEXTJOIN(", ", FALSE, 'Audit Report'!K1202,'Audit Report'!L1202,'Audit Report'!M1202)</f>
        <v xml:space="preserve">, , </v>
      </c>
      <c r="M1202">
        <f>'Audit Report'!O1202</f>
        <v>0</v>
      </c>
      <c r="N1202" t="str" cm="1">
        <f t="array" ref="N1202">IF(M1202="","",
_xlfn.TEXTJOIN(", ",TRUE,
    _xlfn.MAP(_xlfn.TEXTSPLIT(M1202,","),_xlfn.LAMBDA(_xlpm.x,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2">
        <f>'Audit Report'!F1202</f>
        <v>0</v>
      </c>
      <c r="S1202">
        <f>'Audit Report'!Q1202</f>
        <v>0</v>
      </c>
    </row>
    <row r="1203" spans="9:19">
      <c r="I1203">
        <f>'Audit Report'!D1203</f>
        <v>0</v>
      </c>
      <c r="J1203">
        <f>'Audit Report'!H1203</f>
        <v>0</v>
      </c>
      <c r="L1203" t="str">
        <f>_xlfn.TEXTJOIN(", ", FALSE, 'Audit Report'!K1203,'Audit Report'!L1203,'Audit Report'!M1203)</f>
        <v xml:space="preserve">, , </v>
      </c>
      <c r="M1203">
        <f>'Audit Report'!O1203</f>
        <v>0</v>
      </c>
      <c r="N1203" t="str" cm="1">
        <f t="array" ref="N1203">IF(M1203="","",
_xlfn.TEXTJOIN(", ",TRUE,
    _xlfn.MAP(_xlfn.TEXTSPLIT(M1203,","),_xlfn.LAMBDA(_xlpm.x,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3">
        <f>'Audit Report'!F1203</f>
        <v>0</v>
      </c>
      <c r="S1203">
        <f>'Audit Report'!Q1203</f>
        <v>0</v>
      </c>
    </row>
    <row r="1204" spans="9:19">
      <c r="I1204">
        <f>'Audit Report'!D1204</f>
        <v>0</v>
      </c>
      <c r="J1204">
        <f>'Audit Report'!H1204</f>
        <v>0</v>
      </c>
      <c r="L1204" t="str">
        <f>_xlfn.TEXTJOIN(", ", FALSE, 'Audit Report'!K1204,'Audit Report'!L1204,'Audit Report'!M1204)</f>
        <v xml:space="preserve">, , </v>
      </c>
      <c r="M1204">
        <f>'Audit Report'!O1204</f>
        <v>0</v>
      </c>
      <c r="N1204" t="str" cm="1">
        <f t="array" ref="N1204">IF(M1204="","",
_xlfn.TEXTJOIN(", ",TRUE,
    _xlfn.MAP(_xlfn.TEXTSPLIT(M1204,","),_xlfn.LAMBDA(_xlpm.x,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4">
        <f>'Audit Report'!F1204</f>
        <v>0</v>
      </c>
      <c r="S1204">
        <f>'Audit Report'!Q1204</f>
        <v>0</v>
      </c>
    </row>
    <row r="1205" spans="9:19">
      <c r="I1205">
        <f>'Audit Report'!D1205</f>
        <v>0</v>
      </c>
      <c r="J1205">
        <f>'Audit Report'!H1205</f>
        <v>0</v>
      </c>
      <c r="L1205" t="str">
        <f>_xlfn.TEXTJOIN(", ", FALSE, 'Audit Report'!K1205,'Audit Report'!L1205,'Audit Report'!M1205)</f>
        <v xml:space="preserve">, , </v>
      </c>
      <c r="M1205">
        <f>'Audit Report'!O1205</f>
        <v>0</v>
      </c>
      <c r="N1205" t="str" cm="1">
        <f t="array" ref="N1205">IF(M1205="","",
_xlfn.TEXTJOIN(", ",TRUE,
    _xlfn.MAP(_xlfn.TEXTSPLIT(M1205,","),_xlfn.LAMBDA(_xlpm.x,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5">
        <f>'Audit Report'!F1205</f>
        <v>0</v>
      </c>
      <c r="S1205">
        <f>'Audit Report'!Q1205</f>
        <v>0</v>
      </c>
    </row>
    <row r="1206" spans="9:19">
      <c r="I1206">
        <f>'Audit Report'!D1206</f>
        <v>0</v>
      </c>
      <c r="J1206">
        <f>'Audit Report'!H1206</f>
        <v>0</v>
      </c>
      <c r="L1206" t="str">
        <f>_xlfn.TEXTJOIN(", ", FALSE, 'Audit Report'!K1206,'Audit Report'!L1206,'Audit Report'!M1206)</f>
        <v xml:space="preserve">, , </v>
      </c>
      <c r="M1206">
        <f>'Audit Report'!O1206</f>
        <v>0</v>
      </c>
      <c r="N1206" t="str" cm="1">
        <f t="array" ref="N1206">IF(M1206="","",
_xlfn.TEXTJOIN(", ",TRUE,
    _xlfn.MAP(_xlfn.TEXTSPLIT(M1206,","),_xlfn.LAMBDA(_xlpm.x,
        _xlfn.LET(
            _xlpm.item,TRIM(_xlpm.x),
            _xlpm.descCode, _xlfn.XLOOKUP(_xlpm.item,'Diagnostics Codes'!C1206:C1404,'Diagnostics Codes'!B1206:B1404,""),
            _xlpm.itadCode, IFERROR(
                INDEX('Diagnostics Codes'!B1206:B1404,
                    MATCH(TRUE,
                        _xlfn.BYROW('Diagnostics Codes'!D1206:D1404,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6">
        <f>'Audit Report'!F1206</f>
        <v>0</v>
      </c>
      <c r="S1206">
        <f>'Audit Report'!Q1206</f>
        <v>0</v>
      </c>
    </row>
    <row r="1207" spans="9:19">
      <c r="I1207">
        <f>'Audit Report'!D1207</f>
        <v>0</v>
      </c>
      <c r="J1207">
        <f>'Audit Report'!H1207</f>
        <v>0</v>
      </c>
      <c r="L1207" t="str">
        <f>_xlfn.TEXTJOIN(", ", FALSE, 'Audit Report'!K1207,'Audit Report'!L1207,'Audit Report'!M1207)</f>
        <v xml:space="preserve">, , </v>
      </c>
      <c r="M1207">
        <f>'Audit Report'!O1207</f>
        <v>0</v>
      </c>
      <c r="N1207" t="str" cm="1">
        <f t="array" ref="N1207">IF(M1207="","",
_xlfn.TEXTJOIN(", ",TRUE,
    _xlfn.MAP(_xlfn.TEXTSPLIT(M1207,","),_xlfn.LAMBDA(_xlpm.x,
        _xlfn.LET(
            _xlpm.item,TRIM(_xlpm.x),
            _xlpm.descCode, _xlfn.XLOOKUP(_xlpm.item,'Diagnostics Codes'!C1207:C1405,'Diagnostics Codes'!B1207:B1405,""),
            _xlpm.itadCode, IFERROR(
                INDEX('Diagnostics Codes'!B1207:B1405,
                    MATCH(TRUE,
                        _xlfn.BYROW('Diagnostics Codes'!D1207:D1405,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7">
        <f>'Audit Report'!F1207</f>
        <v>0</v>
      </c>
      <c r="S1207">
        <f>'Audit Report'!Q1207</f>
        <v>0</v>
      </c>
    </row>
    <row r="1208" spans="9:19">
      <c r="I1208">
        <f>'Audit Report'!D1208</f>
        <v>0</v>
      </c>
      <c r="J1208">
        <f>'Audit Report'!H1208</f>
        <v>0</v>
      </c>
      <c r="L1208" t="str">
        <f>_xlfn.TEXTJOIN(", ", FALSE, 'Audit Report'!K1208,'Audit Report'!L1208,'Audit Report'!M1208)</f>
        <v xml:space="preserve">, , </v>
      </c>
      <c r="M1208">
        <f>'Audit Report'!O1208</f>
        <v>0</v>
      </c>
      <c r="N1208" t="str" cm="1">
        <f t="array" ref="N1208">IF(M1208="","",
_xlfn.TEXTJOIN(", ",TRUE,
    _xlfn.MAP(_xlfn.TEXTSPLIT(M1208,","),_xlfn.LAMBDA(_xlpm.x,
        _xlfn.LET(
            _xlpm.item,TRIM(_xlpm.x),
            _xlpm.descCode, _xlfn.XLOOKUP(_xlpm.item,'Diagnostics Codes'!C1208:C1406,'Diagnostics Codes'!B1208:B1406,""),
            _xlpm.itadCode, IFERROR(
                INDEX('Diagnostics Codes'!B1208:B1406,
                    MATCH(TRUE,
                        _xlfn.BYROW('Diagnostics Codes'!D1208:D1406,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8">
        <f>'Audit Report'!F1208</f>
        <v>0</v>
      </c>
      <c r="S1208">
        <f>'Audit Report'!Q1208</f>
        <v>0</v>
      </c>
    </row>
    <row r="1209" spans="9:19">
      <c r="I1209">
        <f>'Audit Report'!D1209</f>
        <v>0</v>
      </c>
      <c r="J1209">
        <f>'Audit Report'!H1209</f>
        <v>0</v>
      </c>
      <c r="L1209" t="str">
        <f>_xlfn.TEXTJOIN(", ", FALSE, 'Audit Report'!K1209,'Audit Report'!L1209,'Audit Report'!M1209)</f>
        <v xml:space="preserve">, , </v>
      </c>
      <c r="M1209">
        <f>'Audit Report'!O1209</f>
        <v>0</v>
      </c>
      <c r="N1209" t="str" cm="1">
        <f t="array" ref="N1209">IF(M1209="","",
_xlfn.TEXTJOIN(", ",TRUE,
    _xlfn.MAP(_xlfn.TEXTSPLIT(M1209,","),_xlfn.LAMBDA(_xlpm.x,
        _xlfn.LET(
            _xlpm.item,TRIM(_xlpm.x),
            _xlpm.descCode, _xlfn.XLOOKUP(_xlpm.item,'Diagnostics Codes'!C1209:C1407,'Diagnostics Codes'!B1209:B1407,""),
            _xlpm.itadCode, IFERROR(
                INDEX('Diagnostics Codes'!B1209:B1407,
                    MATCH(TRUE,
                        _xlfn.BYROW('Diagnostics Codes'!D1209:D1407,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9">
        <f>'Audit Report'!F1209</f>
        <v>0</v>
      </c>
      <c r="S1209">
        <f>'Audit Report'!Q1209</f>
        <v>0</v>
      </c>
    </row>
    <row r="1210" spans="9:19">
      <c r="I1210">
        <f>'Audit Report'!D1210</f>
        <v>0</v>
      </c>
      <c r="J1210">
        <f>'Audit Report'!H1210</f>
        <v>0</v>
      </c>
      <c r="L1210" t="str">
        <f>_xlfn.TEXTJOIN(", ", FALSE, 'Audit Report'!K1210,'Audit Report'!L1210,'Audit Report'!M1210)</f>
        <v xml:space="preserve">, , </v>
      </c>
      <c r="M1210">
        <f>'Audit Report'!O1210</f>
        <v>0</v>
      </c>
      <c r="N1210" t="str" cm="1">
        <f t="array" ref="N1210">IF(M1210="","",
_xlfn.TEXTJOIN(", ",TRUE,
    _xlfn.MAP(_xlfn.TEXTSPLIT(M1210,","),_xlfn.LAMBDA(_xlpm.x,
        _xlfn.LET(
            _xlpm.item,TRIM(_xlpm.x),
            _xlpm.descCode, _xlfn.XLOOKUP(_xlpm.item,'Diagnostics Codes'!C1210:C1408,'Diagnostics Codes'!B1210:B1408,""),
            _xlpm.itadCode, IFERROR(
                INDEX('Diagnostics Codes'!B1210:B1408,
                    MATCH(TRUE,
                        _xlfn.BYROW('Diagnostics Codes'!D1210:D1408,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0">
        <f>'Audit Report'!F1210</f>
        <v>0</v>
      </c>
      <c r="S1210">
        <f>'Audit Report'!Q1210</f>
        <v>0</v>
      </c>
    </row>
    <row r="1211" spans="9:19">
      <c r="I1211">
        <f>'Audit Report'!D1211</f>
        <v>0</v>
      </c>
      <c r="J1211">
        <f>'Audit Report'!H1211</f>
        <v>0</v>
      </c>
      <c r="L1211" t="str">
        <f>_xlfn.TEXTJOIN(", ", FALSE, 'Audit Report'!K1211,'Audit Report'!L1211,'Audit Report'!M1211)</f>
        <v xml:space="preserve">, , </v>
      </c>
      <c r="M1211">
        <f>'Audit Report'!O1211</f>
        <v>0</v>
      </c>
      <c r="N1211" t="str" cm="1">
        <f t="array" ref="N1211">IF(M1211="","",
_xlfn.TEXTJOIN(", ",TRUE,
    _xlfn.MAP(_xlfn.TEXTSPLIT(M1211,","),_xlfn.LAMBDA(_xlpm.x,
        _xlfn.LET(
            _xlpm.item,TRIM(_xlpm.x),
            _xlpm.descCode, _xlfn.XLOOKUP(_xlpm.item,'Diagnostics Codes'!C1211:C1409,'Diagnostics Codes'!B1211:B1409,""),
            _xlpm.itadCode, IFERROR(
                INDEX('Diagnostics Codes'!B1211:B1409,
                    MATCH(TRUE,
                        _xlfn.BYROW('Diagnostics Codes'!D1211:D1409,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1">
        <f>'Audit Report'!F1211</f>
        <v>0</v>
      </c>
      <c r="S1211">
        <f>'Audit Report'!Q1211</f>
        <v>0</v>
      </c>
    </row>
    <row r="1212" spans="9:19">
      <c r="I1212">
        <f>'Audit Report'!D1212</f>
        <v>0</v>
      </c>
      <c r="J1212">
        <f>'Audit Report'!H1212</f>
        <v>0</v>
      </c>
      <c r="L1212" t="str">
        <f>_xlfn.TEXTJOIN(", ", FALSE, 'Audit Report'!K1212,'Audit Report'!L1212,'Audit Report'!M1212)</f>
        <v xml:space="preserve">, , </v>
      </c>
      <c r="M1212">
        <f>'Audit Report'!O1212</f>
        <v>0</v>
      </c>
      <c r="N1212" t="str" cm="1">
        <f t="array" ref="N1212">IF(M1212="","",
_xlfn.TEXTJOIN(", ",TRUE,
    _xlfn.MAP(_xlfn.TEXTSPLIT(M1212,","),_xlfn.LAMBDA(_xlpm.x,
        _xlfn.LET(
            _xlpm.item,TRIM(_xlpm.x),
            _xlpm.descCode, _xlfn.XLOOKUP(_xlpm.item,'Diagnostics Codes'!C1212:C1410,'Diagnostics Codes'!B1212:B1410,""),
            _xlpm.itadCode, IFERROR(
                INDEX('Diagnostics Codes'!B1212:B1410,
                    MATCH(TRUE,
                        _xlfn.BYROW('Diagnostics Codes'!D1212:D1410,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2">
        <f>'Audit Report'!F1212</f>
        <v>0</v>
      </c>
      <c r="S1212">
        <f>'Audit Report'!Q1212</f>
        <v>0</v>
      </c>
    </row>
    <row r="1213" spans="9:19">
      <c r="I1213">
        <f>'Audit Report'!D1213</f>
        <v>0</v>
      </c>
      <c r="J1213">
        <f>'Audit Report'!H1213</f>
        <v>0</v>
      </c>
      <c r="L1213" t="str">
        <f>_xlfn.TEXTJOIN(", ", FALSE, 'Audit Report'!K1213,'Audit Report'!L1213,'Audit Report'!M1213)</f>
        <v xml:space="preserve">, , </v>
      </c>
      <c r="M1213">
        <f>'Audit Report'!O1213</f>
        <v>0</v>
      </c>
      <c r="N1213" t="str" cm="1">
        <f t="array" ref="N1213">IF(M1213="","",
_xlfn.TEXTJOIN(", ",TRUE,
    _xlfn.MAP(_xlfn.TEXTSPLIT(M1213,","),_xlfn.LAMBDA(_xlpm.x,
        _xlfn.LET(
            _xlpm.item,TRIM(_xlpm.x),
            _xlpm.descCode, _xlfn.XLOOKUP(_xlpm.item,'Diagnostics Codes'!C1213:C1411,'Diagnostics Codes'!B1213:B1411,""),
            _xlpm.itadCode, IFERROR(
                INDEX('Diagnostics Codes'!B1213:B1411,
                    MATCH(TRUE,
                        _xlfn.BYROW('Diagnostics Codes'!D1213:D1411,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3">
        <f>'Audit Report'!F1213</f>
        <v>0</v>
      </c>
      <c r="S1213">
        <f>'Audit Report'!Q1213</f>
        <v>0</v>
      </c>
    </row>
    <row r="1214" spans="9:19">
      <c r="I1214">
        <f>'Audit Report'!D1214</f>
        <v>0</v>
      </c>
      <c r="J1214">
        <f>'Audit Report'!H1214</f>
        <v>0</v>
      </c>
      <c r="L1214" t="str">
        <f>_xlfn.TEXTJOIN(", ", FALSE, 'Audit Report'!K1214,'Audit Report'!L1214,'Audit Report'!M1214)</f>
        <v xml:space="preserve">, , </v>
      </c>
      <c r="M1214">
        <f>'Audit Report'!O1214</f>
        <v>0</v>
      </c>
      <c r="N1214" t="str" cm="1">
        <f t="array" ref="N1214">IF(M1214="","",
_xlfn.TEXTJOIN(", ",TRUE,
    _xlfn.MAP(_xlfn.TEXTSPLIT(M1214,","),_xlfn.LAMBDA(_xlpm.x,
        _xlfn.LET(
            _xlpm.item,TRIM(_xlpm.x),
            _xlpm.descCode, _xlfn.XLOOKUP(_xlpm.item,'Diagnostics Codes'!C1214:C1412,'Diagnostics Codes'!B1214:B1412,""),
            _xlpm.itadCode, IFERROR(
                INDEX('Diagnostics Codes'!B1214:B1412,
                    MATCH(TRUE,
                        _xlfn.BYROW('Diagnostics Codes'!D1214:D1412,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4">
        <f>'Audit Report'!F1214</f>
        <v>0</v>
      </c>
      <c r="S1214">
        <f>'Audit Report'!Q1214</f>
        <v>0</v>
      </c>
    </row>
    <row r="1215" spans="9:19">
      <c r="I1215">
        <f>'Audit Report'!D1215</f>
        <v>0</v>
      </c>
      <c r="J1215">
        <f>'Audit Report'!H1215</f>
        <v>0</v>
      </c>
      <c r="L1215" t="str">
        <f>_xlfn.TEXTJOIN(", ", FALSE, 'Audit Report'!K1215,'Audit Report'!L1215,'Audit Report'!M1215)</f>
        <v xml:space="preserve">, , </v>
      </c>
      <c r="M1215">
        <f>'Audit Report'!O1215</f>
        <v>0</v>
      </c>
      <c r="N1215" t="str" cm="1">
        <f t="array" ref="N1215">IF(M1215="","",
_xlfn.TEXTJOIN(", ",TRUE,
    _xlfn.MAP(_xlfn.TEXTSPLIT(M1215,","),_xlfn.LAMBDA(_xlpm.x,
        _xlfn.LET(
            _xlpm.item,TRIM(_xlpm.x),
            _xlpm.descCode, _xlfn.XLOOKUP(_xlpm.item,'Diagnostics Codes'!C1215:C1413,'Diagnostics Codes'!B1215:B1413,""),
            _xlpm.itadCode, IFERROR(
                INDEX('Diagnostics Codes'!B1215:B1413,
                    MATCH(TRUE,
                        _xlfn.BYROW('Diagnostics Codes'!D1215:D1413,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5">
        <f>'Audit Report'!F1215</f>
        <v>0</v>
      </c>
      <c r="S1215">
        <f>'Audit Report'!Q1215</f>
        <v>0</v>
      </c>
    </row>
    <row r="1216" spans="9:19">
      <c r="I1216">
        <f>'Audit Report'!D1216</f>
        <v>0</v>
      </c>
      <c r="J1216">
        <f>'Audit Report'!H1216</f>
        <v>0</v>
      </c>
      <c r="L1216" t="str">
        <f>_xlfn.TEXTJOIN(", ", FALSE, 'Audit Report'!K1216,'Audit Report'!L1216,'Audit Report'!M1216)</f>
        <v xml:space="preserve">, , </v>
      </c>
      <c r="M1216">
        <f>'Audit Report'!O1216</f>
        <v>0</v>
      </c>
      <c r="N1216" t="str" cm="1">
        <f t="array" ref="N1216">IF(M1216="","",
_xlfn.TEXTJOIN(", ",TRUE,
    _xlfn.MAP(_xlfn.TEXTSPLIT(M1216,","),_xlfn.LAMBDA(_xlpm.x,
        _xlfn.LET(
            _xlpm.item,TRIM(_xlpm.x),
            _xlpm.descCode, _xlfn.XLOOKUP(_xlpm.item,'Diagnostics Codes'!C1216:C1414,'Diagnostics Codes'!B1216:B1414,""),
            _xlpm.itadCode, IFERROR(
                INDEX('Diagnostics Codes'!B1216:B1414,
                    MATCH(TRUE,
                        _xlfn.BYROW('Diagnostics Codes'!D1216:D1414,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6">
        <f>'Audit Report'!F1216</f>
        <v>0</v>
      </c>
      <c r="S1216">
        <f>'Audit Report'!Q1216</f>
        <v>0</v>
      </c>
    </row>
    <row r="1217" spans="9:19">
      <c r="I1217">
        <f>'Audit Report'!D1217</f>
        <v>0</v>
      </c>
      <c r="J1217">
        <f>'Audit Report'!H1217</f>
        <v>0</v>
      </c>
      <c r="L1217" t="str">
        <f>_xlfn.TEXTJOIN(", ", FALSE, 'Audit Report'!K1217,'Audit Report'!L1217,'Audit Report'!M1217)</f>
        <v xml:space="preserve">, , </v>
      </c>
      <c r="M1217">
        <f>'Audit Report'!O1217</f>
        <v>0</v>
      </c>
      <c r="N1217" t="str" cm="1">
        <f t="array" ref="N1217">IF(M1217="","",
_xlfn.TEXTJOIN(", ",TRUE,
    _xlfn.MAP(_xlfn.TEXTSPLIT(M1217,","),_xlfn.LAMBDA(_xlpm.x,
        _xlfn.LET(
            _xlpm.item,TRIM(_xlpm.x),
            _xlpm.descCode, _xlfn.XLOOKUP(_xlpm.item,'Diagnostics Codes'!C1217:C1415,'Diagnostics Codes'!B1217:B1415,""),
            _xlpm.itadCode, IFERROR(
                INDEX('Diagnostics Codes'!B1217:B1415,
                    MATCH(TRUE,
                        _xlfn.BYROW('Diagnostics Codes'!D1217:D1415,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7">
        <f>'Audit Report'!F1217</f>
        <v>0</v>
      </c>
      <c r="S1217">
        <f>'Audit Report'!Q1217</f>
        <v>0</v>
      </c>
    </row>
    <row r="1218" spans="9:19">
      <c r="I1218">
        <f>'Audit Report'!D1218</f>
        <v>0</v>
      </c>
      <c r="J1218">
        <f>'Audit Report'!H1218</f>
        <v>0</v>
      </c>
      <c r="L1218" t="str">
        <f>_xlfn.TEXTJOIN(", ", FALSE, 'Audit Report'!K1218,'Audit Report'!L1218,'Audit Report'!M1218)</f>
        <v xml:space="preserve">, , </v>
      </c>
      <c r="M1218">
        <f>'Audit Report'!O1218</f>
        <v>0</v>
      </c>
      <c r="N1218" t="str" cm="1">
        <f t="array" ref="N1218">IF(M1218="","",
_xlfn.TEXTJOIN(", ",TRUE,
    _xlfn.MAP(_xlfn.TEXTSPLIT(M1218,","),_xlfn.LAMBDA(_xlpm.x,
        _xlfn.LET(
            _xlpm.item,TRIM(_xlpm.x),
            _xlpm.descCode, _xlfn.XLOOKUP(_xlpm.item,'Diagnostics Codes'!C1218:C1416,'Diagnostics Codes'!B1218:B1416,""),
            _xlpm.itadCode, IFERROR(
                INDEX('Diagnostics Codes'!B1218:B1416,
                    MATCH(TRUE,
                        _xlfn.BYROW('Diagnostics Codes'!D1218:D1416,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8">
        <f>'Audit Report'!F1218</f>
        <v>0</v>
      </c>
      <c r="S1218">
        <f>'Audit Report'!Q1218</f>
        <v>0</v>
      </c>
    </row>
    <row r="1219" spans="9:19">
      <c r="I1219">
        <f>'Audit Report'!D1219</f>
        <v>0</v>
      </c>
      <c r="J1219">
        <f>'Audit Report'!H1219</f>
        <v>0</v>
      </c>
      <c r="L1219" t="str">
        <f>_xlfn.TEXTJOIN(", ", FALSE, 'Audit Report'!K1219,'Audit Report'!L1219,'Audit Report'!M1219)</f>
        <v xml:space="preserve">, , </v>
      </c>
      <c r="M1219">
        <f>'Audit Report'!O1219</f>
        <v>0</v>
      </c>
      <c r="N1219" t="str" cm="1">
        <f t="array" ref="N1219">IF(M1219="","",
_xlfn.TEXTJOIN(", ",TRUE,
    _xlfn.MAP(_xlfn.TEXTSPLIT(M1219,","),_xlfn.LAMBDA(_xlpm.x,
        _xlfn.LET(
            _xlpm.item,TRIM(_xlpm.x),
            _xlpm.descCode, _xlfn.XLOOKUP(_xlpm.item,'Diagnostics Codes'!C1219:C1417,'Diagnostics Codes'!B1219:B1417,""),
            _xlpm.itadCode, IFERROR(
                INDEX('Diagnostics Codes'!B1219:B1417,
                    MATCH(TRUE,
                        _xlfn.BYROW('Diagnostics Codes'!D1219:D1417,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9">
        <f>'Audit Report'!F1219</f>
        <v>0</v>
      </c>
      <c r="S1219">
        <f>'Audit Report'!Q1219</f>
        <v>0</v>
      </c>
    </row>
    <row r="1220" spans="9:19">
      <c r="I1220">
        <f>'Audit Report'!D1220</f>
        <v>0</v>
      </c>
      <c r="J1220">
        <f>'Audit Report'!H1220</f>
        <v>0</v>
      </c>
      <c r="L1220" t="str">
        <f>_xlfn.TEXTJOIN(", ", FALSE, 'Audit Report'!K1220,'Audit Report'!L1220,'Audit Report'!M1220)</f>
        <v xml:space="preserve">, , </v>
      </c>
      <c r="M1220">
        <f>'Audit Report'!O1220</f>
        <v>0</v>
      </c>
      <c r="N1220" t="str" cm="1">
        <f t="array" ref="N1220">IF(M1220="","",
_xlfn.TEXTJOIN(", ",TRUE,
    _xlfn.MAP(_xlfn.TEXTSPLIT(M1220,","),_xlfn.LAMBDA(_xlpm.x,
        _xlfn.LET(
            _xlpm.item,TRIM(_xlpm.x),
            _xlpm.descCode, _xlfn.XLOOKUP(_xlpm.item,'Diagnostics Codes'!C1220:C1418,'Diagnostics Codes'!B1220:B1418,""),
            _xlpm.itadCode, IFERROR(
                INDEX('Diagnostics Codes'!B1220:B1418,
                    MATCH(TRUE,
                        _xlfn.BYROW('Diagnostics Codes'!D1220:D1418,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0">
        <f>'Audit Report'!F1220</f>
        <v>0</v>
      </c>
      <c r="S1220">
        <f>'Audit Report'!Q1220</f>
        <v>0</v>
      </c>
    </row>
    <row r="1221" spans="9:19">
      <c r="I1221">
        <f>'Audit Report'!D1221</f>
        <v>0</v>
      </c>
      <c r="J1221">
        <f>'Audit Report'!H1221</f>
        <v>0</v>
      </c>
      <c r="L1221" t="str">
        <f>_xlfn.TEXTJOIN(", ", FALSE, 'Audit Report'!K1221,'Audit Report'!L1221,'Audit Report'!M1221)</f>
        <v xml:space="preserve">, , </v>
      </c>
      <c r="M1221">
        <f>'Audit Report'!O1221</f>
        <v>0</v>
      </c>
      <c r="N1221" t="str" cm="1">
        <f t="array" ref="N1221">IF(M1221="","",
_xlfn.TEXTJOIN(", ",TRUE,
    _xlfn.MAP(_xlfn.TEXTSPLIT(M1221,","),_xlfn.LAMBDA(_xlpm.x,
        _xlfn.LET(
            _xlpm.item,TRIM(_xlpm.x),
            _xlpm.descCode, _xlfn.XLOOKUP(_xlpm.item,'Diagnostics Codes'!C1221:C1419,'Diagnostics Codes'!B1221:B1419,""),
            _xlpm.itadCode, IFERROR(
                INDEX('Diagnostics Codes'!B1221:B1419,
                    MATCH(TRUE,
                        _xlfn.BYROW('Diagnostics Codes'!D1221:D1419,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1">
        <f>'Audit Report'!F1221</f>
        <v>0</v>
      </c>
      <c r="S1221">
        <f>'Audit Report'!Q1221</f>
        <v>0</v>
      </c>
    </row>
    <row r="1222" spans="9:19">
      <c r="I1222">
        <f>'Audit Report'!D1222</f>
        <v>0</v>
      </c>
      <c r="J1222">
        <f>'Audit Report'!H1222</f>
        <v>0</v>
      </c>
      <c r="L1222" t="str">
        <f>_xlfn.TEXTJOIN(", ", FALSE, 'Audit Report'!K1222,'Audit Report'!L1222,'Audit Report'!M1222)</f>
        <v xml:space="preserve">, , </v>
      </c>
      <c r="M1222">
        <f>'Audit Report'!O1222</f>
        <v>0</v>
      </c>
      <c r="N1222" t="str" cm="1">
        <f t="array" ref="N1222">IF(M1222="","",
_xlfn.TEXTJOIN(", ",TRUE,
    _xlfn.MAP(_xlfn.TEXTSPLIT(M1222,","),_xlfn.LAMBDA(_xlpm.x,
        _xlfn.LET(
            _xlpm.item,TRIM(_xlpm.x),
            _xlpm.descCode, _xlfn.XLOOKUP(_xlpm.item,'Diagnostics Codes'!C1222:C1420,'Diagnostics Codes'!B1222:B1420,""),
            _xlpm.itadCode, IFERROR(
                INDEX('Diagnostics Codes'!B1222:B1420,
                    MATCH(TRUE,
                        _xlfn.BYROW('Diagnostics Codes'!D1222:D1420,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2">
        <f>'Audit Report'!F1222</f>
        <v>0</v>
      </c>
      <c r="S1222">
        <f>'Audit Report'!Q1222</f>
        <v>0</v>
      </c>
    </row>
    <row r="1223" spans="9:19">
      <c r="I1223">
        <f>'Audit Report'!D1223</f>
        <v>0</v>
      </c>
      <c r="J1223">
        <f>'Audit Report'!H1223</f>
        <v>0</v>
      </c>
      <c r="L1223" t="str">
        <f>_xlfn.TEXTJOIN(", ", FALSE, 'Audit Report'!K1223,'Audit Report'!L1223,'Audit Report'!M1223)</f>
        <v xml:space="preserve">, , </v>
      </c>
      <c r="M1223">
        <f>'Audit Report'!O1223</f>
        <v>0</v>
      </c>
      <c r="N1223" t="str" cm="1">
        <f t="array" ref="N1223">IF(M1223="","",
_xlfn.TEXTJOIN(", ",TRUE,
    _xlfn.MAP(_xlfn.TEXTSPLIT(M1223,","),_xlfn.LAMBDA(_xlpm.x,
        _xlfn.LET(
            _xlpm.item,TRIM(_xlpm.x),
            _xlpm.descCode, _xlfn.XLOOKUP(_xlpm.item,'Diagnostics Codes'!C1223:C1421,'Diagnostics Codes'!B1223:B1421,""),
            _xlpm.itadCode, IFERROR(
                INDEX('Diagnostics Codes'!B1223:B1421,
                    MATCH(TRUE,
                        _xlfn.BYROW('Diagnostics Codes'!D1223:D1421,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3">
        <f>'Audit Report'!F1223</f>
        <v>0</v>
      </c>
      <c r="S1223">
        <f>'Audit Report'!Q1223</f>
        <v>0</v>
      </c>
    </row>
    <row r="1224" spans="9:19">
      <c r="I1224">
        <f>'Audit Report'!D1224</f>
        <v>0</v>
      </c>
      <c r="J1224">
        <f>'Audit Report'!H1224</f>
        <v>0</v>
      </c>
      <c r="L1224" t="str">
        <f>_xlfn.TEXTJOIN(", ", FALSE, 'Audit Report'!K1224,'Audit Report'!L1224,'Audit Report'!M1224)</f>
        <v xml:space="preserve">, , </v>
      </c>
      <c r="M1224">
        <f>'Audit Report'!O1224</f>
        <v>0</v>
      </c>
      <c r="N1224" t="str" cm="1">
        <f t="array" ref="N1224">IF(M1224="","",
_xlfn.TEXTJOIN(", ",TRUE,
    _xlfn.MAP(_xlfn.TEXTSPLIT(M1224,","),_xlfn.LAMBDA(_xlpm.x,
        _xlfn.LET(
            _xlpm.item,TRIM(_xlpm.x),
            _xlpm.descCode, _xlfn.XLOOKUP(_xlpm.item,'Diagnostics Codes'!C1224:C1422,'Diagnostics Codes'!B1224:B1422,""),
            _xlpm.itadCode, IFERROR(
                INDEX('Diagnostics Codes'!B1224:B1422,
                    MATCH(TRUE,
                        _xlfn.BYROW('Diagnostics Codes'!D1224:D1422,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4">
        <f>'Audit Report'!F1224</f>
        <v>0</v>
      </c>
      <c r="S1224">
        <f>'Audit Report'!Q1224</f>
        <v>0</v>
      </c>
    </row>
    <row r="1225" spans="9:19">
      <c r="I1225">
        <f>'Audit Report'!D1225</f>
        <v>0</v>
      </c>
      <c r="J1225">
        <f>'Audit Report'!H1225</f>
        <v>0</v>
      </c>
      <c r="L1225" t="str">
        <f>_xlfn.TEXTJOIN(", ", FALSE, 'Audit Report'!K1225,'Audit Report'!L1225,'Audit Report'!M1225)</f>
        <v xml:space="preserve">, , </v>
      </c>
      <c r="M1225">
        <f>'Audit Report'!O1225</f>
        <v>0</v>
      </c>
      <c r="N1225" t="str" cm="1">
        <f t="array" ref="N1225">IF(M1225="","",
_xlfn.TEXTJOIN(", ",TRUE,
    _xlfn.MAP(_xlfn.TEXTSPLIT(M1225,","),_xlfn.LAMBDA(_xlpm.x,
        _xlfn.LET(
            _xlpm.item,TRIM(_xlpm.x),
            _xlpm.descCode, _xlfn.XLOOKUP(_xlpm.item,'Diagnostics Codes'!C1225:C1423,'Diagnostics Codes'!B1225:B1423,""),
            _xlpm.itadCode, IFERROR(
                INDEX('Diagnostics Codes'!B1225:B1423,
                    MATCH(TRUE,
                        _xlfn.BYROW('Diagnostics Codes'!D1225:D1423,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5">
        <f>'Audit Report'!F1225</f>
        <v>0</v>
      </c>
      <c r="S1225">
        <f>'Audit Report'!Q1225</f>
        <v>0</v>
      </c>
    </row>
    <row r="1226" spans="9:19">
      <c r="I1226">
        <f>'Audit Report'!D1226</f>
        <v>0</v>
      </c>
      <c r="J1226">
        <f>'Audit Report'!H1226</f>
        <v>0</v>
      </c>
      <c r="L1226" t="str">
        <f>_xlfn.TEXTJOIN(", ", FALSE, 'Audit Report'!K1226,'Audit Report'!L1226,'Audit Report'!M1226)</f>
        <v xml:space="preserve">, , </v>
      </c>
      <c r="M1226">
        <f>'Audit Report'!O1226</f>
        <v>0</v>
      </c>
      <c r="N1226" t="str" cm="1">
        <f t="array" ref="N1226">IF(M1226="","",
_xlfn.TEXTJOIN(", ",TRUE,
    _xlfn.MAP(_xlfn.TEXTSPLIT(M1226,","),_xlfn.LAMBDA(_xlpm.x,
        _xlfn.LET(
            _xlpm.item,TRIM(_xlpm.x),
            _xlpm.descCode, _xlfn.XLOOKUP(_xlpm.item,'Diagnostics Codes'!C1226:C1424,'Diagnostics Codes'!B1226:B1424,""),
            _xlpm.itadCode, IFERROR(
                INDEX('Diagnostics Codes'!B1226:B1424,
                    MATCH(TRUE,
                        _xlfn.BYROW('Diagnostics Codes'!D1226:D1424,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6">
        <f>'Audit Report'!F1226</f>
        <v>0</v>
      </c>
      <c r="S1226">
        <f>'Audit Report'!Q1226</f>
        <v>0</v>
      </c>
    </row>
    <row r="1227" spans="9:19">
      <c r="I1227">
        <f>'Audit Report'!D1227</f>
        <v>0</v>
      </c>
      <c r="J1227">
        <f>'Audit Report'!H1227</f>
        <v>0</v>
      </c>
      <c r="L1227" t="str">
        <f>_xlfn.TEXTJOIN(", ", FALSE, 'Audit Report'!K1227,'Audit Report'!L1227,'Audit Report'!M1227)</f>
        <v xml:space="preserve">, , </v>
      </c>
      <c r="M1227">
        <f>'Audit Report'!O1227</f>
        <v>0</v>
      </c>
      <c r="N1227" t="str" cm="1">
        <f t="array" ref="N1227">IF(M1227="","",
_xlfn.TEXTJOIN(", ",TRUE,
    _xlfn.MAP(_xlfn.TEXTSPLIT(M1227,","),_xlfn.LAMBDA(_xlpm.x,
        _xlfn.LET(
            _xlpm.item,TRIM(_xlpm.x),
            _xlpm.descCode, _xlfn.XLOOKUP(_xlpm.item,'Diagnostics Codes'!C1227:C1425,'Diagnostics Codes'!B1227:B1425,""),
            _xlpm.itadCode, IFERROR(
                INDEX('Diagnostics Codes'!B1227:B1425,
                    MATCH(TRUE,
                        _xlfn.BYROW('Diagnostics Codes'!D1227:D1425,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7">
        <f>'Audit Report'!F1227</f>
        <v>0</v>
      </c>
      <c r="S1227">
        <f>'Audit Report'!Q1227</f>
        <v>0</v>
      </c>
    </row>
    <row r="1228" spans="9:19">
      <c r="I1228">
        <f>'Audit Report'!D1228</f>
        <v>0</v>
      </c>
      <c r="J1228">
        <f>'Audit Report'!H1228</f>
        <v>0</v>
      </c>
      <c r="L1228" t="str">
        <f>_xlfn.TEXTJOIN(", ", FALSE, 'Audit Report'!K1228,'Audit Report'!L1228,'Audit Report'!M1228)</f>
        <v xml:space="preserve">, , </v>
      </c>
      <c r="M1228">
        <f>'Audit Report'!O1228</f>
        <v>0</v>
      </c>
      <c r="N1228" t="str" cm="1">
        <f t="array" ref="N1228">IF(M1228="","",
_xlfn.TEXTJOIN(", ",TRUE,
    _xlfn.MAP(_xlfn.TEXTSPLIT(M1228,","),_xlfn.LAMBDA(_xlpm.x,
        _xlfn.LET(
            _xlpm.item,TRIM(_xlpm.x),
            _xlpm.descCode, _xlfn.XLOOKUP(_xlpm.item,'Diagnostics Codes'!C1228:C1426,'Diagnostics Codes'!B1228:B1426,""),
            _xlpm.itadCode, IFERROR(
                INDEX('Diagnostics Codes'!B1228:B1426,
                    MATCH(TRUE,
                        _xlfn.BYROW('Diagnostics Codes'!D1228:D1426,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8">
        <f>'Audit Report'!F1228</f>
        <v>0</v>
      </c>
      <c r="S1228">
        <f>'Audit Report'!Q1228</f>
        <v>0</v>
      </c>
    </row>
    <row r="1229" spans="9:19">
      <c r="I1229">
        <f>'Audit Report'!D1229</f>
        <v>0</v>
      </c>
      <c r="J1229">
        <f>'Audit Report'!H1229</f>
        <v>0</v>
      </c>
      <c r="L1229" t="str">
        <f>_xlfn.TEXTJOIN(", ", FALSE, 'Audit Report'!K1229,'Audit Report'!L1229,'Audit Report'!M1229)</f>
        <v xml:space="preserve">, , </v>
      </c>
      <c r="M1229">
        <f>'Audit Report'!O1229</f>
        <v>0</v>
      </c>
      <c r="N1229" t="str" cm="1">
        <f t="array" ref="N1229">IF(M1229="","",
_xlfn.TEXTJOIN(", ",TRUE,
    _xlfn.MAP(_xlfn.TEXTSPLIT(M1229,","),_xlfn.LAMBDA(_xlpm.x,
        _xlfn.LET(
            _xlpm.item,TRIM(_xlpm.x),
            _xlpm.descCode, _xlfn.XLOOKUP(_xlpm.item,'Diagnostics Codes'!C1229:C1427,'Diagnostics Codes'!B1229:B1427,""),
            _xlpm.itadCode, IFERROR(
                INDEX('Diagnostics Codes'!B1229:B1427,
                    MATCH(TRUE,
                        _xlfn.BYROW('Diagnostics Codes'!D1229:D1427,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9">
        <f>'Audit Report'!F1229</f>
        <v>0</v>
      </c>
      <c r="S1229">
        <f>'Audit Report'!Q1229</f>
        <v>0</v>
      </c>
    </row>
    <row r="1230" spans="9:19">
      <c r="I1230">
        <f>'Audit Report'!D1230</f>
        <v>0</v>
      </c>
      <c r="J1230">
        <f>'Audit Report'!H1230</f>
        <v>0</v>
      </c>
      <c r="L1230" t="str">
        <f>_xlfn.TEXTJOIN(", ", FALSE, 'Audit Report'!K1230,'Audit Report'!L1230,'Audit Report'!M1230)</f>
        <v xml:space="preserve">, , </v>
      </c>
      <c r="M1230">
        <f>'Audit Report'!O1230</f>
        <v>0</v>
      </c>
      <c r="N1230" t="str" cm="1">
        <f t="array" ref="N1230">IF(M1230="","",
_xlfn.TEXTJOIN(", ",TRUE,
    _xlfn.MAP(_xlfn.TEXTSPLIT(M1230,","),_xlfn.LAMBDA(_xlpm.x,
        _xlfn.LET(
            _xlpm.item,TRIM(_xlpm.x),
            _xlpm.descCode, _xlfn.XLOOKUP(_xlpm.item,'Diagnostics Codes'!C1230:C1428,'Diagnostics Codes'!B1230:B1428,""),
            _xlpm.itadCode, IFERROR(
                INDEX('Diagnostics Codes'!B1230:B1428,
                    MATCH(TRUE,
                        _xlfn.BYROW('Diagnostics Codes'!D1230:D1428,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30">
        <f>'Audit Report'!F1230</f>
        <v>0</v>
      </c>
      <c r="S1230">
        <f>'Audit Report'!Q1230</f>
        <v>0</v>
      </c>
    </row>
    <row r="1231" spans="9:19">
      <c r="I1231">
        <f>'Audit Report'!D1231</f>
        <v>0</v>
      </c>
      <c r="J1231">
        <f>'Audit Report'!H1231</f>
        <v>0</v>
      </c>
      <c r="L1231" t="str">
        <f>_xlfn.TEXTJOIN(", ", FALSE, 'Audit Report'!K1231,'Audit Report'!L1231,'Audit Report'!M1231)</f>
        <v xml:space="preserve">, , </v>
      </c>
      <c r="M1231">
        <f>'Audit Report'!O1231</f>
        <v>0</v>
      </c>
      <c r="R1231">
        <f>'Audit Report'!F1231</f>
        <v>0</v>
      </c>
      <c r="S1231">
        <f>'Audit Report'!Q1231</f>
        <v>0</v>
      </c>
    </row>
    <row r="1232" spans="9:19">
      <c r="I1232">
        <f>'Audit Report'!D1232</f>
        <v>0</v>
      </c>
      <c r="J1232">
        <f>'Audit Report'!H1232</f>
        <v>0</v>
      </c>
      <c r="L1232" t="str">
        <f>_xlfn.TEXTJOIN(", ", FALSE, 'Audit Report'!K1232,'Audit Report'!L1232,'Audit Report'!M1232)</f>
        <v xml:space="preserve">, , </v>
      </c>
      <c r="M1232">
        <f>'Audit Report'!O1232</f>
        <v>0</v>
      </c>
      <c r="R1232">
        <f>'Audit Report'!F1232</f>
        <v>0</v>
      </c>
      <c r="S1232">
        <f>'Audit Report'!Q1232</f>
        <v>0</v>
      </c>
    </row>
    <row r="1233" spans="9:19">
      <c r="I1233">
        <f>'Audit Report'!D1233</f>
        <v>0</v>
      </c>
      <c r="J1233">
        <f>'Audit Report'!H1233</f>
        <v>0</v>
      </c>
      <c r="L1233" t="str">
        <f>_xlfn.TEXTJOIN(", ", FALSE, 'Audit Report'!K1233,'Audit Report'!L1233,'Audit Report'!M1233)</f>
        <v xml:space="preserve">, , </v>
      </c>
      <c r="M1233">
        <f>'Audit Report'!O1233</f>
        <v>0</v>
      </c>
      <c r="R1233">
        <f>'Audit Report'!F1233</f>
        <v>0</v>
      </c>
      <c r="S1233">
        <f>'Audit Report'!Q1233</f>
        <v>0</v>
      </c>
    </row>
    <row r="1234" spans="9:19">
      <c r="I1234">
        <f>'Audit Report'!D1234</f>
        <v>0</v>
      </c>
      <c r="J1234">
        <f>'Audit Report'!H1234</f>
        <v>0</v>
      </c>
      <c r="L1234" t="str">
        <f>_xlfn.TEXTJOIN(", ", FALSE, 'Audit Report'!K1234,'Audit Report'!L1234,'Audit Report'!M1234)</f>
        <v xml:space="preserve">, , </v>
      </c>
      <c r="M1234">
        <f>'Audit Report'!O1234</f>
        <v>0</v>
      </c>
      <c r="R1234">
        <f>'Audit Report'!F1234</f>
        <v>0</v>
      </c>
      <c r="S1234">
        <f>'Audit Report'!Q1234</f>
        <v>0</v>
      </c>
    </row>
    <row r="1235" spans="9:19">
      <c r="I1235">
        <f>'Audit Report'!D1235</f>
        <v>0</v>
      </c>
      <c r="J1235">
        <f>'Audit Report'!H1235</f>
        <v>0</v>
      </c>
      <c r="L1235" t="str">
        <f>_xlfn.TEXTJOIN(", ", FALSE, 'Audit Report'!K1235,'Audit Report'!L1235,'Audit Report'!M1235)</f>
        <v xml:space="preserve">, , </v>
      </c>
      <c r="M1235">
        <f>'Audit Report'!O1235</f>
        <v>0</v>
      </c>
      <c r="R1235">
        <f>'Audit Report'!F1235</f>
        <v>0</v>
      </c>
      <c r="S1235">
        <f>'Audit Report'!Q1235</f>
        <v>0</v>
      </c>
    </row>
    <row r="1236" spans="9:19">
      <c r="I1236">
        <f>'Audit Report'!D1236</f>
        <v>0</v>
      </c>
      <c r="J1236">
        <f>'Audit Report'!H1236</f>
        <v>0</v>
      </c>
      <c r="L1236" t="str">
        <f>_xlfn.TEXTJOIN(", ", FALSE, 'Audit Report'!K1236,'Audit Report'!L1236,'Audit Report'!M1236)</f>
        <v xml:space="preserve">, , </v>
      </c>
      <c r="M1236">
        <f>'Audit Report'!O1236</f>
        <v>0</v>
      </c>
      <c r="R1236">
        <f>'Audit Report'!F1236</f>
        <v>0</v>
      </c>
      <c r="S1236">
        <f>'Audit Report'!Q1236</f>
        <v>0</v>
      </c>
    </row>
    <row r="1237" spans="9:19">
      <c r="I1237">
        <f>'Audit Report'!D1237</f>
        <v>0</v>
      </c>
      <c r="J1237">
        <f>'Audit Report'!H1237</f>
        <v>0</v>
      </c>
      <c r="L1237" t="str">
        <f>_xlfn.TEXTJOIN(", ", FALSE, 'Audit Report'!K1237,'Audit Report'!L1237,'Audit Report'!M1237)</f>
        <v xml:space="preserve">, , </v>
      </c>
      <c r="M1237">
        <f>'Audit Report'!O1237</f>
        <v>0</v>
      </c>
      <c r="R1237">
        <f>'Audit Report'!F1237</f>
        <v>0</v>
      </c>
      <c r="S1237">
        <f>'Audit Report'!Q1237</f>
        <v>0</v>
      </c>
    </row>
    <row r="1238" spans="9:19">
      <c r="I1238">
        <f>'Audit Report'!D1238</f>
        <v>0</v>
      </c>
      <c r="J1238">
        <f>'Audit Report'!H1238</f>
        <v>0</v>
      </c>
      <c r="L1238" t="str">
        <f>_xlfn.TEXTJOIN(", ", FALSE, 'Audit Report'!K1238,'Audit Report'!L1238,'Audit Report'!M1238)</f>
        <v xml:space="preserve">, , </v>
      </c>
      <c r="M1238">
        <f>'Audit Report'!O1238</f>
        <v>0</v>
      </c>
      <c r="R1238">
        <f>'Audit Report'!F1238</f>
        <v>0</v>
      </c>
      <c r="S1238">
        <f>'Audit Report'!Q1238</f>
        <v>0</v>
      </c>
    </row>
    <row r="1239" spans="9:19">
      <c r="I1239">
        <f>'Audit Report'!D1239</f>
        <v>0</v>
      </c>
      <c r="J1239">
        <f>'Audit Report'!H1239</f>
        <v>0</v>
      </c>
      <c r="L1239" t="str">
        <f>_xlfn.TEXTJOIN(", ", FALSE, 'Audit Report'!K1239,'Audit Report'!L1239,'Audit Report'!M1239)</f>
        <v xml:space="preserve">, , </v>
      </c>
      <c r="M1239">
        <f>'Audit Report'!O1239</f>
        <v>0</v>
      </c>
      <c r="R1239">
        <f>'Audit Report'!F1239</f>
        <v>0</v>
      </c>
      <c r="S1239">
        <f>'Audit Report'!Q1239</f>
        <v>0</v>
      </c>
    </row>
    <row r="1240" spans="9:19">
      <c r="I1240">
        <f>'Audit Report'!D1240</f>
        <v>0</v>
      </c>
      <c r="J1240">
        <f>'Audit Report'!H1240</f>
        <v>0</v>
      </c>
      <c r="L1240" t="str">
        <f>_xlfn.TEXTJOIN(", ", FALSE, 'Audit Report'!K1240,'Audit Report'!L1240,'Audit Report'!M1240)</f>
        <v xml:space="preserve">, , </v>
      </c>
      <c r="M1240">
        <f>'Audit Report'!O1240</f>
        <v>0</v>
      </c>
      <c r="R1240">
        <f>'Audit Report'!F1240</f>
        <v>0</v>
      </c>
      <c r="S1240">
        <f>'Audit Report'!Q1240</f>
        <v>0</v>
      </c>
    </row>
    <row r="1241" spans="9:19">
      <c r="I1241">
        <f>'Audit Report'!D1241</f>
        <v>0</v>
      </c>
      <c r="J1241">
        <f>'Audit Report'!H1241</f>
        <v>0</v>
      </c>
      <c r="L1241" t="str">
        <f>_xlfn.TEXTJOIN(", ", FALSE, 'Audit Report'!K1241,'Audit Report'!L1241,'Audit Report'!M1241)</f>
        <v xml:space="preserve">, , </v>
      </c>
      <c r="M1241">
        <f>'Audit Report'!O1241</f>
        <v>0</v>
      </c>
      <c r="R1241">
        <f>'Audit Report'!F1241</f>
        <v>0</v>
      </c>
      <c r="S1241">
        <f>'Audit Report'!Q1241</f>
        <v>0</v>
      </c>
    </row>
    <row r="1242" spans="9:19">
      <c r="I1242">
        <f>'Audit Report'!D1242</f>
        <v>0</v>
      </c>
      <c r="J1242">
        <f>'Audit Report'!H1242</f>
        <v>0</v>
      </c>
      <c r="L1242" t="str">
        <f>_xlfn.TEXTJOIN(", ", FALSE, 'Audit Report'!K1242,'Audit Report'!L1242,'Audit Report'!M1242)</f>
        <v xml:space="preserve">, , </v>
      </c>
      <c r="M1242">
        <f>'Audit Report'!O1242</f>
        <v>0</v>
      </c>
      <c r="R1242">
        <f>'Audit Report'!F1242</f>
        <v>0</v>
      </c>
      <c r="S1242">
        <f>'Audit Report'!Q1242</f>
        <v>0</v>
      </c>
    </row>
    <row r="1243" spans="9:19">
      <c r="I1243">
        <f>'Audit Report'!D1243</f>
        <v>0</v>
      </c>
      <c r="J1243">
        <f>'Audit Report'!H1243</f>
        <v>0</v>
      </c>
      <c r="L1243" t="str">
        <f>_xlfn.TEXTJOIN(", ", FALSE, 'Audit Report'!K1243,'Audit Report'!L1243,'Audit Report'!M1243)</f>
        <v xml:space="preserve">, , </v>
      </c>
      <c r="M1243">
        <f>'Audit Report'!O1243</f>
        <v>0</v>
      </c>
      <c r="R1243">
        <f>'Audit Report'!F1243</f>
        <v>0</v>
      </c>
      <c r="S1243">
        <f>'Audit Report'!Q1243</f>
        <v>0</v>
      </c>
    </row>
    <row r="1244" spans="9:19">
      <c r="I1244">
        <f>'Audit Report'!D1244</f>
        <v>0</v>
      </c>
      <c r="J1244">
        <f>'Audit Report'!H1244</f>
        <v>0</v>
      </c>
      <c r="L1244" t="str">
        <f>_xlfn.TEXTJOIN(", ", FALSE, 'Audit Report'!K1244,'Audit Report'!L1244,'Audit Report'!M1244)</f>
        <v xml:space="preserve">, , </v>
      </c>
      <c r="M1244">
        <f>'Audit Report'!O1244</f>
        <v>0</v>
      </c>
      <c r="R1244">
        <f>'Audit Report'!F1244</f>
        <v>0</v>
      </c>
      <c r="S1244">
        <f>'Audit Report'!Q1244</f>
        <v>0</v>
      </c>
    </row>
    <row r="1245" spans="9:19">
      <c r="I1245">
        <f>'Audit Report'!D1245</f>
        <v>0</v>
      </c>
      <c r="J1245">
        <f>'Audit Report'!H1245</f>
        <v>0</v>
      </c>
      <c r="L1245" t="str">
        <f>_xlfn.TEXTJOIN(", ", FALSE, 'Audit Report'!K1245,'Audit Report'!L1245,'Audit Report'!M1245)</f>
        <v xml:space="preserve">, , </v>
      </c>
      <c r="M1245">
        <f>'Audit Report'!O1245</f>
        <v>0</v>
      </c>
      <c r="R1245">
        <f>'Audit Report'!F1245</f>
        <v>0</v>
      </c>
      <c r="S1245">
        <f>'Audit Report'!Q1245</f>
        <v>0</v>
      </c>
    </row>
    <row r="1246" spans="9:19">
      <c r="I1246">
        <f>'Audit Report'!D1246</f>
        <v>0</v>
      </c>
      <c r="J1246">
        <f>'Audit Report'!H1246</f>
        <v>0</v>
      </c>
      <c r="L1246" t="str">
        <f>_xlfn.TEXTJOIN(", ", FALSE, 'Audit Report'!K1246,'Audit Report'!L1246,'Audit Report'!M1246)</f>
        <v xml:space="preserve">, , </v>
      </c>
      <c r="M1246">
        <f>'Audit Report'!O1246</f>
        <v>0</v>
      </c>
      <c r="R1246">
        <f>'Audit Report'!F1246</f>
        <v>0</v>
      </c>
      <c r="S1246">
        <f>'Audit Report'!Q1246</f>
        <v>0</v>
      </c>
    </row>
    <row r="1247" spans="9:19">
      <c r="I1247">
        <f>'Audit Report'!D1247</f>
        <v>0</v>
      </c>
      <c r="J1247">
        <f>'Audit Report'!H1247</f>
        <v>0</v>
      </c>
      <c r="L1247" t="str">
        <f>_xlfn.TEXTJOIN(", ", FALSE, 'Audit Report'!K1247,'Audit Report'!L1247,'Audit Report'!M1247)</f>
        <v xml:space="preserve">, , </v>
      </c>
      <c r="M1247">
        <f>'Audit Report'!O1247</f>
        <v>0</v>
      </c>
      <c r="R1247">
        <f>'Audit Report'!F1247</f>
        <v>0</v>
      </c>
      <c r="S1247">
        <f>'Audit Report'!Q1247</f>
        <v>0</v>
      </c>
    </row>
    <row r="1248" spans="9:19">
      <c r="I1248">
        <f>'Audit Report'!D1248</f>
        <v>0</v>
      </c>
      <c r="J1248">
        <f>'Audit Report'!H1248</f>
        <v>0</v>
      </c>
      <c r="L1248" t="str">
        <f>_xlfn.TEXTJOIN(", ", FALSE, 'Audit Report'!K1248,'Audit Report'!L1248,'Audit Report'!M1248)</f>
        <v xml:space="preserve">, , </v>
      </c>
      <c r="M1248">
        <f>'Audit Report'!O1248</f>
        <v>0</v>
      </c>
      <c r="R1248">
        <f>'Audit Report'!F1248</f>
        <v>0</v>
      </c>
      <c r="S1248">
        <f>'Audit Report'!Q1248</f>
        <v>0</v>
      </c>
    </row>
    <row r="1249" spans="9:19">
      <c r="I1249">
        <f>'Audit Report'!D1249</f>
        <v>0</v>
      </c>
      <c r="J1249">
        <f>'Audit Report'!H1249</f>
        <v>0</v>
      </c>
      <c r="L1249" t="str">
        <f>_xlfn.TEXTJOIN(", ", FALSE, 'Audit Report'!K1249,'Audit Report'!L1249,'Audit Report'!M1249)</f>
        <v xml:space="preserve">, , </v>
      </c>
      <c r="M1249">
        <f>'Audit Report'!O1249</f>
        <v>0</v>
      </c>
      <c r="R1249">
        <f>'Audit Report'!F1249</f>
        <v>0</v>
      </c>
      <c r="S1249">
        <f>'Audit Report'!Q1249</f>
        <v>0</v>
      </c>
    </row>
    <row r="1250" spans="9:19">
      <c r="I1250">
        <f>'Audit Report'!D1250</f>
        <v>0</v>
      </c>
      <c r="J1250">
        <f>'Audit Report'!H1250</f>
        <v>0</v>
      </c>
      <c r="L1250" t="str">
        <f>_xlfn.TEXTJOIN(", ", FALSE, 'Audit Report'!K1250,'Audit Report'!L1250,'Audit Report'!M1250)</f>
        <v xml:space="preserve">, , </v>
      </c>
      <c r="M1250">
        <f>'Audit Report'!O1250</f>
        <v>0</v>
      </c>
      <c r="R1250">
        <f>'Audit Report'!F1250</f>
        <v>0</v>
      </c>
      <c r="S1250">
        <f>'Audit Report'!Q1250</f>
        <v>0</v>
      </c>
    </row>
    <row r="1251" spans="9:19">
      <c r="I1251">
        <f>'Audit Report'!D1251</f>
        <v>0</v>
      </c>
      <c r="J1251">
        <f>'Audit Report'!H1251</f>
        <v>0</v>
      </c>
      <c r="L1251" t="str">
        <f>_xlfn.TEXTJOIN(", ", FALSE, 'Audit Report'!K1251,'Audit Report'!L1251,'Audit Report'!M1251)</f>
        <v xml:space="preserve">, , </v>
      </c>
      <c r="M1251">
        <f>'Audit Report'!O1251</f>
        <v>0</v>
      </c>
      <c r="R1251">
        <f>'Audit Report'!F1251</f>
        <v>0</v>
      </c>
      <c r="S1251">
        <f>'Audit Report'!Q1251</f>
        <v>0</v>
      </c>
    </row>
    <row r="1252" spans="9:19">
      <c r="I1252">
        <f>'Audit Report'!D1252</f>
        <v>0</v>
      </c>
      <c r="J1252">
        <f>'Audit Report'!H1252</f>
        <v>0</v>
      </c>
      <c r="L1252" t="str">
        <f>_xlfn.TEXTJOIN(", ", FALSE, 'Audit Report'!K1252,'Audit Report'!L1252,'Audit Report'!M1252)</f>
        <v xml:space="preserve">, , </v>
      </c>
      <c r="M1252">
        <f>'Audit Report'!O1252</f>
        <v>0</v>
      </c>
      <c r="R1252">
        <f>'Audit Report'!F1252</f>
        <v>0</v>
      </c>
      <c r="S1252">
        <f>'Audit Report'!Q1252</f>
        <v>0</v>
      </c>
    </row>
    <row r="1253" spans="9:19">
      <c r="I1253">
        <f>'Audit Report'!D1253</f>
        <v>0</v>
      </c>
      <c r="J1253">
        <f>'Audit Report'!H1253</f>
        <v>0</v>
      </c>
      <c r="L1253" t="str">
        <f>_xlfn.TEXTJOIN(", ", FALSE, 'Audit Report'!K1253,'Audit Report'!L1253,'Audit Report'!M1253)</f>
        <v xml:space="preserve">, , </v>
      </c>
      <c r="M1253">
        <f>'Audit Report'!O1253</f>
        <v>0</v>
      </c>
      <c r="R1253">
        <f>'Audit Report'!F1253</f>
        <v>0</v>
      </c>
      <c r="S1253">
        <f>'Audit Report'!Q1253</f>
        <v>0</v>
      </c>
    </row>
    <row r="1254" spans="9:19">
      <c r="I1254">
        <f>'Audit Report'!D1254</f>
        <v>0</v>
      </c>
      <c r="J1254">
        <f>'Audit Report'!H1254</f>
        <v>0</v>
      </c>
      <c r="L1254" t="str">
        <f>_xlfn.TEXTJOIN(", ", FALSE, 'Audit Report'!K1254,'Audit Report'!L1254,'Audit Report'!M1254)</f>
        <v xml:space="preserve">, , </v>
      </c>
      <c r="M1254">
        <f>'Audit Report'!O1254</f>
        <v>0</v>
      </c>
      <c r="R1254">
        <f>'Audit Report'!F1254</f>
        <v>0</v>
      </c>
      <c r="S1254">
        <f>'Audit Report'!Q1254</f>
        <v>0</v>
      </c>
    </row>
    <row r="1255" spans="9:19">
      <c r="I1255">
        <f>'Audit Report'!D1255</f>
        <v>0</v>
      </c>
      <c r="J1255">
        <f>'Audit Report'!H1255</f>
        <v>0</v>
      </c>
      <c r="L1255" t="str">
        <f>_xlfn.TEXTJOIN(", ", FALSE, 'Audit Report'!K1255,'Audit Report'!L1255,'Audit Report'!M1255)</f>
        <v xml:space="preserve">, , </v>
      </c>
      <c r="M1255">
        <f>'Audit Report'!O1255</f>
        <v>0</v>
      </c>
      <c r="R1255">
        <f>'Audit Report'!F1255</f>
        <v>0</v>
      </c>
      <c r="S1255">
        <f>'Audit Report'!Q1255</f>
        <v>0</v>
      </c>
    </row>
    <row r="1256" spans="9:19">
      <c r="I1256">
        <f>'Audit Report'!D1256</f>
        <v>0</v>
      </c>
      <c r="J1256">
        <f>'Audit Report'!H1256</f>
        <v>0</v>
      </c>
      <c r="L1256" t="str">
        <f>_xlfn.TEXTJOIN(", ", FALSE, 'Audit Report'!K1256,'Audit Report'!L1256,'Audit Report'!M1256)</f>
        <v xml:space="preserve">, , </v>
      </c>
      <c r="M1256">
        <f>'Audit Report'!O1256</f>
        <v>0</v>
      </c>
      <c r="R1256">
        <f>'Audit Report'!F1256</f>
        <v>0</v>
      </c>
      <c r="S1256">
        <f>'Audit Report'!Q1256</f>
        <v>0</v>
      </c>
    </row>
    <row r="1257" spans="9:19">
      <c r="I1257">
        <f>'Audit Report'!D1257</f>
        <v>0</v>
      </c>
      <c r="J1257">
        <f>'Audit Report'!H1257</f>
        <v>0</v>
      </c>
      <c r="L1257" t="str">
        <f>_xlfn.TEXTJOIN(", ", FALSE, 'Audit Report'!K1257,'Audit Report'!L1257,'Audit Report'!M1257)</f>
        <v xml:space="preserve">, , </v>
      </c>
      <c r="M1257">
        <f>'Audit Report'!O1257</f>
        <v>0</v>
      </c>
      <c r="R1257">
        <f>'Audit Report'!F1257</f>
        <v>0</v>
      </c>
      <c r="S1257">
        <f>'Audit Report'!Q1257</f>
        <v>0</v>
      </c>
    </row>
    <row r="1258" spans="9:19">
      <c r="I1258">
        <f>'Audit Report'!D1258</f>
        <v>0</v>
      </c>
      <c r="J1258">
        <f>'Audit Report'!H1258</f>
        <v>0</v>
      </c>
      <c r="L1258" t="str">
        <f>_xlfn.TEXTJOIN(", ", FALSE, 'Audit Report'!K1258,'Audit Report'!L1258,'Audit Report'!M1258)</f>
        <v xml:space="preserve">, , </v>
      </c>
      <c r="M1258">
        <f>'Audit Report'!O1258</f>
        <v>0</v>
      </c>
      <c r="R1258">
        <f>'Audit Report'!F1258</f>
        <v>0</v>
      </c>
      <c r="S1258">
        <f>'Audit Report'!Q1258</f>
        <v>0</v>
      </c>
    </row>
    <row r="1259" spans="9:19">
      <c r="I1259">
        <f>'Audit Report'!D1259</f>
        <v>0</v>
      </c>
      <c r="J1259">
        <f>'Audit Report'!H1259</f>
        <v>0</v>
      </c>
      <c r="L1259" t="str">
        <f>_xlfn.TEXTJOIN(", ", FALSE, 'Audit Report'!K1259,'Audit Report'!L1259,'Audit Report'!M1259)</f>
        <v xml:space="preserve">, , </v>
      </c>
      <c r="M1259">
        <f>'Audit Report'!O1259</f>
        <v>0</v>
      </c>
      <c r="R1259">
        <f>'Audit Report'!F1259</f>
        <v>0</v>
      </c>
      <c r="S1259">
        <f>'Audit Report'!Q1259</f>
        <v>0</v>
      </c>
    </row>
    <row r="1260" spans="9:19">
      <c r="I1260">
        <f>'Audit Report'!D1260</f>
        <v>0</v>
      </c>
      <c r="J1260">
        <f>'Audit Report'!H1260</f>
        <v>0</v>
      </c>
      <c r="L1260" t="str">
        <f>_xlfn.TEXTJOIN(", ", FALSE, 'Audit Report'!K1260,'Audit Report'!L1260,'Audit Report'!M1260)</f>
        <v xml:space="preserve">, , </v>
      </c>
      <c r="M1260">
        <f>'Audit Report'!O1260</f>
        <v>0</v>
      </c>
      <c r="R1260">
        <f>'Audit Report'!F1260</f>
        <v>0</v>
      </c>
      <c r="S1260">
        <f>'Audit Report'!Q1260</f>
        <v>0</v>
      </c>
    </row>
    <row r="1261" spans="9:19">
      <c r="I1261">
        <f>'Audit Report'!D1261</f>
        <v>0</v>
      </c>
      <c r="J1261">
        <f>'Audit Report'!H1261</f>
        <v>0</v>
      </c>
      <c r="L1261" t="str">
        <f>_xlfn.TEXTJOIN(", ", FALSE, 'Audit Report'!K1261,'Audit Report'!L1261,'Audit Report'!M1261)</f>
        <v xml:space="preserve">, , </v>
      </c>
      <c r="M1261">
        <f>'Audit Report'!O1261</f>
        <v>0</v>
      </c>
      <c r="R1261">
        <f>'Audit Report'!F1261</f>
        <v>0</v>
      </c>
      <c r="S1261">
        <f>'Audit Report'!Q1261</f>
        <v>0</v>
      </c>
    </row>
    <row r="1262" spans="9:19">
      <c r="I1262">
        <f>'Audit Report'!D1262</f>
        <v>0</v>
      </c>
      <c r="J1262">
        <f>'Audit Report'!H1262</f>
        <v>0</v>
      </c>
      <c r="L1262" t="str">
        <f>_xlfn.TEXTJOIN(", ", FALSE, 'Audit Report'!K1262,'Audit Report'!L1262,'Audit Report'!M1262)</f>
        <v xml:space="preserve">, , </v>
      </c>
      <c r="M1262">
        <f>'Audit Report'!O1262</f>
        <v>0</v>
      </c>
      <c r="R1262">
        <f>'Audit Report'!F1262</f>
        <v>0</v>
      </c>
      <c r="S1262">
        <f>'Audit Report'!Q1262</f>
        <v>0</v>
      </c>
    </row>
    <row r="1263" spans="9:19">
      <c r="I1263">
        <f>'Audit Report'!D1263</f>
        <v>0</v>
      </c>
      <c r="J1263">
        <f>'Audit Report'!H1263</f>
        <v>0</v>
      </c>
      <c r="L1263" t="str">
        <f>_xlfn.TEXTJOIN(", ", FALSE, 'Audit Report'!K1263,'Audit Report'!L1263,'Audit Report'!M1263)</f>
        <v xml:space="preserve">, , </v>
      </c>
      <c r="M1263">
        <f>'Audit Report'!O1263</f>
        <v>0</v>
      </c>
      <c r="R1263">
        <f>'Audit Report'!F1263</f>
        <v>0</v>
      </c>
      <c r="S1263">
        <f>'Audit Report'!Q1263</f>
        <v>0</v>
      </c>
    </row>
    <row r="1264" spans="9:19">
      <c r="I1264">
        <f>'Audit Report'!D1264</f>
        <v>0</v>
      </c>
      <c r="J1264">
        <f>'Audit Report'!H1264</f>
        <v>0</v>
      </c>
      <c r="L1264" t="str">
        <f>_xlfn.TEXTJOIN(", ", FALSE, 'Audit Report'!K1264,'Audit Report'!L1264,'Audit Report'!M1264)</f>
        <v xml:space="preserve">, , </v>
      </c>
      <c r="M1264">
        <f>'Audit Report'!O1264</f>
        <v>0</v>
      </c>
      <c r="R1264">
        <f>'Audit Report'!F1264</f>
        <v>0</v>
      </c>
      <c r="S1264">
        <f>'Audit Report'!Q1264</f>
        <v>0</v>
      </c>
    </row>
    <row r="1265" spans="9:19">
      <c r="I1265">
        <f>'Audit Report'!D1265</f>
        <v>0</v>
      </c>
      <c r="J1265">
        <f>'Audit Report'!H1265</f>
        <v>0</v>
      </c>
      <c r="L1265" t="str">
        <f>_xlfn.TEXTJOIN(", ", FALSE, 'Audit Report'!K1265,'Audit Report'!L1265,'Audit Report'!M1265)</f>
        <v xml:space="preserve">, , </v>
      </c>
      <c r="M1265">
        <f>'Audit Report'!O1265</f>
        <v>0</v>
      </c>
      <c r="R1265">
        <f>'Audit Report'!F1265</f>
        <v>0</v>
      </c>
      <c r="S1265">
        <f>'Audit Report'!Q1265</f>
        <v>0</v>
      </c>
    </row>
    <row r="1266" spans="9:19">
      <c r="I1266">
        <f>'Audit Report'!D1266</f>
        <v>0</v>
      </c>
      <c r="J1266">
        <f>'Audit Report'!H1266</f>
        <v>0</v>
      </c>
      <c r="L1266" t="str">
        <f>_xlfn.TEXTJOIN(", ", FALSE, 'Audit Report'!K1266,'Audit Report'!L1266,'Audit Report'!M1266)</f>
        <v xml:space="preserve">, , </v>
      </c>
      <c r="M1266">
        <f>'Audit Report'!O1266</f>
        <v>0</v>
      </c>
      <c r="R1266">
        <f>'Audit Report'!F1266</f>
        <v>0</v>
      </c>
      <c r="S1266">
        <f>'Audit Report'!Q1266</f>
        <v>0</v>
      </c>
    </row>
    <row r="1267" spans="9:19">
      <c r="I1267">
        <f>'Audit Report'!D1267</f>
        <v>0</v>
      </c>
      <c r="J1267">
        <f>'Audit Report'!H1267</f>
        <v>0</v>
      </c>
      <c r="L1267" t="str">
        <f>_xlfn.TEXTJOIN(", ", FALSE, 'Audit Report'!K1267,'Audit Report'!L1267,'Audit Report'!M1267)</f>
        <v xml:space="preserve">, , </v>
      </c>
      <c r="M1267">
        <f>'Audit Report'!O1267</f>
        <v>0</v>
      </c>
      <c r="R1267">
        <f>'Audit Report'!F1267</f>
        <v>0</v>
      </c>
      <c r="S1267">
        <f>'Audit Report'!Q1267</f>
        <v>0</v>
      </c>
    </row>
    <row r="1268" spans="9:19">
      <c r="I1268">
        <f>'Audit Report'!D1268</f>
        <v>0</v>
      </c>
      <c r="J1268">
        <f>'Audit Report'!H1268</f>
        <v>0</v>
      </c>
      <c r="L1268" t="str">
        <f>_xlfn.TEXTJOIN(", ", FALSE, 'Audit Report'!K1268,'Audit Report'!L1268,'Audit Report'!M1268)</f>
        <v xml:space="preserve">, , </v>
      </c>
      <c r="M1268">
        <f>'Audit Report'!O1268</f>
        <v>0</v>
      </c>
      <c r="R1268">
        <f>'Audit Report'!F1268</f>
        <v>0</v>
      </c>
      <c r="S1268">
        <f>'Audit Report'!Q1268</f>
        <v>0</v>
      </c>
    </row>
    <row r="1269" spans="9:19">
      <c r="I1269">
        <f>'Audit Report'!D1269</f>
        <v>0</v>
      </c>
      <c r="J1269">
        <f>'Audit Report'!H1269</f>
        <v>0</v>
      </c>
      <c r="L1269" t="str">
        <f>_xlfn.TEXTJOIN(", ", FALSE, 'Audit Report'!K1269,'Audit Report'!L1269,'Audit Report'!M1269)</f>
        <v xml:space="preserve">, , </v>
      </c>
      <c r="M1269">
        <f>'Audit Report'!O1269</f>
        <v>0</v>
      </c>
      <c r="R1269">
        <f>'Audit Report'!F1269</f>
        <v>0</v>
      </c>
      <c r="S1269">
        <f>'Audit Report'!Q1269</f>
        <v>0</v>
      </c>
    </row>
    <row r="1270" spans="9:19">
      <c r="I1270">
        <f>'Audit Report'!D1270</f>
        <v>0</v>
      </c>
      <c r="J1270">
        <f>'Audit Report'!H1270</f>
        <v>0</v>
      </c>
      <c r="L1270" t="str">
        <f>_xlfn.TEXTJOIN(", ", FALSE, 'Audit Report'!K1270,'Audit Report'!L1270,'Audit Report'!M1270)</f>
        <v xml:space="preserve">, , </v>
      </c>
      <c r="M1270">
        <f>'Audit Report'!O1270</f>
        <v>0</v>
      </c>
      <c r="R1270">
        <f>'Audit Report'!F1270</f>
        <v>0</v>
      </c>
      <c r="S1270">
        <f>'Audit Report'!Q1270</f>
        <v>0</v>
      </c>
    </row>
    <row r="1271" spans="9:19">
      <c r="I1271">
        <f>'Audit Report'!D1271</f>
        <v>0</v>
      </c>
      <c r="J1271">
        <f>'Audit Report'!H1271</f>
        <v>0</v>
      </c>
      <c r="L1271" t="str">
        <f>_xlfn.TEXTJOIN(", ", FALSE, 'Audit Report'!K1271,'Audit Report'!L1271,'Audit Report'!M1271)</f>
        <v xml:space="preserve">, , </v>
      </c>
      <c r="M1271">
        <f>'Audit Report'!O1271</f>
        <v>0</v>
      </c>
      <c r="R1271">
        <f>'Audit Report'!F1271</f>
        <v>0</v>
      </c>
      <c r="S1271">
        <f>'Audit Report'!Q1271</f>
        <v>0</v>
      </c>
    </row>
    <row r="1272" spans="9:19">
      <c r="I1272">
        <f>'Audit Report'!D1272</f>
        <v>0</v>
      </c>
      <c r="J1272">
        <f>'Audit Report'!H1272</f>
        <v>0</v>
      </c>
      <c r="L1272" t="str">
        <f>_xlfn.TEXTJOIN(", ", FALSE, 'Audit Report'!K1272,'Audit Report'!L1272,'Audit Report'!M1272)</f>
        <v xml:space="preserve">, , </v>
      </c>
      <c r="M1272">
        <f>'Audit Report'!O1272</f>
        <v>0</v>
      </c>
      <c r="R1272">
        <f>'Audit Report'!F1272</f>
        <v>0</v>
      </c>
      <c r="S1272">
        <f>'Audit Report'!Q1272</f>
        <v>0</v>
      </c>
    </row>
    <row r="1273" spans="9:19">
      <c r="I1273">
        <f>'Audit Report'!D1273</f>
        <v>0</v>
      </c>
      <c r="J1273">
        <f>'Audit Report'!H1273</f>
        <v>0</v>
      </c>
      <c r="L1273" t="str">
        <f>_xlfn.TEXTJOIN(", ", FALSE, 'Audit Report'!K1273,'Audit Report'!L1273,'Audit Report'!M1273)</f>
        <v xml:space="preserve">, , </v>
      </c>
      <c r="M1273">
        <f>'Audit Report'!O1273</f>
        <v>0</v>
      </c>
      <c r="R1273">
        <f>'Audit Report'!F1273</f>
        <v>0</v>
      </c>
      <c r="S1273">
        <f>'Audit Report'!Q1273</f>
        <v>0</v>
      </c>
    </row>
    <row r="1274" spans="9:19">
      <c r="I1274">
        <f>'Audit Report'!D1274</f>
        <v>0</v>
      </c>
      <c r="J1274">
        <f>'Audit Report'!H1274</f>
        <v>0</v>
      </c>
      <c r="L1274" t="str">
        <f>_xlfn.TEXTJOIN(", ", FALSE, 'Audit Report'!K1274,'Audit Report'!L1274,'Audit Report'!M1274)</f>
        <v xml:space="preserve">, , </v>
      </c>
      <c r="M1274">
        <f>'Audit Report'!O1274</f>
        <v>0</v>
      </c>
      <c r="R1274">
        <f>'Audit Report'!F1274</f>
        <v>0</v>
      </c>
      <c r="S1274">
        <f>'Audit Report'!Q1274</f>
        <v>0</v>
      </c>
    </row>
    <row r="1275" spans="9:19">
      <c r="I1275">
        <f>'Audit Report'!D1275</f>
        <v>0</v>
      </c>
      <c r="J1275">
        <f>'Audit Report'!H1275</f>
        <v>0</v>
      </c>
      <c r="L1275" t="str">
        <f>_xlfn.TEXTJOIN(", ", FALSE, 'Audit Report'!K1275,'Audit Report'!L1275,'Audit Report'!M1275)</f>
        <v xml:space="preserve">, , </v>
      </c>
      <c r="M1275">
        <f>'Audit Report'!O1275</f>
        <v>0</v>
      </c>
      <c r="R1275">
        <f>'Audit Report'!F1275</f>
        <v>0</v>
      </c>
      <c r="S1275">
        <f>'Audit Report'!Q1275</f>
        <v>0</v>
      </c>
    </row>
    <row r="1276" spans="9:19">
      <c r="I1276">
        <f>'Audit Report'!D1276</f>
        <v>0</v>
      </c>
      <c r="J1276">
        <f>'Audit Report'!H1276</f>
        <v>0</v>
      </c>
      <c r="L1276" t="str">
        <f>_xlfn.TEXTJOIN(", ", FALSE, 'Audit Report'!K1276,'Audit Report'!L1276,'Audit Report'!M1276)</f>
        <v xml:space="preserve">, , </v>
      </c>
      <c r="M1276">
        <f>'Audit Report'!O1276</f>
        <v>0</v>
      </c>
      <c r="R1276">
        <f>'Audit Report'!F1276</f>
        <v>0</v>
      </c>
      <c r="S1276">
        <f>'Audit Report'!Q1276</f>
        <v>0</v>
      </c>
    </row>
    <row r="1277" spans="9:19">
      <c r="I1277">
        <f>'Audit Report'!D1277</f>
        <v>0</v>
      </c>
      <c r="J1277">
        <f>'Audit Report'!H1277</f>
        <v>0</v>
      </c>
      <c r="L1277" t="str">
        <f>_xlfn.TEXTJOIN(", ", FALSE, 'Audit Report'!K1277,'Audit Report'!L1277,'Audit Report'!M1277)</f>
        <v xml:space="preserve">, , </v>
      </c>
      <c r="M1277">
        <f>'Audit Report'!O1277</f>
        <v>0</v>
      </c>
      <c r="R1277">
        <f>'Audit Report'!F1277</f>
        <v>0</v>
      </c>
      <c r="S1277">
        <f>'Audit Report'!Q1277</f>
        <v>0</v>
      </c>
    </row>
    <row r="1278" spans="9:19">
      <c r="I1278">
        <f>'Audit Report'!D1278</f>
        <v>0</v>
      </c>
      <c r="J1278">
        <f>'Audit Report'!H1278</f>
        <v>0</v>
      </c>
      <c r="L1278" t="str">
        <f>_xlfn.TEXTJOIN(", ", FALSE, 'Audit Report'!K1278,'Audit Report'!L1278,'Audit Report'!M1278)</f>
        <v xml:space="preserve">, , </v>
      </c>
      <c r="M1278">
        <f>'Audit Report'!O1278</f>
        <v>0</v>
      </c>
      <c r="R1278">
        <f>'Audit Report'!F1278</f>
        <v>0</v>
      </c>
      <c r="S1278">
        <f>'Audit Report'!Q1278</f>
        <v>0</v>
      </c>
    </row>
    <row r="1279" spans="9:19">
      <c r="I1279">
        <f>'Audit Report'!D1279</f>
        <v>0</v>
      </c>
      <c r="J1279">
        <f>'Audit Report'!H1279</f>
        <v>0</v>
      </c>
      <c r="L1279" t="str">
        <f>_xlfn.TEXTJOIN(", ", FALSE, 'Audit Report'!K1279,'Audit Report'!L1279,'Audit Report'!M1279)</f>
        <v xml:space="preserve">, , </v>
      </c>
      <c r="M1279">
        <f>'Audit Report'!O1279</f>
        <v>0</v>
      </c>
      <c r="R1279">
        <f>'Audit Report'!F1279</f>
        <v>0</v>
      </c>
      <c r="S1279">
        <f>'Audit Report'!Q1279</f>
        <v>0</v>
      </c>
    </row>
    <row r="1280" spans="9:19">
      <c r="I1280">
        <f>'Audit Report'!D1280</f>
        <v>0</v>
      </c>
      <c r="J1280">
        <f>'Audit Report'!H1280</f>
        <v>0</v>
      </c>
      <c r="L1280" t="str">
        <f>_xlfn.TEXTJOIN(", ", FALSE, 'Audit Report'!K1280,'Audit Report'!L1280,'Audit Report'!M1280)</f>
        <v xml:space="preserve">, , </v>
      </c>
      <c r="M1280">
        <f>'Audit Report'!O1280</f>
        <v>0</v>
      </c>
      <c r="R1280">
        <f>'Audit Report'!F1280</f>
        <v>0</v>
      </c>
      <c r="S1280">
        <f>'Audit Report'!Q1280</f>
        <v>0</v>
      </c>
    </row>
    <row r="1281" spans="9:19">
      <c r="I1281">
        <f>'Audit Report'!D1281</f>
        <v>0</v>
      </c>
      <c r="J1281">
        <f>'Audit Report'!H1281</f>
        <v>0</v>
      </c>
      <c r="L1281" t="str">
        <f>_xlfn.TEXTJOIN(", ", FALSE, 'Audit Report'!K1281,'Audit Report'!L1281,'Audit Report'!M1281)</f>
        <v xml:space="preserve">, , </v>
      </c>
      <c r="M1281">
        <f>'Audit Report'!O1281</f>
        <v>0</v>
      </c>
      <c r="R1281">
        <f>'Audit Report'!F1281</f>
        <v>0</v>
      </c>
      <c r="S1281">
        <f>'Audit Report'!Q1281</f>
        <v>0</v>
      </c>
    </row>
    <row r="1282" spans="9:19">
      <c r="I1282">
        <f>'Audit Report'!D1282</f>
        <v>0</v>
      </c>
      <c r="J1282">
        <f>'Audit Report'!H1282</f>
        <v>0</v>
      </c>
      <c r="L1282" t="str">
        <f>_xlfn.TEXTJOIN(", ", FALSE, 'Audit Report'!K1282,'Audit Report'!L1282,'Audit Report'!M1282)</f>
        <v xml:space="preserve">, , </v>
      </c>
      <c r="M1282">
        <f>'Audit Report'!O1282</f>
        <v>0</v>
      </c>
      <c r="R1282">
        <f>'Audit Report'!F1282</f>
        <v>0</v>
      </c>
      <c r="S1282">
        <f>'Audit Report'!Q1282</f>
        <v>0</v>
      </c>
    </row>
    <row r="1283" spans="9:19">
      <c r="I1283">
        <f>'Audit Report'!D1283</f>
        <v>0</v>
      </c>
      <c r="J1283">
        <f>'Audit Report'!H1283</f>
        <v>0</v>
      </c>
      <c r="L1283" t="str">
        <f>_xlfn.TEXTJOIN(", ", FALSE, 'Audit Report'!K1283,'Audit Report'!L1283,'Audit Report'!M1283)</f>
        <v xml:space="preserve">, , </v>
      </c>
      <c r="M1283">
        <f>'Audit Report'!O1283</f>
        <v>0</v>
      </c>
      <c r="R1283">
        <f>'Audit Report'!F1283</f>
        <v>0</v>
      </c>
      <c r="S1283">
        <f>'Audit Report'!Q1283</f>
        <v>0</v>
      </c>
    </row>
    <row r="1284" spans="9:19">
      <c r="I1284">
        <f>'Audit Report'!D1284</f>
        <v>0</v>
      </c>
      <c r="J1284">
        <f>'Audit Report'!H1284</f>
        <v>0</v>
      </c>
      <c r="L1284" t="str">
        <f>_xlfn.TEXTJOIN(", ", FALSE, 'Audit Report'!K1284,'Audit Report'!L1284,'Audit Report'!M1284)</f>
        <v xml:space="preserve">, , </v>
      </c>
      <c r="M1284">
        <f>'Audit Report'!O1284</f>
        <v>0</v>
      </c>
      <c r="R1284">
        <f>'Audit Report'!F1284</f>
        <v>0</v>
      </c>
      <c r="S1284">
        <f>'Audit Report'!Q1284</f>
        <v>0</v>
      </c>
    </row>
    <row r="1285" spans="9:19">
      <c r="I1285">
        <f>'Audit Report'!D1285</f>
        <v>0</v>
      </c>
      <c r="J1285">
        <f>'Audit Report'!H1285</f>
        <v>0</v>
      </c>
      <c r="L1285" t="str">
        <f>_xlfn.TEXTJOIN(", ", FALSE, 'Audit Report'!K1285,'Audit Report'!L1285,'Audit Report'!M1285)</f>
        <v xml:space="preserve">, , </v>
      </c>
      <c r="M1285">
        <f>'Audit Report'!O1285</f>
        <v>0</v>
      </c>
      <c r="R1285">
        <f>'Audit Report'!F1285</f>
        <v>0</v>
      </c>
      <c r="S1285">
        <f>'Audit Report'!Q1285</f>
        <v>0</v>
      </c>
    </row>
    <row r="1286" spans="9:19">
      <c r="I1286">
        <f>'Audit Report'!D1286</f>
        <v>0</v>
      </c>
      <c r="J1286">
        <f>'Audit Report'!H1286</f>
        <v>0</v>
      </c>
      <c r="L1286" t="str">
        <f>_xlfn.TEXTJOIN(", ", FALSE, 'Audit Report'!K1286,'Audit Report'!L1286,'Audit Report'!M1286)</f>
        <v xml:space="preserve">, , </v>
      </c>
      <c r="M1286">
        <f>'Audit Report'!O1286</f>
        <v>0</v>
      </c>
      <c r="R1286">
        <f>'Audit Report'!F1286</f>
        <v>0</v>
      </c>
      <c r="S1286">
        <f>'Audit Report'!Q1286</f>
        <v>0</v>
      </c>
    </row>
    <row r="1287" spans="9:19">
      <c r="I1287">
        <f>'Audit Report'!D1287</f>
        <v>0</v>
      </c>
      <c r="J1287">
        <f>'Audit Report'!H1287</f>
        <v>0</v>
      </c>
      <c r="L1287" t="str">
        <f>_xlfn.TEXTJOIN(", ", FALSE, 'Audit Report'!K1287,'Audit Report'!L1287,'Audit Report'!M1287)</f>
        <v xml:space="preserve">, , </v>
      </c>
      <c r="M1287">
        <f>'Audit Report'!O1287</f>
        <v>0</v>
      </c>
      <c r="R1287">
        <f>'Audit Report'!F1287</f>
        <v>0</v>
      </c>
      <c r="S1287">
        <f>'Audit Report'!Q1287</f>
        <v>0</v>
      </c>
    </row>
    <row r="1288" spans="9:19">
      <c r="I1288">
        <f>'Audit Report'!D1288</f>
        <v>0</v>
      </c>
      <c r="J1288">
        <f>'Audit Report'!H1288</f>
        <v>0</v>
      </c>
      <c r="L1288" t="str">
        <f>_xlfn.TEXTJOIN(", ", FALSE, 'Audit Report'!K1288,'Audit Report'!L1288,'Audit Report'!M1288)</f>
        <v xml:space="preserve">, , </v>
      </c>
      <c r="M1288">
        <f>'Audit Report'!O1288</f>
        <v>0</v>
      </c>
      <c r="R1288">
        <f>'Audit Report'!F1288</f>
        <v>0</v>
      </c>
      <c r="S1288">
        <f>'Audit Report'!Q1288</f>
        <v>0</v>
      </c>
    </row>
    <row r="1289" spans="9:19">
      <c r="I1289">
        <f>'Audit Report'!D1289</f>
        <v>0</v>
      </c>
      <c r="J1289">
        <f>'Audit Report'!H1289</f>
        <v>0</v>
      </c>
      <c r="L1289" t="str">
        <f>_xlfn.TEXTJOIN(", ", FALSE, 'Audit Report'!K1289,'Audit Report'!L1289,'Audit Report'!M1289)</f>
        <v xml:space="preserve">, , </v>
      </c>
      <c r="M1289">
        <f>'Audit Report'!O1289</f>
        <v>0</v>
      </c>
      <c r="R1289">
        <f>'Audit Report'!F1289</f>
        <v>0</v>
      </c>
      <c r="S1289">
        <f>'Audit Report'!Q1289</f>
        <v>0</v>
      </c>
    </row>
    <row r="1290" spans="9:19">
      <c r="I1290">
        <f>'Audit Report'!D1290</f>
        <v>0</v>
      </c>
      <c r="J1290">
        <f>'Audit Report'!H1290</f>
        <v>0</v>
      </c>
      <c r="L1290" t="str">
        <f>_xlfn.TEXTJOIN(", ", FALSE, 'Audit Report'!K1290,'Audit Report'!L1290,'Audit Report'!M1290)</f>
        <v xml:space="preserve">, , </v>
      </c>
      <c r="M1290">
        <f>'Audit Report'!O1290</f>
        <v>0</v>
      </c>
      <c r="R1290">
        <f>'Audit Report'!F1290</f>
        <v>0</v>
      </c>
      <c r="S1290">
        <f>'Audit Report'!Q1290</f>
        <v>0</v>
      </c>
    </row>
    <row r="1291" spans="9:19">
      <c r="I1291">
        <f>'Audit Report'!D1291</f>
        <v>0</v>
      </c>
      <c r="J1291">
        <f>'Audit Report'!H1291</f>
        <v>0</v>
      </c>
      <c r="L1291" t="str">
        <f>_xlfn.TEXTJOIN(", ", FALSE, 'Audit Report'!K1291,'Audit Report'!L1291,'Audit Report'!M1291)</f>
        <v xml:space="preserve">, , </v>
      </c>
      <c r="M1291">
        <f>'Audit Report'!O1291</f>
        <v>0</v>
      </c>
      <c r="R1291">
        <f>'Audit Report'!F1291</f>
        <v>0</v>
      </c>
      <c r="S1291">
        <f>'Audit Report'!Q1291</f>
        <v>0</v>
      </c>
    </row>
    <row r="1292" spans="9:19">
      <c r="I1292">
        <f>'Audit Report'!D1292</f>
        <v>0</v>
      </c>
      <c r="J1292">
        <f>'Audit Report'!H1292</f>
        <v>0</v>
      </c>
      <c r="L1292" t="str">
        <f>_xlfn.TEXTJOIN(", ", FALSE, 'Audit Report'!K1292,'Audit Report'!L1292,'Audit Report'!M1292)</f>
        <v xml:space="preserve">, , </v>
      </c>
      <c r="M1292">
        <f>'Audit Report'!O1292</f>
        <v>0</v>
      </c>
      <c r="R1292">
        <f>'Audit Report'!F1292</f>
        <v>0</v>
      </c>
      <c r="S1292">
        <f>'Audit Report'!Q1292</f>
        <v>0</v>
      </c>
    </row>
    <row r="1293" spans="9:19">
      <c r="I1293">
        <f>'Audit Report'!D1293</f>
        <v>0</v>
      </c>
      <c r="J1293">
        <f>'Audit Report'!H1293</f>
        <v>0</v>
      </c>
      <c r="L1293" t="str">
        <f>_xlfn.TEXTJOIN(", ", FALSE, 'Audit Report'!K1293,'Audit Report'!L1293,'Audit Report'!M1293)</f>
        <v xml:space="preserve">, , </v>
      </c>
      <c r="M1293">
        <f>'Audit Report'!O1293</f>
        <v>0</v>
      </c>
      <c r="R1293">
        <f>'Audit Report'!F1293</f>
        <v>0</v>
      </c>
      <c r="S1293">
        <f>'Audit Report'!Q1293</f>
        <v>0</v>
      </c>
    </row>
    <row r="1294" spans="9:19">
      <c r="I1294">
        <f>'Audit Report'!D1294</f>
        <v>0</v>
      </c>
      <c r="J1294">
        <f>'Audit Report'!H1294</f>
        <v>0</v>
      </c>
      <c r="L1294" t="str">
        <f>_xlfn.TEXTJOIN(", ", FALSE, 'Audit Report'!K1294,'Audit Report'!L1294,'Audit Report'!M1294)</f>
        <v xml:space="preserve">, , </v>
      </c>
      <c r="M1294">
        <f>'Audit Report'!O1294</f>
        <v>0</v>
      </c>
      <c r="R1294">
        <f>'Audit Report'!F1294</f>
        <v>0</v>
      </c>
      <c r="S1294">
        <f>'Audit Report'!Q1294</f>
        <v>0</v>
      </c>
    </row>
    <row r="1295" spans="9:19">
      <c r="I1295">
        <f>'Audit Report'!D1295</f>
        <v>0</v>
      </c>
      <c r="J1295">
        <f>'Audit Report'!H1295</f>
        <v>0</v>
      </c>
      <c r="L1295" t="str">
        <f>_xlfn.TEXTJOIN(", ", FALSE, 'Audit Report'!K1295,'Audit Report'!L1295,'Audit Report'!M1295)</f>
        <v xml:space="preserve">, , </v>
      </c>
      <c r="M1295">
        <f>'Audit Report'!O1295</f>
        <v>0</v>
      </c>
      <c r="R1295">
        <f>'Audit Report'!F1295</f>
        <v>0</v>
      </c>
      <c r="S1295">
        <f>'Audit Report'!Q1295</f>
        <v>0</v>
      </c>
    </row>
    <row r="1296" spans="9:19">
      <c r="I1296">
        <f>'Audit Report'!D1296</f>
        <v>0</v>
      </c>
      <c r="J1296">
        <f>'Audit Report'!H1296</f>
        <v>0</v>
      </c>
      <c r="L1296" t="str">
        <f>_xlfn.TEXTJOIN(", ", FALSE, 'Audit Report'!K1296,'Audit Report'!L1296,'Audit Report'!M1296)</f>
        <v xml:space="preserve">, , </v>
      </c>
      <c r="M1296">
        <f>'Audit Report'!O1296</f>
        <v>0</v>
      </c>
      <c r="R1296">
        <f>'Audit Report'!F1296</f>
        <v>0</v>
      </c>
      <c r="S1296">
        <f>'Audit Report'!Q1296</f>
        <v>0</v>
      </c>
    </row>
    <row r="1297" spans="9:19">
      <c r="I1297">
        <f>'Audit Report'!D1297</f>
        <v>0</v>
      </c>
      <c r="J1297">
        <f>'Audit Report'!H1297</f>
        <v>0</v>
      </c>
      <c r="L1297" t="str">
        <f>_xlfn.TEXTJOIN(", ", FALSE, 'Audit Report'!K1297,'Audit Report'!L1297,'Audit Report'!M1297)</f>
        <v xml:space="preserve">, , </v>
      </c>
      <c r="M1297">
        <f>'Audit Report'!O1297</f>
        <v>0</v>
      </c>
      <c r="R1297">
        <f>'Audit Report'!F1297</f>
        <v>0</v>
      </c>
      <c r="S1297">
        <f>'Audit Report'!Q1297</f>
        <v>0</v>
      </c>
    </row>
    <row r="1298" spans="9:19">
      <c r="I1298">
        <f>'Audit Report'!D1298</f>
        <v>0</v>
      </c>
      <c r="J1298">
        <f>'Audit Report'!H1298</f>
        <v>0</v>
      </c>
      <c r="L1298" t="str">
        <f>_xlfn.TEXTJOIN(", ", FALSE, 'Audit Report'!K1298,'Audit Report'!L1298,'Audit Report'!M1298)</f>
        <v xml:space="preserve">, , </v>
      </c>
      <c r="M1298">
        <f>'Audit Report'!O1298</f>
        <v>0</v>
      </c>
      <c r="R1298">
        <f>'Audit Report'!F1298</f>
        <v>0</v>
      </c>
      <c r="S1298">
        <f>'Audit Report'!Q1298</f>
        <v>0</v>
      </c>
    </row>
    <row r="1299" spans="9:19">
      <c r="I1299">
        <f>'Audit Report'!D1299</f>
        <v>0</v>
      </c>
      <c r="J1299">
        <f>'Audit Report'!H1299</f>
        <v>0</v>
      </c>
      <c r="L1299" t="str">
        <f>_xlfn.TEXTJOIN(", ", FALSE, 'Audit Report'!K1299,'Audit Report'!L1299,'Audit Report'!M1299)</f>
        <v xml:space="preserve">, , </v>
      </c>
      <c r="M1299">
        <f>'Audit Report'!O1299</f>
        <v>0</v>
      </c>
      <c r="R1299">
        <f>'Audit Report'!F1299</f>
        <v>0</v>
      </c>
      <c r="S1299">
        <f>'Audit Report'!Q1299</f>
        <v>0</v>
      </c>
    </row>
    <row r="1300" spans="9:19">
      <c r="I1300">
        <f>'Audit Report'!D1300</f>
        <v>0</v>
      </c>
      <c r="J1300">
        <f>'Audit Report'!H1300</f>
        <v>0</v>
      </c>
      <c r="L1300" t="str">
        <f>_xlfn.TEXTJOIN(", ", FALSE, 'Audit Report'!K1300,'Audit Report'!L1300,'Audit Report'!M1300)</f>
        <v xml:space="preserve">, , </v>
      </c>
      <c r="M1300">
        <f>'Audit Report'!O1300</f>
        <v>0</v>
      </c>
      <c r="R1300">
        <f>'Audit Report'!F1300</f>
        <v>0</v>
      </c>
      <c r="S1300">
        <f>'Audit Report'!Q1300</f>
        <v>0</v>
      </c>
    </row>
    <row r="1301" spans="9:19">
      <c r="I1301">
        <f>'Audit Report'!D1301</f>
        <v>0</v>
      </c>
      <c r="J1301">
        <f>'Audit Report'!H1301</f>
        <v>0</v>
      </c>
      <c r="L1301" t="str">
        <f>_xlfn.TEXTJOIN(", ", FALSE, 'Audit Report'!K1301,'Audit Report'!L1301,'Audit Report'!M1301)</f>
        <v xml:space="preserve">, , </v>
      </c>
      <c r="M1301">
        <f>'Audit Report'!O1301</f>
        <v>0</v>
      </c>
      <c r="R1301">
        <f>'Audit Report'!F1301</f>
        <v>0</v>
      </c>
      <c r="S1301">
        <f>'Audit Report'!Q1301</f>
        <v>0</v>
      </c>
    </row>
    <row r="1302" spans="9:19">
      <c r="I1302">
        <f>'Audit Report'!D1302</f>
        <v>0</v>
      </c>
      <c r="J1302">
        <f>'Audit Report'!H1302</f>
        <v>0</v>
      </c>
      <c r="L1302" t="str">
        <f>_xlfn.TEXTJOIN(", ", FALSE, 'Audit Report'!K1302,'Audit Report'!L1302,'Audit Report'!M1302)</f>
        <v xml:space="preserve">, , </v>
      </c>
      <c r="M1302">
        <f>'Audit Report'!O1302</f>
        <v>0</v>
      </c>
      <c r="R1302">
        <f>'Audit Report'!F1302</f>
        <v>0</v>
      </c>
      <c r="S1302">
        <f>'Audit Report'!Q1302</f>
        <v>0</v>
      </c>
    </row>
    <row r="1303" spans="9:19">
      <c r="I1303">
        <f>'Audit Report'!D1303</f>
        <v>0</v>
      </c>
      <c r="J1303">
        <f>'Audit Report'!H1303</f>
        <v>0</v>
      </c>
      <c r="L1303" t="str">
        <f>_xlfn.TEXTJOIN(", ", FALSE, 'Audit Report'!K1303,'Audit Report'!L1303,'Audit Report'!M1303)</f>
        <v xml:space="preserve">, , </v>
      </c>
      <c r="M1303">
        <f>'Audit Report'!O1303</f>
        <v>0</v>
      </c>
      <c r="R1303">
        <f>'Audit Report'!F1303</f>
        <v>0</v>
      </c>
      <c r="S1303">
        <f>'Audit Report'!Q1303</f>
        <v>0</v>
      </c>
    </row>
    <row r="1304" spans="9:19">
      <c r="I1304">
        <f>'Audit Report'!D1304</f>
        <v>0</v>
      </c>
      <c r="J1304">
        <f>'Audit Report'!H1304</f>
        <v>0</v>
      </c>
      <c r="L1304" t="str">
        <f>_xlfn.TEXTJOIN(", ", FALSE, 'Audit Report'!K1304,'Audit Report'!L1304,'Audit Report'!M1304)</f>
        <v xml:space="preserve">, , </v>
      </c>
      <c r="M1304">
        <f>'Audit Report'!O1304</f>
        <v>0</v>
      </c>
      <c r="R1304">
        <f>'Audit Report'!F1304</f>
        <v>0</v>
      </c>
      <c r="S1304">
        <f>'Audit Report'!Q1304</f>
        <v>0</v>
      </c>
    </row>
    <row r="1305" spans="9:19">
      <c r="I1305">
        <f>'Audit Report'!D1305</f>
        <v>0</v>
      </c>
      <c r="J1305">
        <f>'Audit Report'!H1305</f>
        <v>0</v>
      </c>
      <c r="L1305" t="str">
        <f>_xlfn.TEXTJOIN(", ", FALSE, 'Audit Report'!K1305,'Audit Report'!L1305,'Audit Report'!M1305)</f>
        <v xml:space="preserve">, , </v>
      </c>
      <c r="M1305">
        <f>'Audit Report'!O1305</f>
        <v>0</v>
      </c>
      <c r="R1305">
        <f>'Audit Report'!F1305</f>
        <v>0</v>
      </c>
      <c r="S1305">
        <f>'Audit Report'!Q1305</f>
        <v>0</v>
      </c>
    </row>
    <row r="1306" spans="9:19">
      <c r="I1306">
        <f>'Audit Report'!D1306</f>
        <v>0</v>
      </c>
      <c r="J1306">
        <f>'Audit Report'!H1306</f>
        <v>0</v>
      </c>
      <c r="L1306" t="str">
        <f>_xlfn.TEXTJOIN(", ", FALSE, 'Audit Report'!K1306,'Audit Report'!L1306,'Audit Report'!M1306)</f>
        <v xml:space="preserve">, , </v>
      </c>
      <c r="M1306">
        <f>'Audit Report'!O1306</f>
        <v>0</v>
      </c>
      <c r="R1306">
        <f>'Audit Report'!F1306</f>
        <v>0</v>
      </c>
      <c r="S1306">
        <f>'Audit Report'!Q1306</f>
        <v>0</v>
      </c>
    </row>
    <row r="1307" spans="9:19">
      <c r="I1307">
        <f>'Audit Report'!D1307</f>
        <v>0</v>
      </c>
      <c r="J1307">
        <f>'Audit Report'!H1307</f>
        <v>0</v>
      </c>
      <c r="L1307" t="str">
        <f>_xlfn.TEXTJOIN(", ", FALSE, 'Audit Report'!K1307,'Audit Report'!L1307,'Audit Report'!M1307)</f>
        <v xml:space="preserve">, , </v>
      </c>
      <c r="M1307">
        <f>'Audit Report'!O1307</f>
        <v>0</v>
      </c>
      <c r="R1307">
        <f>'Audit Report'!F1307</f>
        <v>0</v>
      </c>
      <c r="S1307">
        <f>'Audit Report'!Q1307</f>
        <v>0</v>
      </c>
    </row>
    <row r="1308" spans="9:19">
      <c r="I1308">
        <f>'Audit Report'!D1308</f>
        <v>0</v>
      </c>
      <c r="J1308">
        <f>'Audit Report'!H1308</f>
        <v>0</v>
      </c>
      <c r="L1308" t="str">
        <f>_xlfn.TEXTJOIN(", ", FALSE, 'Audit Report'!K1308,'Audit Report'!L1308,'Audit Report'!M1308)</f>
        <v xml:space="preserve">, , </v>
      </c>
      <c r="M1308">
        <f>'Audit Report'!O1308</f>
        <v>0</v>
      </c>
      <c r="R1308">
        <f>'Audit Report'!F1308</f>
        <v>0</v>
      </c>
      <c r="S1308">
        <f>'Audit Report'!Q1308</f>
        <v>0</v>
      </c>
    </row>
    <row r="1309" spans="9:19">
      <c r="I1309">
        <f>'Audit Report'!D1309</f>
        <v>0</v>
      </c>
      <c r="J1309">
        <f>'Audit Report'!H1309</f>
        <v>0</v>
      </c>
      <c r="L1309" t="str">
        <f>_xlfn.TEXTJOIN(", ", FALSE, 'Audit Report'!K1309,'Audit Report'!L1309,'Audit Report'!M1309)</f>
        <v xml:space="preserve">, , </v>
      </c>
      <c r="M1309">
        <f>'Audit Report'!O1309</f>
        <v>0</v>
      </c>
      <c r="R1309">
        <f>'Audit Report'!F1309</f>
        <v>0</v>
      </c>
      <c r="S1309">
        <f>'Audit Report'!Q1309</f>
        <v>0</v>
      </c>
    </row>
    <row r="1310" spans="9:19">
      <c r="I1310">
        <f>'Audit Report'!D1310</f>
        <v>0</v>
      </c>
      <c r="J1310">
        <f>'Audit Report'!H1310</f>
        <v>0</v>
      </c>
      <c r="L1310" t="str">
        <f>_xlfn.TEXTJOIN(", ", FALSE, 'Audit Report'!K1310,'Audit Report'!L1310,'Audit Report'!M1310)</f>
        <v xml:space="preserve">, , </v>
      </c>
      <c r="M1310">
        <f>'Audit Report'!O1310</f>
        <v>0</v>
      </c>
      <c r="R1310">
        <f>'Audit Report'!F1310</f>
        <v>0</v>
      </c>
      <c r="S1310">
        <f>'Audit Report'!Q1310</f>
        <v>0</v>
      </c>
    </row>
    <row r="1311" spans="9:19">
      <c r="I1311">
        <f>'Audit Report'!D1311</f>
        <v>0</v>
      </c>
      <c r="J1311">
        <f>'Audit Report'!H1311</f>
        <v>0</v>
      </c>
      <c r="L1311" t="str">
        <f>_xlfn.TEXTJOIN(", ", FALSE, 'Audit Report'!K1311,'Audit Report'!L1311,'Audit Report'!M1311)</f>
        <v xml:space="preserve">, , </v>
      </c>
      <c r="M1311">
        <f>'Audit Report'!O1311</f>
        <v>0</v>
      </c>
      <c r="R1311">
        <f>'Audit Report'!F1311</f>
        <v>0</v>
      </c>
      <c r="S1311">
        <f>'Audit Report'!Q1311</f>
        <v>0</v>
      </c>
    </row>
    <row r="1312" spans="9:19">
      <c r="I1312">
        <f>'Audit Report'!D1312</f>
        <v>0</v>
      </c>
      <c r="J1312">
        <f>'Audit Report'!H1312</f>
        <v>0</v>
      </c>
      <c r="L1312" t="str">
        <f>_xlfn.TEXTJOIN(", ", FALSE, 'Audit Report'!K1312,'Audit Report'!L1312,'Audit Report'!M1312)</f>
        <v xml:space="preserve">, , </v>
      </c>
      <c r="M1312">
        <f>'Audit Report'!O1312</f>
        <v>0</v>
      </c>
      <c r="R1312">
        <f>'Audit Report'!F1312</f>
        <v>0</v>
      </c>
      <c r="S1312">
        <f>'Audit Report'!Q1312</f>
        <v>0</v>
      </c>
    </row>
    <row r="1313" spans="9:19">
      <c r="I1313">
        <f>'Audit Report'!D1313</f>
        <v>0</v>
      </c>
      <c r="J1313">
        <f>'Audit Report'!H1313</f>
        <v>0</v>
      </c>
      <c r="L1313" t="str">
        <f>_xlfn.TEXTJOIN(", ", FALSE, 'Audit Report'!K1313,'Audit Report'!L1313,'Audit Report'!M1313)</f>
        <v xml:space="preserve">, , </v>
      </c>
      <c r="M1313">
        <f>'Audit Report'!O1313</f>
        <v>0</v>
      </c>
      <c r="R1313">
        <f>'Audit Report'!F1313</f>
        <v>0</v>
      </c>
      <c r="S1313">
        <f>'Audit Report'!Q1313</f>
        <v>0</v>
      </c>
    </row>
    <row r="1314" spans="9:19">
      <c r="I1314">
        <f>'Audit Report'!D1314</f>
        <v>0</v>
      </c>
      <c r="J1314">
        <f>'Audit Report'!H1314</f>
        <v>0</v>
      </c>
      <c r="L1314" t="str">
        <f>_xlfn.TEXTJOIN(", ", FALSE, 'Audit Report'!K1314,'Audit Report'!L1314,'Audit Report'!M1314)</f>
        <v xml:space="preserve">, , </v>
      </c>
      <c r="M1314">
        <f>'Audit Report'!O1314</f>
        <v>0</v>
      </c>
      <c r="R1314">
        <f>'Audit Report'!F1314</f>
        <v>0</v>
      </c>
      <c r="S1314">
        <f>'Audit Report'!Q1314</f>
        <v>0</v>
      </c>
    </row>
    <row r="1315" spans="9:19">
      <c r="I1315">
        <f>'Audit Report'!D1315</f>
        <v>0</v>
      </c>
      <c r="J1315">
        <f>'Audit Report'!H1315</f>
        <v>0</v>
      </c>
      <c r="L1315" t="str">
        <f>_xlfn.TEXTJOIN(", ", FALSE, 'Audit Report'!K1315,'Audit Report'!L1315,'Audit Report'!M1315)</f>
        <v xml:space="preserve">, , </v>
      </c>
      <c r="M1315">
        <f>'Audit Report'!O1315</f>
        <v>0</v>
      </c>
      <c r="R1315">
        <f>'Audit Report'!F1315</f>
        <v>0</v>
      </c>
      <c r="S1315">
        <f>'Audit Report'!Q1315</f>
        <v>0</v>
      </c>
    </row>
    <row r="1316" spans="9:19">
      <c r="I1316">
        <f>'Audit Report'!D1316</f>
        <v>0</v>
      </c>
      <c r="J1316">
        <f>'Audit Report'!H1316</f>
        <v>0</v>
      </c>
      <c r="L1316" t="str">
        <f>_xlfn.TEXTJOIN(", ", FALSE, 'Audit Report'!K1316,'Audit Report'!L1316,'Audit Report'!M1316)</f>
        <v xml:space="preserve">, , </v>
      </c>
      <c r="M1316">
        <f>'Audit Report'!O1316</f>
        <v>0</v>
      </c>
      <c r="R1316">
        <f>'Audit Report'!F1316</f>
        <v>0</v>
      </c>
      <c r="S1316">
        <f>'Audit Report'!Q1316</f>
        <v>0</v>
      </c>
    </row>
    <row r="1317" spans="9:19">
      <c r="I1317">
        <f>'Audit Report'!D1317</f>
        <v>0</v>
      </c>
      <c r="J1317">
        <f>'Audit Report'!H1317</f>
        <v>0</v>
      </c>
      <c r="L1317" t="str">
        <f>_xlfn.TEXTJOIN(", ", FALSE, 'Audit Report'!K1317,'Audit Report'!L1317,'Audit Report'!M1317)</f>
        <v xml:space="preserve">, , </v>
      </c>
      <c r="M1317">
        <f>'Audit Report'!O1317</f>
        <v>0</v>
      </c>
      <c r="R1317">
        <f>'Audit Report'!F1317</f>
        <v>0</v>
      </c>
      <c r="S1317">
        <f>'Audit Report'!Q1317</f>
        <v>0</v>
      </c>
    </row>
    <row r="1318" spans="9:19">
      <c r="I1318">
        <f>'Audit Report'!D1318</f>
        <v>0</v>
      </c>
      <c r="J1318">
        <f>'Audit Report'!H1318</f>
        <v>0</v>
      </c>
      <c r="L1318" t="str">
        <f>_xlfn.TEXTJOIN(", ", FALSE, 'Audit Report'!K1318,'Audit Report'!L1318,'Audit Report'!M1318)</f>
        <v xml:space="preserve">, , </v>
      </c>
      <c r="M1318">
        <f>'Audit Report'!O1318</f>
        <v>0</v>
      </c>
      <c r="R1318">
        <f>'Audit Report'!F1318</f>
        <v>0</v>
      </c>
      <c r="S1318">
        <f>'Audit Report'!Q1318</f>
        <v>0</v>
      </c>
    </row>
    <row r="1319" spans="9:19">
      <c r="I1319">
        <f>'Audit Report'!D1319</f>
        <v>0</v>
      </c>
      <c r="J1319">
        <f>'Audit Report'!H1319</f>
        <v>0</v>
      </c>
      <c r="L1319" t="str">
        <f>_xlfn.TEXTJOIN(", ", FALSE, 'Audit Report'!K1319,'Audit Report'!L1319,'Audit Report'!M1319)</f>
        <v xml:space="preserve">, , </v>
      </c>
      <c r="M1319">
        <f>'Audit Report'!O1319</f>
        <v>0</v>
      </c>
      <c r="R1319">
        <f>'Audit Report'!F1319</f>
        <v>0</v>
      </c>
      <c r="S1319">
        <f>'Audit Report'!Q1319</f>
        <v>0</v>
      </c>
    </row>
    <row r="1320" spans="9:19">
      <c r="I1320">
        <f>'Audit Report'!D1320</f>
        <v>0</v>
      </c>
      <c r="J1320">
        <f>'Audit Report'!H1320</f>
        <v>0</v>
      </c>
      <c r="L1320" t="str">
        <f>_xlfn.TEXTJOIN(", ", FALSE, 'Audit Report'!K1320,'Audit Report'!L1320,'Audit Report'!M1320)</f>
        <v xml:space="preserve">, , </v>
      </c>
      <c r="M1320">
        <f>'Audit Report'!O1320</f>
        <v>0</v>
      </c>
      <c r="R1320">
        <f>'Audit Report'!F1320</f>
        <v>0</v>
      </c>
      <c r="S1320">
        <f>'Audit Report'!Q1320</f>
        <v>0</v>
      </c>
    </row>
    <row r="1321" spans="9:19">
      <c r="I1321">
        <f>'Audit Report'!D1321</f>
        <v>0</v>
      </c>
      <c r="J1321">
        <f>'Audit Report'!H1321</f>
        <v>0</v>
      </c>
      <c r="L1321" t="str">
        <f>_xlfn.TEXTJOIN(", ", FALSE, 'Audit Report'!K1321,'Audit Report'!L1321,'Audit Report'!M1321)</f>
        <v xml:space="preserve">, , </v>
      </c>
      <c r="M1321">
        <f>'Audit Report'!O1321</f>
        <v>0</v>
      </c>
      <c r="R1321">
        <f>'Audit Report'!F1321</f>
        <v>0</v>
      </c>
      <c r="S1321">
        <f>'Audit Report'!Q1321</f>
        <v>0</v>
      </c>
    </row>
    <row r="1322" spans="9:19">
      <c r="I1322">
        <f>'Audit Report'!D1322</f>
        <v>0</v>
      </c>
      <c r="J1322">
        <f>'Audit Report'!H1322</f>
        <v>0</v>
      </c>
      <c r="L1322" t="str">
        <f>_xlfn.TEXTJOIN(", ", FALSE, 'Audit Report'!K1322,'Audit Report'!L1322,'Audit Report'!M1322)</f>
        <v xml:space="preserve">, , </v>
      </c>
      <c r="M1322">
        <f>'Audit Report'!O1322</f>
        <v>0</v>
      </c>
      <c r="R1322">
        <f>'Audit Report'!F1322</f>
        <v>0</v>
      </c>
      <c r="S1322">
        <f>'Audit Report'!Q1322</f>
        <v>0</v>
      </c>
    </row>
    <row r="1323" spans="9:19">
      <c r="L1323" t="str">
        <f>_xlfn.TEXTJOIN(", ", FALSE, 'Audit Report'!K1323,'Audit Report'!L1323,'Audit Report'!M1323)</f>
        <v xml:space="preserve">, , </v>
      </c>
    </row>
    <row r="1324" spans="9:19">
      <c r="L1324" t="str">
        <f>_xlfn.TEXTJOIN(", ", FALSE, 'Audit Report'!K1324,'Audit Report'!L1324,'Audit Report'!M1324)</f>
        <v xml:space="preserve">, , </v>
      </c>
    </row>
    <row r="1325" spans="9:19">
      <c r="L1325" t="str">
        <f>_xlfn.TEXTJOIN(", ", FALSE, 'Audit Report'!K1325,'Audit Report'!L1325,'Audit Report'!M1325)</f>
        <v xml:space="preserve">, , </v>
      </c>
    </row>
    <row r="1326" spans="9:19">
      <c r="L1326" t="str">
        <f>_xlfn.TEXTJOIN(", ", FALSE, 'Audit Report'!K1326,'Audit Report'!L1326,'Audit Report'!M1326)</f>
        <v xml:space="preserve">, , </v>
      </c>
    </row>
    <row r="1327" spans="9:19">
      <c r="L1327" t="str">
        <f>_xlfn.TEXTJOIN(", ", FALSE, 'Audit Report'!K1327,'Audit Report'!L1327,'Audit Report'!M1327)</f>
        <v xml:space="preserve">, , </v>
      </c>
    </row>
    <row r="1328" spans="9:19">
      <c r="L1328" t="str">
        <f>_xlfn.TEXTJOIN(", ", FALSE, 'Audit Report'!K1328,'Audit Report'!L1328,'Audit Report'!M1328)</f>
        <v xml:space="preserve">, , </v>
      </c>
    </row>
    <row r="1329" spans="12:12">
      <c r="L1329" t="str">
        <f>_xlfn.TEXTJOIN(", ", FALSE, 'Audit Report'!K1329,'Audit Report'!L1329,'Audit Report'!M1329)</f>
        <v xml:space="preserve">, , </v>
      </c>
    </row>
    <row r="1330" spans="12:12">
      <c r="L1330" t="str">
        <f>_xlfn.TEXTJOIN(", ", FALSE, 'Audit Report'!K1330,'Audit Report'!L1330,'Audit Report'!M1330)</f>
        <v xml:space="preserve">, , </v>
      </c>
    </row>
    <row r="1331" spans="12:12">
      <c r="L1331" t="str">
        <f>_xlfn.TEXTJOIN(", ", FALSE, 'Audit Report'!K1331,'Audit Report'!L1331,'Audit Report'!M1331)</f>
        <v xml:space="preserve">, , </v>
      </c>
    </row>
    <row r="1332" spans="12:12">
      <c r="L1332" t="str">
        <f>_xlfn.TEXTJOIN(", ", FALSE, 'Audit Report'!K1332,'Audit Report'!L1332,'Audit Report'!M1332)</f>
        <v xml:space="preserve">, , </v>
      </c>
    </row>
    <row r="1333" spans="12:12">
      <c r="L1333" t="str">
        <f>_xlfn.TEXTJOIN(", ", FALSE, 'Audit Report'!K1333,'Audit Report'!L1333,'Audit Report'!M1333)</f>
        <v xml:space="preserve">, , </v>
      </c>
    </row>
    <row r="1334" spans="12:12">
      <c r="L1334" t="str">
        <f>_xlfn.TEXTJOIN(", ", FALSE, 'Audit Report'!K1334,'Audit Report'!L1334,'Audit Report'!M1334)</f>
        <v xml:space="preserve">, , </v>
      </c>
    </row>
    <row r="1335" spans="12:12">
      <c r="L1335" t="str">
        <f>_xlfn.TEXTJOIN(", ", FALSE, 'Audit Report'!K1335,'Audit Report'!L1335,'Audit Report'!M1335)</f>
        <v xml:space="preserve">, , </v>
      </c>
    </row>
    <row r="1336" spans="12:12">
      <c r="L1336" t="str">
        <f>_xlfn.TEXTJOIN(", ", FALSE, 'Audit Report'!K1336,'Audit Report'!L1336,'Audit Report'!M1336)</f>
        <v xml:space="preserve">, , </v>
      </c>
    </row>
    <row r="1337" spans="12:12">
      <c r="L1337" t="str">
        <f>_xlfn.TEXTJOIN(", ", FALSE, 'Audit Report'!K1337,'Audit Report'!L1337,'Audit Report'!M1337)</f>
        <v xml:space="preserve">, , </v>
      </c>
    </row>
    <row r="1338" spans="12:12">
      <c r="L1338" t="str">
        <f>_xlfn.TEXTJOIN(", ", FALSE, 'Audit Report'!K1338,'Audit Report'!L1338,'Audit Report'!M1338)</f>
        <v xml:space="preserve">, , </v>
      </c>
    </row>
    <row r="1339" spans="12:12">
      <c r="L1339" t="str">
        <f>_xlfn.TEXTJOIN(", ", FALSE, 'Audit Report'!K1339,'Audit Report'!L1339,'Audit Report'!M1339)</f>
        <v xml:space="preserve">, , </v>
      </c>
    </row>
    <row r="1340" spans="12:12">
      <c r="L1340" t="str">
        <f>_xlfn.TEXTJOIN(", ", FALSE, 'Audit Report'!K1340,'Audit Report'!L1340,'Audit Report'!M1340)</f>
        <v xml:space="preserve">, , </v>
      </c>
    </row>
    <row r="1341" spans="12:12">
      <c r="L1341" t="str">
        <f>_xlfn.TEXTJOIN(", ", FALSE, 'Audit Report'!K1341,'Audit Report'!L1341,'Audit Report'!M1341)</f>
        <v xml:space="preserve">, , </v>
      </c>
    </row>
    <row r="1342" spans="12:12">
      <c r="L1342" t="str">
        <f>_xlfn.TEXTJOIN(", ", FALSE, 'Audit Report'!K1342,'Audit Report'!L1342,'Audit Report'!M1342)</f>
        <v xml:space="preserve">, , </v>
      </c>
    </row>
    <row r="1343" spans="12:12">
      <c r="L1343" t="str">
        <f>_xlfn.TEXTJOIN(", ", FALSE, 'Audit Report'!K1343,'Audit Report'!L1343,'Audit Report'!M1343)</f>
        <v xml:space="preserve">, , </v>
      </c>
    </row>
    <row r="1344" spans="12:12">
      <c r="L1344" t="str">
        <f>_xlfn.TEXTJOIN(", ", FALSE, 'Audit Report'!K1344,'Audit Report'!L1344,'Audit Report'!M1344)</f>
        <v xml:space="preserve">, , </v>
      </c>
    </row>
    <row r="1345" spans="12:12">
      <c r="L1345" t="str">
        <f>_xlfn.TEXTJOIN(", ", FALSE, 'Audit Report'!K1345,'Audit Report'!L1345,'Audit Report'!M1345)</f>
        <v xml:space="preserve">, , </v>
      </c>
    </row>
    <row r="1346" spans="12:12">
      <c r="L1346" t="str">
        <f>_xlfn.TEXTJOIN(", ", FALSE, 'Audit Report'!K1346,'Audit Report'!L1346,'Audit Report'!M1346)</f>
        <v xml:space="preserve">, , </v>
      </c>
    </row>
    <row r="1347" spans="12:12">
      <c r="L1347" t="str">
        <f>_xlfn.TEXTJOIN(", ", FALSE, 'Audit Report'!K1347,'Audit Report'!L1347,'Audit Report'!M1347)</f>
        <v xml:space="preserve">, , </v>
      </c>
    </row>
    <row r="1348" spans="12:12">
      <c r="L1348" t="str">
        <f>_xlfn.TEXTJOIN(", ", FALSE, 'Audit Report'!K1348,'Audit Report'!L1348,'Audit Report'!M1348)</f>
        <v xml:space="preserve">, , </v>
      </c>
    </row>
    <row r="1349" spans="12:12">
      <c r="L1349" t="str">
        <f>_xlfn.TEXTJOIN(", ", FALSE, 'Audit Report'!K1349,'Audit Report'!L1349,'Audit Report'!M1349)</f>
        <v xml:space="preserve">, , </v>
      </c>
    </row>
    <row r="1350" spans="12:12">
      <c r="L1350" t="str">
        <f>_xlfn.TEXTJOIN(", ", FALSE, 'Audit Report'!K1350,'Audit Report'!L1350,'Audit Report'!M1350)</f>
        <v xml:space="preserve">, , </v>
      </c>
    </row>
    <row r="1351" spans="12:12">
      <c r="L1351" t="str">
        <f>_xlfn.TEXTJOIN(", ", FALSE, 'Audit Report'!K1351,'Audit Report'!L1351,'Audit Report'!M1351)</f>
        <v xml:space="preserve">, , </v>
      </c>
    </row>
    <row r="1352" spans="12:12">
      <c r="L1352" t="str">
        <f>_xlfn.TEXTJOIN(", ", FALSE, 'Audit Report'!K1352,'Audit Report'!L1352,'Audit Report'!M1352)</f>
        <v xml:space="preserve">, , </v>
      </c>
    </row>
    <row r="1353" spans="12:12">
      <c r="L1353" t="str">
        <f>_xlfn.TEXTJOIN(", ", FALSE, 'Audit Report'!K1353,'Audit Report'!L1353,'Audit Report'!M1353)</f>
        <v xml:space="preserve">, , </v>
      </c>
    </row>
    <row r="1354" spans="12:12">
      <c r="L1354" t="str">
        <f>_xlfn.TEXTJOIN(", ", FALSE, 'Audit Report'!K1354,'Audit Report'!L1354,'Audit Report'!M1354)</f>
        <v xml:space="preserve">, , </v>
      </c>
    </row>
    <row r="1355" spans="12:12">
      <c r="L1355" t="str">
        <f>_xlfn.TEXTJOIN(", ", FALSE, 'Audit Report'!K1355,'Audit Report'!L1355,'Audit Report'!M1355)</f>
        <v xml:space="preserve">, , </v>
      </c>
    </row>
    <row r="1356" spans="12:12">
      <c r="L1356" t="str">
        <f>_xlfn.TEXTJOIN(", ", FALSE, 'Audit Report'!K1356,'Audit Report'!L1356,'Audit Report'!M1356)</f>
        <v xml:space="preserve">, , </v>
      </c>
    </row>
    <row r="1357" spans="12:12">
      <c r="L1357" t="str">
        <f>_xlfn.TEXTJOIN(", ", FALSE, 'Audit Report'!K1357,'Audit Report'!L1357,'Audit Report'!M1357)</f>
        <v xml:space="preserve">, , </v>
      </c>
    </row>
    <row r="1358" spans="12:12">
      <c r="L1358" t="str">
        <f>_xlfn.TEXTJOIN(", ", FALSE, 'Audit Report'!K1358,'Audit Report'!L1358,'Audit Report'!M1358)</f>
        <v xml:space="preserve">, , </v>
      </c>
    </row>
    <row r="1359" spans="12:12">
      <c r="L1359" t="str">
        <f>_xlfn.TEXTJOIN(", ", FALSE, 'Audit Report'!K1359,'Audit Report'!L1359,'Audit Report'!M1359)</f>
        <v xml:space="preserve">, , </v>
      </c>
    </row>
    <row r="1360" spans="12:12">
      <c r="L1360" t="str">
        <f>_xlfn.TEXTJOIN(", ", FALSE, 'Audit Report'!K1360,'Audit Report'!L1360,'Audit Report'!M1360)</f>
        <v xml:space="preserve">, , </v>
      </c>
    </row>
    <row r="1361" spans="12:12">
      <c r="L1361" t="str">
        <f>_xlfn.TEXTJOIN(", ", FALSE, 'Audit Report'!K1361,'Audit Report'!L1361,'Audit Report'!M1361)</f>
        <v xml:space="preserve">, , </v>
      </c>
    </row>
    <row r="1362" spans="12:12">
      <c r="L1362" t="str">
        <f>_xlfn.TEXTJOIN(", ", FALSE, 'Audit Report'!K1362,'Audit Report'!L1362,'Audit Report'!M1362)</f>
        <v xml:space="preserve">, , </v>
      </c>
    </row>
    <row r="1363" spans="12:12">
      <c r="L1363" t="str">
        <f>_xlfn.TEXTJOIN(", ", FALSE, 'Audit Report'!K1363,'Audit Report'!L1363,'Audit Report'!M1363)</f>
        <v xml:space="preserve">, , </v>
      </c>
    </row>
    <row r="1364" spans="12:12">
      <c r="L1364" t="str">
        <f>_xlfn.TEXTJOIN(", ", FALSE, 'Audit Report'!K1364,'Audit Report'!L1364,'Audit Report'!M1364)</f>
        <v xml:space="preserve">, , </v>
      </c>
    </row>
    <row r="1365" spans="12:12">
      <c r="L1365" t="str">
        <f>_xlfn.TEXTJOIN(", ", FALSE, 'Audit Report'!K1365,'Audit Report'!L1365,'Audit Report'!M1365)</f>
        <v xml:space="preserve">, , 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E33" sqref="E3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7" t="s">
        <v>1</v>
      </c>
      <c r="B1" s="38" t="s">
        <v>2</v>
      </c>
      <c r="C1" s="38" t="s">
        <v>5</v>
      </c>
      <c r="D1" s="38" t="s">
        <v>6</v>
      </c>
      <c r="E1" s="38" t="s">
        <v>491</v>
      </c>
      <c r="F1" s="38" t="s">
        <v>492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 t="str">
        <f>_xlfn.XLOOKUP($A3,'Audit Report'!$C:$C,'Audit Report'!G:G)</f>
        <v/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 t="str">
        <f>_xlfn.XLOOKUP($A4,'Audit Report'!$C:$C,'Audit Report'!G:G)</f>
        <v/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 t="str">
        <f>_xlfn.XLOOKUP($A5,'Audit Report'!$C:$C,'Audit Report'!G:G)</f>
        <v/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 t="str">
        <f>_xlfn.XLOOKUP($A6,'Audit Report'!$C:$C,'Audit Report'!G:G)</f>
        <v/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 t="str">
        <f>_xlfn.XLOOKUP($A7,'Audit Report'!$C:$C,'Audit Report'!G:G)</f>
        <v/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 t="str">
        <f>_xlfn.XLOOKUP($A8,'Audit Report'!$C:$C,'Audit Report'!G:G)</f>
        <v/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 t="str">
        <f>_xlfn.XLOOKUP($A9,'Audit Report'!$C:$C,'Audit Report'!G:G)</f>
        <v/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 t="str">
        <f>_xlfn.XLOOKUP($A10,'Audit Report'!$C:$C,'Audit Report'!G:G)</f>
        <v/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 t="str">
        <f>_xlfn.XLOOKUP($A11,'Audit Report'!$C:$C,'Audit Report'!G:G)</f>
        <v/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 t="str">
        <f>_xlfn.XLOOKUP($A12,'Audit Report'!$C:$C,'Audit Report'!G:G)</f>
        <v/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 t="str">
        <f>_xlfn.XLOOKUP($A13,'Audit Report'!$C:$C,'Audit Report'!G:G)</f>
        <v/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 t="str">
        <f>_xlfn.XLOOKUP($A14,'Audit Report'!$C:$C,'Audit Report'!G:G)</f>
        <v/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 t="str">
        <f>_xlfn.XLOOKUP($A15,'Audit Report'!$C:$C,'Audit Report'!G:G)</f>
        <v/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 t="str">
        <f>_xlfn.XLOOKUP($A16,'Audit Report'!$C:$C,'Audit Report'!G:G)</f>
        <v/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 t="str">
        <f>_xlfn.XLOOKUP($A17,'Audit Report'!$C:$C,'Audit Report'!G:G)</f>
        <v/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 t="str">
        <f>_xlfn.XLOOKUP($A18,'Audit Report'!$C:$C,'Audit Report'!G:G)</f>
        <v/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 t="str">
        <f>_xlfn.XLOOKUP($A19,'Audit Report'!$C:$C,'Audit Report'!G:G)</f>
        <v/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 t="str">
        <f>_xlfn.XLOOKUP($A20,'Audit Report'!$C:$C,'Audit Report'!G:G)</f>
        <v/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 t="str">
        <f>_xlfn.XLOOKUP($A21,'Audit Report'!$C:$C,'Audit Report'!G:G)</f>
        <v/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 t="str">
        <f>_xlfn.XLOOKUP($A22,'Audit Report'!$C:$C,'Audit Report'!G:G)</f>
        <v/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 t="str">
        <f>_xlfn.XLOOKUP($A23,'Audit Report'!$C:$C,'Audit Report'!G:G)</f>
        <v/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 t="str">
        <f>_xlfn.XLOOKUP($A24,'Audit Report'!$C:$C,'Audit Report'!G:G)</f>
        <v/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 t="str">
        <f>_xlfn.XLOOKUP($A25,'Audit Report'!$C:$C,'Audit Report'!G:G)</f>
        <v/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 t="str">
        <f>_xlfn.XLOOKUP($A26,'Audit Report'!$C:$C,'Audit Report'!G:G)</f>
        <v/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 t="str">
        <f>_xlfn.XLOOKUP($A27,'Audit Report'!$C:$C,'Audit Report'!G:G)</f>
        <v/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 t="str">
        <f>_xlfn.XLOOKUP($A28,'Audit Report'!$C:$C,'Audit Report'!G:G)</f>
        <v/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 t="str">
        <f>_xlfn.XLOOKUP($A29,'Audit Report'!$C:$C,'Audit Report'!G:G)</f>
        <v/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 t="str">
        <f>_xlfn.XLOOKUP($A30,'Audit Report'!$C:$C,'Audit Report'!G:G)</f>
        <v/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 t="str">
        <f>_xlfn.XLOOKUP($A31,'Audit Report'!$C:$C,'Audit Report'!G:G)</f>
        <v/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 t="str">
        <f>_xlfn.XLOOKUP($A32,'Audit Report'!$C:$C,'Audit Report'!G:G)</f>
        <v/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 t="str">
        <f>_xlfn.XLOOKUP($A33,'Audit Report'!$C:$C,'Audit Report'!G:G)</f>
        <v/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 t="str">
        <f>_xlfn.XLOOKUP($A34,'Audit Report'!$C:$C,'Audit Report'!G:G)</f>
        <v/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 t="str">
        <f>_xlfn.XLOOKUP($A35,'Audit Report'!$C:$C,'Audit Report'!G:G)</f>
        <v/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 t="str">
        <f>_xlfn.XLOOKUP($A36,'Audit Report'!$C:$C,'Audit Report'!G:G)</f>
        <v/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 t="str">
        <f>_xlfn.XLOOKUP($A37,'Audit Report'!$C:$C,'Audit Report'!G:G)</f>
        <v/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 t="str">
        <f>_xlfn.XLOOKUP($A38,'Audit Report'!$C:$C,'Audit Report'!G:G)</f>
        <v/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 t="str">
        <f>_xlfn.XLOOKUP($A39,'Audit Report'!$C:$C,'Audit Report'!G:G)</f>
        <v/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 t="str">
        <f>_xlfn.XLOOKUP($A40,'Audit Report'!$C:$C,'Audit Report'!G:G)</f>
        <v/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 t="str">
        <f>_xlfn.XLOOKUP($A41,'Audit Report'!$C:$C,'Audit Report'!G:G)</f>
        <v/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 t="str">
        <f>_xlfn.XLOOKUP($A42,'Audit Report'!$C:$C,'Audit Report'!G:G)</f>
        <v/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 t="str">
        <f>_xlfn.XLOOKUP($A43,'Audit Report'!$C:$C,'Audit Report'!G:G)</f>
        <v/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 t="str">
        <f>_xlfn.XLOOKUP($A44,'Audit Report'!$C:$C,'Audit Report'!G:G)</f>
        <v/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 t="str">
        <f>_xlfn.XLOOKUP($A45,'Audit Report'!$C:$C,'Audit Report'!G:G)</f>
        <v/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 t="str">
        <f>_xlfn.XLOOKUP($A46,'Audit Report'!$C:$C,'Audit Report'!G:G)</f>
        <v/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 t="str">
        <f>_xlfn.XLOOKUP($A47,'Audit Report'!$C:$C,'Audit Report'!G:G)</f>
        <v/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 t="str">
        <f>_xlfn.XLOOKUP($A48,'Audit Report'!$C:$C,'Audit Report'!G:G)</f>
        <v/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 t="str">
        <f>_xlfn.XLOOKUP($A49,'Audit Report'!$C:$C,'Audit Report'!G:G)</f>
        <v/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 t="str">
        <f>_xlfn.XLOOKUP($A50,'Audit Report'!$C:$C,'Audit Report'!G:G)</f>
        <v/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 t="str">
        <f>_xlfn.XLOOKUP($A51,'Audit Report'!$C:$C,'Audit Report'!G:G)</f>
        <v/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 t="str">
        <f>_xlfn.XLOOKUP($A52,'Audit Report'!$C:$C,'Audit Report'!G:G)</f>
        <v/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 t="str">
        <f>_xlfn.XLOOKUP($A53,'Audit Report'!$C:$C,'Audit Report'!G:G)</f>
        <v/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 t="str">
        <f>_xlfn.XLOOKUP($A54,'Audit Report'!$C:$C,'Audit Report'!G:G)</f>
        <v/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 t="str">
        <f>_xlfn.XLOOKUP($A55,'Audit Report'!$C:$C,'Audit Report'!G:G)</f>
        <v/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 t="str">
        <f>_xlfn.XLOOKUP($A56,'Audit Report'!$C:$C,'Audit Report'!G:G)</f>
        <v/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 t="str">
        <f>_xlfn.XLOOKUP($A57,'Audit Report'!$C:$C,'Audit Report'!G:G)</f>
        <v/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 t="str">
        <f>_xlfn.XLOOKUP($A58,'Audit Report'!$C:$C,'Audit Report'!G:G)</f>
        <v/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 t="str">
        <f>_xlfn.XLOOKUP($A59,'Audit Report'!$C:$C,'Audit Report'!G:G)</f>
        <v/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 t="str">
        <f>_xlfn.XLOOKUP($A60,'Audit Report'!$C:$C,'Audit Report'!G:G)</f>
        <v/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 t="str">
        <f>_xlfn.XLOOKUP($A61,'Audit Report'!$C:$C,'Audit Report'!G:G)</f>
        <v/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 t="str">
        <f>_xlfn.XLOOKUP($A62,'Audit Report'!$C:$C,'Audit Report'!G:G)</f>
        <v/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 t="str">
        <f>_xlfn.XLOOKUP($A63,'Audit Report'!$C:$C,'Audit Report'!G:G)</f>
        <v/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 t="str">
        <f>_xlfn.XLOOKUP($A64,'Audit Report'!$C:$C,'Audit Report'!G:G)</f>
        <v/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 t="str">
        <f>_xlfn.XLOOKUP($A65,'Audit Report'!$C:$C,'Audit Report'!G:G)</f>
        <v/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 t="str">
        <f>_xlfn.XLOOKUP($A66,'Audit Report'!$C:$C,'Audit Report'!G:G)</f>
        <v/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 t="str">
        <f>_xlfn.XLOOKUP($A67,'Audit Report'!$C:$C,'Audit Report'!G:G)</f>
        <v/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 t="str">
        <f>_xlfn.XLOOKUP($A68,'Audit Report'!$C:$C,'Audit Report'!G:G)</f>
        <v/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 t="str">
        <f>_xlfn.XLOOKUP($A69,'Audit Report'!$C:$C,'Audit Report'!G:G)</f>
        <v/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 t="str">
        <f>_xlfn.XLOOKUP($A70,'Audit Report'!$C:$C,'Audit Report'!G:G)</f>
        <v/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 t="str">
        <f>_xlfn.XLOOKUP($A71,'Audit Report'!$C:$C,'Audit Report'!G:G)</f>
        <v/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 t="str">
        <f>_xlfn.XLOOKUP($A72,'Audit Report'!$C:$C,'Audit Report'!G:G)</f>
        <v/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 t="str">
        <f>_xlfn.XLOOKUP($A73,'Audit Report'!$C:$C,'Audit Report'!G:G)</f>
        <v/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 t="str">
        <f>_xlfn.XLOOKUP($A74,'Audit Report'!$C:$C,'Audit Report'!G:G)</f>
        <v/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 t="str">
        <f>_xlfn.XLOOKUP($A75,'Audit Report'!$C:$C,'Audit Report'!G:G)</f>
        <v/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 t="str">
        <f>_xlfn.XLOOKUP($A76,'Audit Report'!$C:$C,'Audit Report'!G:G)</f>
        <v/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 t="str">
        <f>_xlfn.XLOOKUP($A77,'Audit Report'!$C:$C,'Audit Report'!G:G)</f>
        <v/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 t="str">
        <f>_xlfn.XLOOKUP($A78,'Audit Report'!$C:$C,'Audit Report'!G:G)</f>
        <v/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 t="str">
        <f>_xlfn.XLOOKUP($A79,'Audit Report'!$C:$C,'Audit Report'!G:G)</f>
        <v/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 t="str">
        <f>_xlfn.XLOOKUP($A80,'Audit Report'!$C:$C,'Audit Report'!G:G)</f>
        <v/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 t="str">
        <f>_xlfn.XLOOKUP($A81,'Audit Report'!$C:$C,'Audit Report'!G:G)</f>
        <v/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 t="str">
        <f>_xlfn.XLOOKUP($A82,'Audit Report'!$C:$C,'Audit Report'!G:G)</f>
        <v/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workbookViewId="0">
      <selection activeCell="O22" sqref="O22"/>
    </sheetView>
  </sheetViews>
  <sheetFormatPr defaultRowHeight="15"/>
  <cols>
    <col min="1" max="1" width="7" bestFit="1" customWidth="1"/>
    <col min="2" max="2" width="12.42578125" bestFit="1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13.28515625" bestFit="1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36.42578125" bestFit="1" customWidth="1"/>
    <col min="16" max="16" width="36.42578125" hidden="1" customWidth="1"/>
    <col min="17" max="17" width="16.140625" bestFit="1" customWidth="1"/>
    <col min="18" max="18" width="14.7109375" bestFit="1" customWidth="1"/>
    <col min="19" max="19" width="27.28515625" bestFit="1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8" thickBot="1">
      <c r="A1" s="1" t="s">
        <v>0</v>
      </c>
      <c r="B1" s="1" t="s">
        <v>1</v>
      </c>
      <c r="C1" s="1" t="s">
        <v>2</v>
      </c>
      <c r="D1" s="1" t="s">
        <v>487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488</v>
      </c>
      <c r="M1" s="1" t="s">
        <v>12</v>
      </c>
      <c r="N1" s="1" t="s">
        <v>494</v>
      </c>
      <c r="O1" s="1" t="s">
        <v>13</v>
      </c>
      <c r="P1" s="1"/>
      <c r="Q1" s="1" t="s">
        <v>489</v>
      </c>
      <c r="R1" s="1" t="s">
        <v>490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</row>
    <row r="2" spans="1:24" ht="15.75" thickTop="1">
      <c r="A2" t="str">
        <f>_xlfn.TEXTJOIN("",TRUE,Input!$B$2,"0",ROW(My_Audit!A1))</f>
        <v>X01</v>
      </c>
      <c r="D2" s="34"/>
      <c r="P2" t="str">
        <f>_xlfn.TEXTJOIN(", ",TRUE,N2,O2)</f>
        <v/>
      </c>
    </row>
    <row r="3" spans="1:24">
      <c r="A3" t="str">
        <f>_xlfn.TEXTJOIN("",TRUE,Input!$B$2,"0",ROW(My_Audit!A2))</f>
        <v>X02</v>
      </c>
      <c r="P3" t="str">
        <f t="shared" ref="P3:P66" si="0">_xlfn.TEXTJOIN(", ",TRUE,N3,O3)</f>
        <v/>
      </c>
    </row>
    <row r="4" spans="1:24">
      <c r="A4" t="str">
        <f>_xlfn.TEXTJOIN("",TRUE,Input!$B$2,"0",ROW(My_Audit!A3))</f>
        <v>X03</v>
      </c>
      <c r="P4" t="str">
        <f t="shared" si="0"/>
        <v/>
      </c>
    </row>
    <row r="5" spans="1:24">
      <c r="A5" t="str">
        <f>_xlfn.TEXTJOIN("",TRUE,Input!$B$2,"0",ROW(My_Audit!A4))</f>
        <v>X04</v>
      </c>
      <c r="P5" t="str">
        <f t="shared" si="0"/>
        <v/>
      </c>
    </row>
    <row r="6" spans="1:24">
      <c r="A6" t="str">
        <f>_xlfn.TEXTJOIN("",TRUE,Input!$B$2,"0",ROW(My_Audit!A5))</f>
        <v>X05</v>
      </c>
      <c r="P6" t="str">
        <f t="shared" si="0"/>
        <v/>
      </c>
    </row>
    <row r="7" spans="1:24">
      <c r="A7" t="str">
        <f>_xlfn.TEXTJOIN("",TRUE,Input!$B$2,"0",ROW(My_Audit!A6))</f>
        <v>X06</v>
      </c>
      <c r="P7" t="str">
        <f t="shared" si="0"/>
        <v/>
      </c>
    </row>
    <row r="8" spans="1:24">
      <c r="A8" t="str">
        <f>_xlfn.TEXTJOIN("",TRUE,Input!$B$2,"0",ROW(My_Audit!A7))</f>
        <v>X07</v>
      </c>
      <c r="P8" t="str">
        <f t="shared" si="0"/>
        <v/>
      </c>
    </row>
    <row r="9" spans="1:24">
      <c r="A9" t="str">
        <f>_xlfn.TEXTJOIN("",TRUE,Input!$B$2,"0",ROW(My_Audit!A8))</f>
        <v>X08</v>
      </c>
      <c r="P9" t="str">
        <f t="shared" si="0"/>
        <v/>
      </c>
    </row>
    <row r="10" spans="1:24">
      <c r="A10" t="str">
        <f>_xlfn.TEXTJOIN("",TRUE,Input!$B$2,"0",ROW(My_Audit!A9))</f>
        <v>X09</v>
      </c>
      <c r="P10" t="str">
        <f t="shared" si="0"/>
        <v/>
      </c>
    </row>
    <row r="11" spans="1:24">
      <c r="A11" t="str">
        <f>_xlfn.TEXTJOIN("",TRUE,Input!$B$2,ROW(My_Audit!A10))</f>
        <v>X10</v>
      </c>
      <c r="P11" t="str">
        <f t="shared" si="0"/>
        <v/>
      </c>
    </row>
    <row r="12" spans="1:24">
      <c r="A12" t="str">
        <f>_xlfn.TEXTJOIN("",TRUE,Input!$B$2,ROW(My_Audit!A11))</f>
        <v>X11</v>
      </c>
      <c r="P12" t="str">
        <f t="shared" si="0"/>
        <v/>
      </c>
    </row>
    <row r="13" spans="1:24">
      <c r="A13" t="str">
        <f>_xlfn.TEXTJOIN("",TRUE,Input!$B$2,ROW(My_Audit!A12))</f>
        <v>X12</v>
      </c>
      <c r="P13" t="str">
        <f t="shared" si="0"/>
        <v/>
      </c>
    </row>
    <row r="14" spans="1:24">
      <c r="A14" t="str">
        <f>_xlfn.TEXTJOIN("",TRUE,Input!$B$2,ROW(My_Audit!A13))</f>
        <v>X13</v>
      </c>
      <c r="P14" t="str">
        <f t="shared" si="0"/>
        <v/>
      </c>
    </row>
    <row r="15" spans="1:24">
      <c r="A15" t="str">
        <f>_xlfn.TEXTJOIN("",TRUE,Input!$B$2,ROW(My_Audit!A14))</f>
        <v>X14</v>
      </c>
      <c r="P15" t="str">
        <f t="shared" si="0"/>
        <v/>
      </c>
    </row>
    <row r="16" spans="1:24">
      <c r="A16" t="str">
        <f>_xlfn.TEXTJOIN("",TRUE,Input!$B$2,ROW(My_Audit!A15))</f>
        <v>X15</v>
      </c>
      <c r="P16" t="str">
        <f t="shared" si="0"/>
        <v/>
      </c>
    </row>
    <row r="17" spans="1:16">
      <c r="A17" t="str">
        <f>_xlfn.TEXTJOIN("",TRUE,Input!$B$2,ROW(My_Audit!A16))</f>
        <v>X16</v>
      </c>
      <c r="P17" t="str">
        <f t="shared" si="0"/>
        <v/>
      </c>
    </row>
    <row r="18" spans="1:16">
      <c r="A18" t="str">
        <f>_xlfn.TEXTJOIN("",TRUE,Input!$B$2,ROW(My_Audit!A17))</f>
        <v>X17</v>
      </c>
      <c r="P18" t="str">
        <f t="shared" si="0"/>
        <v/>
      </c>
    </row>
    <row r="19" spans="1:16">
      <c r="A19" t="str">
        <f>_xlfn.TEXTJOIN("",TRUE,Input!$B$2,ROW(My_Audit!A18))</f>
        <v>X18</v>
      </c>
      <c r="P19" t="str">
        <f t="shared" si="0"/>
        <v/>
      </c>
    </row>
    <row r="20" spans="1:16">
      <c r="A20" t="str">
        <f>_xlfn.TEXTJOIN("",TRUE,Input!$B$2,ROW(My_Audit!A19))</f>
        <v>X19</v>
      </c>
      <c r="P20" t="str">
        <f t="shared" si="0"/>
        <v/>
      </c>
    </row>
    <row r="21" spans="1:16">
      <c r="A21" t="str">
        <f>_xlfn.TEXTJOIN("",TRUE,Input!$B$2,ROW(My_Audit!A20))</f>
        <v>X20</v>
      </c>
      <c r="P21" t="str">
        <f t="shared" si="0"/>
        <v/>
      </c>
    </row>
    <row r="22" spans="1:16">
      <c r="A22" t="str">
        <f>_xlfn.TEXTJOIN("",TRUE,Input!$B$2,ROW(My_Audit!A21))</f>
        <v>X21</v>
      </c>
      <c r="P22" t="str">
        <f t="shared" si="0"/>
        <v/>
      </c>
    </row>
    <row r="23" spans="1:16">
      <c r="A23" t="str">
        <f>_xlfn.TEXTJOIN("",TRUE,Input!$B$2,ROW(My_Audit!A22))</f>
        <v>X22</v>
      </c>
      <c r="P23" t="str">
        <f t="shared" si="0"/>
        <v/>
      </c>
    </row>
    <row r="24" spans="1:16">
      <c r="A24" t="str">
        <f>_xlfn.TEXTJOIN("",TRUE,Input!$B$2,ROW(My_Audit!A23))</f>
        <v>X23</v>
      </c>
      <c r="P24" t="str">
        <f t="shared" si="0"/>
        <v/>
      </c>
    </row>
    <row r="25" spans="1:16">
      <c r="A25" t="str">
        <f>_xlfn.TEXTJOIN("",TRUE,Input!$B$2,ROW(My_Audit!A24))</f>
        <v>X24</v>
      </c>
      <c r="P25" t="str">
        <f t="shared" si="0"/>
        <v/>
      </c>
    </row>
    <row r="26" spans="1:16">
      <c r="A26" t="str">
        <f>_xlfn.TEXTJOIN("",TRUE,Input!$B$2,ROW(My_Audit!A25))</f>
        <v>X25</v>
      </c>
      <c r="P26" t="str">
        <f t="shared" si="0"/>
        <v/>
      </c>
    </row>
    <row r="27" spans="1:16">
      <c r="A27" t="str">
        <f>_xlfn.TEXTJOIN("",TRUE,Input!$B$2,ROW(My_Audit!A26))</f>
        <v>X26</v>
      </c>
      <c r="P27" t="str">
        <f t="shared" si="0"/>
        <v/>
      </c>
    </row>
    <row r="28" spans="1:16">
      <c r="A28" t="str">
        <f>_xlfn.TEXTJOIN("",TRUE,Input!$B$2,ROW(My_Audit!A27))</f>
        <v>X27</v>
      </c>
      <c r="P28" t="str">
        <f t="shared" si="0"/>
        <v/>
      </c>
    </row>
    <row r="29" spans="1:16">
      <c r="A29" t="str">
        <f>_xlfn.TEXTJOIN("",TRUE,Input!$B$2,ROW(My_Audit!A28))</f>
        <v>X28</v>
      </c>
      <c r="P29" t="str">
        <f t="shared" si="0"/>
        <v/>
      </c>
    </row>
    <row r="30" spans="1:16">
      <c r="A30" t="str">
        <f>_xlfn.TEXTJOIN("",TRUE,Input!$B$2,ROW(My_Audit!A29))</f>
        <v>X29</v>
      </c>
      <c r="P30" t="str">
        <f t="shared" si="0"/>
        <v/>
      </c>
    </row>
    <row r="31" spans="1:16">
      <c r="A31" t="str">
        <f>_xlfn.TEXTJOIN("",TRUE,Input!$B$2,ROW(My_Audit!A30))</f>
        <v>X30</v>
      </c>
      <c r="P31" t="str">
        <f t="shared" si="0"/>
        <v/>
      </c>
    </row>
    <row r="32" spans="1:16">
      <c r="A32" t="str">
        <f>_xlfn.TEXTJOIN("",TRUE,Input!$B$2,ROW(My_Audit!A31))</f>
        <v>X31</v>
      </c>
      <c r="P32" t="str">
        <f t="shared" si="0"/>
        <v/>
      </c>
    </row>
    <row r="33" spans="1:16">
      <c r="A33" t="str">
        <f>_xlfn.TEXTJOIN("",TRUE,Input!$B$2,ROW(My_Audit!A32))</f>
        <v>X32</v>
      </c>
      <c r="P33" t="str">
        <f t="shared" si="0"/>
        <v/>
      </c>
    </row>
    <row r="34" spans="1:16">
      <c r="A34" t="str">
        <f>_xlfn.TEXTJOIN("",TRUE,Input!$B$2,ROW(My_Audit!A33))</f>
        <v>X33</v>
      </c>
      <c r="P34" t="str">
        <f t="shared" si="0"/>
        <v/>
      </c>
    </row>
    <row r="35" spans="1:16">
      <c r="A35" t="str">
        <f>_xlfn.TEXTJOIN("",TRUE,Input!$B$2,ROW(My_Audit!A34))</f>
        <v>X34</v>
      </c>
      <c r="P35" t="str">
        <f t="shared" si="0"/>
        <v/>
      </c>
    </row>
    <row r="36" spans="1:16">
      <c r="A36" t="str">
        <f>_xlfn.TEXTJOIN("",TRUE,Input!$B$2,ROW(My_Audit!A35))</f>
        <v>X35</v>
      </c>
      <c r="P36" t="str">
        <f t="shared" si="0"/>
        <v/>
      </c>
    </row>
    <row r="37" spans="1:16">
      <c r="A37" t="str">
        <f>_xlfn.TEXTJOIN("",TRUE,Input!$B$2,ROW(My_Audit!A36))</f>
        <v>X36</v>
      </c>
      <c r="P37" t="str">
        <f t="shared" si="0"/>
        <v/>
      </c>
    </row>
    <row r="38" spans="1:16">
      <c r="A38" t="str">
        <f>_xlfn.TEXTJOIN("",TRUE,Input!$B$2,ROW(My_Audit!A37))</f>
        <v>X37</v>
      </c>
      <c r="P38" t="str">
        <f t="shared" si="0"/>
        <v/>
      </c>
    </row>
    <row r="39" spans="1:16">
      <c r="A39" t="str">
        <f>_xlfn.TEXTJOIN("",TRUE,Input!$B$2,ROW(My_Audit!A38))</f>
        <v>X38</v>
      </c>
      <c r="P39" t="str">
        <f t="shared" si="0"/>
        <v/>
      </c>
    </row>
    <row r="40" spans="1:16">
      <c r="A40" t="str">
        <f>_xlfn.TEXTJOIN("",TRUE,Input!$B$2,ROW(My_Audit!A39))</f>
        <v>X39</v>
      </c>
      <c r="P40" t="str">
        <f t="shared" si="0"/>
        <v/>
      </c>
    </row>
    <row r="41" spans="1:16">
      <c r="A41" t="str">
        <f>_xlfn.TEXTJOIN("",TRUE,Input!$B$2,ROW(My_Audit!A40))</f>
        <v>X40</v>
      </c>
      <c r="P41" t="str">
        <f t="shared" si="0"/>
        <v/>
      </c>
    </row>
    <row r="42" spans="1:16">
      <c r="A42" t="str">
        <f>_xlfn.TEXTJOIN("",TRUE,Input!$B$2,ROW(My_Audit!A41))</f>
        <v>X41</v>
      </c>
      <c r="P42" t="str">
        <f t="shared" si="0"/>
        <v/>
      </c>
    </row>
    <row r="43" spans="1:16">
      <c r="A43" t="str">
        <f>_xlfn.TEXTJOIN("",TRUE,Input!$B$2,ROW(My_Audit!A42))</f>
        <v>X42</v>
      </c>
      <c r="P43" t="str">
        <f t="shared" si="0"/>
        <v/>
      </c>
    </row>
    <row r="44" spans="1:16">
      <c r="A44" t="str">
        <f>_xlfn.TEXTJOIN("",TRUE,Input!$B$2,ROW(My_Audit!A43))</f>
        <v>X43</v>
      </c>
      <c r="P44" t="str">
        <f t="shared" si="0"/>
        <v/>
      </c>
    </row>
    <row r="45" spans="1:16">
      <c r="A45" t="str">
        <f>_xlfn.TEXTJOIN("",TRUE,Input!$B$2,ROW(My_Audit!A44))</f>
        <v>X44</v>
      </c>
      <c r="P45" t="str">
        <f t="shared" si="0"/>
        <v/>
      </c>
    </row>
    <row r="46" spans="1:16" ht="15.75" thickBot="1">
      <c r="A46" t="str">
        <f>_xlfn.TEXTJOIN("",TRUE,Input!$B$2,ROW(My_Audit!A45))</f>
        <v>X45</v>
      </c>
      <c r="P46" t="str">
        <f t="shared" si="0"/>
        <v/>
      </c>
    </row>
    <row r="47" spans="1:16" ht="15.75" thickBot="1">
      <c r="A47" t="str">
        <f>_xlfn.TEXTJOIN("",TRUE,Input!$B$2,ROW(My_Audit!A46))</f>
        <v>X46</v>
      </c>
      <c r="B47" s="35"/>
      <c r="C47" s="35"/>
      <c r="D47" s="35"/>
      <c r="E47" s="35"/>
      <c r="F47" s="35"/>
      <c r="G47" s="35"/>
      <c r="P47" t="str">
        <f t="shared" si="0"/>
        <v/>
      </c>
    </row>
    <row r="48" spans="1:16">
      <c r="A48" t="str">
        <f>_xlfn.TEXTJOIN("",TRUE,Input!$B$2,ROW(My_Audit!A47))</f>
        <v>X47</v>
      </c>
      <c r="P48" t="str">
        <f t="shared" si="0"/>
        <v/>
      </c>
    </row>
    <row r="49" spans="1:16">
      <c r="A49" t="str">
        <f>_xlfn.TEXTJOIN("",TRUE,Input!$B$2,ROW(My_Audit!A48))</f>
        <v>X48</v>
      </c>
      <c r="P49" t="str">
        <f t="shared" si="0"/>
        <v/>
      </c>
    </row>
    <row r="50" spans="1:16">
      <c r="A50" t="str">
        <f>_xlfn.TEXTJOIN("",TRUE,Input!$B$2,ROW(My_Audit!A49))</f>
        <v>X49</v>
      </c>
      <c r="P50" t="str">
        <f t="shared" si="0"/>
        <v/>
      </c>
    </row>
    <row r="51" spans="1:16">
      <c r="A51" t="str">
        <f>_xlfn.TEXTJOIN("",TRUE,Input!$B$2,ROW(My_Audit!A50))</f>
        <v>X50</v>
      </c>
      <c r="P51" t="str">
        <f t="shared" si="0"/>
        <v/>
      </c>
    </row>
    <row r="52" spans="1:16">
      <c r="A52" t="str">
        <f>_xlfn.TEXTJOIN("",TRUE,Input!$B$2,ROW(My_Audit!A51))</f>
        <v>X51</v>
      </c>
      <c r="P52" t="str">
        <f t="shared" si="0"/>
        <v/>
      </c>
    </row>
    <row r="53" spans="1:16">
      <c r="A53" t="str">
        <f>_xlfn.TEXTJOIN("",TRUE,Input!$B$2,ROW(My_Audit!A52))</f>
        <v>X52</v>
      </c>
      <c r="P53" t="str">
        <f t="shared" si="0"/>
        <v/>
      </c>
    </row>
    <row r="54" spans="1:16">
      <c r="A54" t="str">
        <f>_xlfn.TEXTJOIN("",TRUE,Input!$B$2,ROW(My_Audit!A53))</f>
        <v>X53</v>
      </c>
      <c r="P54" t="str">
        <f t="shared" si="0"/>
        <v/>
      </c>
    </row>
    <row r="55" spans="1:16">
      <c r="A55" t="str">
        <f>_xlfn.TEXTJOIN("",TRUE,Input!$B$2,ROW(My_Audit!A54))</f>
        <v>X54</v>
      </c>
      <c r="P55" t="str">
        <f t="shared" si="0"/>
        <v/>
      </c>
    </row>
    <row r="56" spans="1:16">
      <c r="A56" t="str">
        <f>_xlfn.TEXTJOIN("",TRUE,Input!$B$2,ROW(My_Audit!A55))</f>
        <v>X55</v>
      </c>
      <c r="P56" t="str">
        <f t="shared" si="0"/>
        <v/>
      </c>
    </row>
    <row r="57" spans="1:16">
      <c r="A57" t="str">
        <f>_xlfn.TEXTJOIN("",TRUE,Input!$B$2,ROW(My_Audit!A56))</f>
        <v>X56</v>
      </c>
      <c r="P57" t="str">
        <f t="shared" si="0"/>
        <v/>
      </c>
    </row>
    <row r="58" spans="1:16">
      <c r="A58" t="str">
        <f>_xlfn.TEXTJOIN("",TRUE,Input!$B$2,ROW(My_Audit!A57))</f>
        <v>X57</v>
      </c>
      <c r="P58" t="str">
        <f t="shared" si="0"/>
        <v/>
      </c>
    </row>
    <row r="59" spans="1:16">
      <c r="A59" t="str">
        <f>_xlfn.TEXTJOIN("",TRUE,Input!$B$2,ROW(My_Audit!A58))</f>
        <v>X58</v>
      </c>
      <c r="P59" t="str">
        <f t="shared" si="0"/>
        <v/>
      </c>
    </row>
    <row r="60" spans="1:16">
      <c r="A60" t="str">
        <f>_xlfn.TEXTJOIN("",TRUE,Input!$B$2,ROW(My_Audit!A59))</f>
        <v>X59</v>
      </c>
      <c r="P60" t="str">
        <f t="shared" si="0"/>
        <v/>
      </c>
    </row>
    <row r="61" spans="1:16">
      <c r="A61" t="str">
        <f>_xlfn.TEXTJOIN("",TRUE,Input!$B$2,ROW(My_Audit!A60))</f>
        <v>X60</v>
      </c>
      <c r="P61" t="str">
        <f t="shared" si="0"/>
        <v/>
      </c>
    </row>
    <row r="62" spans="1:16">
      <c r="A62" t="str">
        <f>_xlfn.TEXTJOIN("",TRUE,Input!$B$2,ROW(My_Audit!A61))</f>
        <v>X61</v>
      </c>
      <c r="P62" t="str">
        <f t="shared" si="0"/>
        <v/>
      </c>
    </row>
    <row r="63" spans="1:16">
      <c r="A63" t="str">
        <f>_xlfn.TEXTJOIN("",TRUE,Input!$B$2,ROW(My_Audit!A62))</f>
        <v>X62</v>
      </c>
      <c r="P63" t="str">
        <f t="shared" si="0"/>
        <v/>
      </c>
    </row>
    <row r="64" spans="1:16">
      <c r="A64" t="str">
        <f>_xlfn.TEXTJOIN("",TRUE,Input!$B$2,ROW(My_Audit!A63))</f>
        <v>X63</v>
      </c>
      <c r="P64" t="str">
        <f t="shared" si="0"/>
        <v/>
      </c>
    </row>
    <row r="65" spans="1:16">
      <c r="A65" t="str">
        <f>_xlfn.TEXTJOIN("",TRUE,Input!$B$2,ROW(My_Audit!A64))</f>
        <v>X64</v>
      </c>
      <c r="P65" t="str">
        <f t="shared" si="0"/>
        <v/>
      </c>
    </row>
    <row r="66" spans="1:16">
      <c r="A66" t="str">
        <f>_xlfn.TEXTJOIN("",TRUE,Input!$B$2,ROW(My_Audit!A65))</f>
        <v>X65</v>
      </c>
      <c r="P66" t="str">
        <f t="shared" si="0"/>
        <v/>
      </c>
    </row>
    <row r="67" spans="1:16">
      <c r="A67" t="str">
        <f>_xlfn.TEXTJOIN("",TRUE,Input!$B$2,ROW(My_Audit!A66))</f>
        <v>X66</v>
      </c>
      <c r="P67" t="str">
        <f t="shared" ref="P67:P130" si="1">_xlfn.TEXTJOIN(", ",TRUE,N67,O67)</f>
        <v/>
      </c>
    </row>
    <row r="68" spans="1:16">
      <c r="A68" t="str">
        <f>_xlfn.TEXTJOIN("",TRUE,Input!$B$2,ROW(My_Audit!A67))</f>
        <v>X67</v>
      </c>
      <c r="P68" t="str">
        <f t="shared" si="1"/>
        <v/>
      </c>
    </row>
    <row r="69" spans="1:16">
      <c r="A69" t="str">
        <f>_xlfn.TEXTJOIN("",TRUE,Input!$B$2,ROW(My_Audit!A68))</f>
        <v>X68</v>
      </c>
      <c r="P69" t="str">
        <f t="shared" si="1"/>
        <v/>
      </c>
    </row>
    <row r="70" spans="1:16">
      <c r="A70" t="str">
        <f>_xlfn.TEXTJOIN("",TRUE,Input!$B$2,ROW(My_Audit!A69))</f>
        <v>X69</v>
      </c>
      <c r="P70" t="str">
        <f t="shared" si="1"/>
        <v/>
      </c>
    </row>
    <row r="71" spans="1:16">
      <c r="A71" t="str">
        <f>_xlfn.TEXTJOIN("",TRUE,Input!$B$2,ROW(My_Audit!A70))</f>
        <v>X70</v>
      </c>
      <c r="P71" t="str">
        <f t="shared" si="1"/>
        <v/>
      </c>
    </row>
    <row r="72" spans="1:16">
      <c r="A72" t="str">
        <f>_xlfn.TEXTJOIN("",TRUE,Input!$B$2,ROW(My_Audit!A71))</f>
        <v>X71</v>
      </c>
      <c r="P72" t="str">
        <f t="shared" si="1"/>
        <v/>
      </c>
    </row>
    <row r="73" spans="1:16">
      <c r="A73" t="str">
        <f>_xlfn.TEXTJOIN("",TRUE,Input!$B$2,ROW(My_Audit!A72))</f>
        <v>X72</v>
      </c>
      <c r="P73" t="str">
        <f t="shared" si="1"/>
        <v/>
      </c>
    </row>
    <row r="74" spans="1:16">
      <c r="A74" t="str">
        <f>_xlfn.TEXTJOIN("",TRUE,Input!$B$2,ROW(My_Audit!A73))</f>
        <v>X73</v>
      </c>
      <c r="P74" t="str">
        <f t="shared" si="1"/>
        <v/>
      </c>
    </row>
    <row r="75" spans="1:16">
      <c r="A75" t="str">
        <f>_xlfn.TEXTJOIN("",TRUE,Input!$B$2,ROW(My_Audit!A74))</f>
        <v>X74</v>
      </c>
      <c r="P75" t="str">
        <f t="shared" si="1"/>
        <v/>
      </c>
    </row>
    <row r="76" spans="1:16">
      <c r="A76" t="str">
        <f>_xlfn.TEXTJOIN("",TRUE,Input!$B$2,ROW(My_Audit!A75))</f>
        <v>X75</v>
      </c>
      <c r="P76" t="str">
        <f t="shared" si="1"/>
        <v/>
      </c>
    </row>
    <row r="77" spans="1:16">
      <c r="A77" t="str">
        <f>_xlfn.TEXTJOIN("",TRUE,Input!$B$2,ROW(My_Audit!A76))</f>
        <v>X76</v>
      </c>
      <c r="P77" t="str">
        <f t="shared" si="1"/>
        <v/>
      </c>
    </row>
    <row r="78" spans="1:16">
      <c r="A78" t="str">
        <f>_xlfn.TEXTJOIN("",TRUE,Input!$B$2,ROW(My_Audit!A77))</f>
        <v>X77</v>
      </c>
      <c r="P78" t="str">
        <f t="shared" si="1"/>
        <v/>
      </c>
    </row>
    <row r="79" spans="1:16">
      <c r="A79" t="str">
        <f>_xlfn.TEXTJOIN("",TRUE,Input!$B$2,ROW(My_Audit!A78))</f>
        <v>X78</v>
      </c>
      <c r="P79" t="str">
        <f t="shared" si="1"/>
        <v/>
      </c>
    </row>
    <row r="80" spans="1:16">
      <c r="A80" t="str">
        <f>_xlfn.TEXTJOIN("",TRUE,Input!$B$2,ROW(My_Audit!A79))</f>
        <v>X79</v>
      </c>
      <c r="P80" t="str">
        <f t="shared" si="1"/>
        <v/>
      </c>
    </row>
    <row r="81" spans="1:16">
      <c r="A81" t="str">
        <f>_xlfn.TEXTJOIN("",TRUE,Input!$B$2,ROW(My_Audit!A80))</f>
        <v>X80</v>
      </c>
      <c r="P81" t="str">
        <f t="shared" si="1"/>
        <v/>
      </c>
    </row>
    <row r="82" spans="1:16">
      <c r="A82" t="str">
        <f>_xlfn.TEXTJOIN("",TRUE,Input!$B$2,ROW(My_Audit!A81))</f>
        <v>X81</v>
      </c>
      <c r="P82" t="str">
        <f t="shared" si="1"/>
        <v/>
      </c>
    </row>
    <row r="83" spans="1:16">
      <c r="A83" t="str">
        <f>_xlfn.TEXTJOIN("",TRUE,Input!$B$2,ROW(My_Audit!A82))</f>
        <v>X82</v>
      </c>
      <c r="P83" t="str">
        <f t="shared" si="1"/>
        <v/>
      </c>
    </row>
    <row r="84" spans="1:16">
      <c r="A84" t="str">
        <f>_xlfn.TEXTJOIN("",TRUE,Input!$B$2,ROW(My_Audit!A83))</f>
        <v>X83</v>
      </c>
      <c r="P84" t="str">
        <f t="shared" si="1"/>
        <v/>
      </c>
    </row>
    <row r="85" spans="1:16">
      <c r="A85" t="str">
        <f>_xlfn.TEXTJOIN("",TRUE,Input!$B$2,ROW(My_Audit!A84))</f>
        <v>X84</v>
      </c>
      <c r="P85" t="str">
        <f t="shared" si="1"/>
        <v/>
      </c>
    </row>
    <row r="86" spans="1:16">
      <c r="A86" t="str">
        <f>_xlfn.TEXTJOIN("",TRUE,Input!$B$2,ROW(My_Audit!A85))</f>
        <v>X85</v>
      </c>
      <c r="P86" t="str">
        <f t="shared" si="1"/>
        <v/>
      </c>
    </row>
    <row r="87" spans="1:16">
      <c r="A87" t="str">
        <f>_xlfn.TEXTJOIN("",TRUE,Input!$B$2,ROW(My_Audit!A86))</f>
        <v>X86</v>
      </c>
      <c r="P87" t="str">
        <f t="shared" si="1"/>
        <v/>
      </c>
    </row>
    <row r="88" spans="1:16">
      <c r="A88" t="str">
        <f>_xlfn.TEXTJOIN("",TRUE,Input!$B$2,ROW(My_Audit!A87))</f>
        <v>X87</v>
      </c>
      <c r="P88" t="str">
        <f t="shared" si="1"/>
        <v/>
      </c>
    </row>
    <row r="89" spans="1:16">
      <c r="A89" t="str">
        <f>_xlfn.TEXTJOIN("",TRUE,Input!$B$2,ROW(My_Audit!A88))</f>
        <v>X88</v>
      </c>
      <c r="P89" t="str">
        <f t="shared" si="1"/>
        <v/>
      </c>
    </row>
    <row r="90" spans="1:16">
      <c r="A90" t="str">
        <f>_xlfn.TEXTJOIN("",TRUE,Input!$B$2,ROW(My_Audit!A89))</f>
        <v>X89</v>
      </c>
      <c r="P90" t="str">
        <f t="shared" si="1"/>
        <v/>
      </c>
    </row>
    <row r="91" spans="1:16">
      <c r="A91" t="str">
        <f>_xlfn.TEXTJOIN("",TRUE,Input!$B$2,ROW(My_Audit!A90))</f>
        <v>X90</v>
      </c>
      <c r="P91" t="str">
        <f t="shared" si="1"/>
        <v/>
      </c>
    </row>
    <row r="92" spans="1:16">
      <c r="A92" t="str">
        <f>_xlfn.TEXTJOIN("",TRUE,Input!$B$2,ROW(My_Audit!A91))</f>
        <v>X91</v>
      </c>
      <c r="P92" t="str">
        <f t="shared" si="1"/>
        <v/>
      </c>
    </row>
    <row r="93" spans="1:16">
      <c r="A93" t="str">
        <f>_xlfn.TEXTJOIN("",TRUE,Input!$B$2,ROW(My_Audit!A92))</f>
        <v>X92</v>
      </c>
      <c r="P93" t="str">
        <f t="shared" si="1"/>
        <v/>
      </c>
    </row>
    <row r="94" spans="1:16">
      <c r="A94" t="str">
        <f>_xlfn.TEXTJOIN("",TRUE,Input!$B$2,ROW(My_Audit!A93))</f>
        <v>X93</v>
      </c>
      <c r="P94" t="str">
        <f t="shared" si="1"/>
        <v/>
      </c>
    </row>
    <row r="95" spans="1:16">
      <c r="A95" t="str">
        <f>_xlfn.TEXTJOIN("",TRUE,Input!$B$2,ROW(My_Audit!A94))</f>
        <v>X94</v>
      </c>
      <c r="P95" t="str">
        <f t="shared" si="1"/>
        <v/>
      </c>
    </row>
    <row r="96" spans="1:16">
      <c r="A96" t="str">
        <f>_xlfn.TEXTJOIN("",TRUE,Input!$B$2,ROW(My_Audit!A95))</f>
        <v>X95</v>
      </c>
      <c r="P96" t="str">
        <f t="shared" si="1"/>
        <v/>
      </c>
    </row>
    <row r="97" spans="1:16">
      <c r="A97" t="str">
        <f>_xlfn.TEXTJOIN("",TRUE,Input!$B$2,ROW(My_Audit!A96))</f>
        <v>X96</v>
      </c>
      <c r="P97" t="str">
        <f t="shared" si="1"/>
        <v/>
      </c>
    </row>
    <row r="98" spans="1:16">
      <c r="A98" t="str">
        <f>_xlfn.TEXTJOIN("",TRUE,Input!$B$2,ROW(My_Audit!A97))</f>
        <v>X97</v>
      </c>
      <c r="P98" t="str">
        <f t="shared" si="1"/>
        <v/>
      </c>
    </row>
    <row r="99" spans="1:16">
      <c r="A99" t="str">
        <f>_xlfn.TEXTJOIN("",TRUE,Input!$B$2,ROW(My_Audit!A98))</f>
        <v>X98</v>
      </c>
      <c r="P99" t="str">
        <f t="shared" si="1"/>
        <v/>
      </c>
    </row>
    <row r="100" spans="1:16">
      <c r="A100" t="str">
        <f>_xlfn.TEXTJOIN("",TRUE,Input!$B$2,ROW(My_Audit!A99))</f>
        <v>X99</v>
      </c>
      <c r="P100" t="str">
        <f t="shared" si="1"/>
        <v/>
      </c>
    </row>
    <row r="101" spans="1:16">
      <c r="A101" t="str">
        <f>_xlfn.TEXTJOIN("",TRUE,Input!$B$2,ROW(My_Audit!A100))</f>
        <v>X100</v>
      </c>
      <c r="P101" t="str">
        <f t="shared" si="1"/>
        <v/>
      </c>
    </row>
    <row r="102" spans="1:16">
      <c r="A102" t="str">
        <f>_xlfn.TEXTJOIN("",TRUE,Input!$B$2,ROW(My_Audit!A101))</f>
        <v>X101</v>
      </c>
      <c r="P102" t="str">
        <f t="shared" si="1"/>
        <v/>
      </c>
    </row>
    <row r="103" spans="1:16">
      <c r="A103" t="str">
        <f>_xlfn.TEXTJOIN("",TRUE,Input!$B$2,ROW(My_Audit!A102))</f>
        <v>X102</v>
      </c>
      <c r="P103" t="str">
        <f t="shared" si="1"/>
        <v/>
      </c>
    </row>
    <row r="104" spans="1:16">
      <c r="A104" t="str">
        <f>_xlfn.TEXTJOIN("",TRUE,Input!$B$2,ROW(My_Audit!A103))</f>
        <v>X103</v>
      </c>
      <c r="P104" t="str">
        <f t="shared" si="1"/>
        <v/>
      </c>
    </row>
    <row r="105" spans="1:16">
      <c r="A105" t="str">
        <f>_xlfn.TEXTJOIN("",TRUE,Input!$B$2,ROW(My_Audit!A104))</f>
        <v>X104</v>
      </c>
      <c r="P105" t="str">
        <f t="shared" si="1"/>
        <v/>
      </c>
    </row>
    <row r="106" spans="1:16">
      <c r="A106" t="str">
        <f>_xlfn.TEXTJOIN("",TRUE,Input!$B$2,ROW(My_Audit!A105))</f>
        <v>X105</v>
      </c>
      <c r="P106" t="str">
        <f t="shared" si="1"/>
        <v/>
      </c>
    </row>
    <row r="107" spans="1:16">
      <c r="A107" t="str">
        <f>_xlfn.TEXTJOIN("",TRUE,Input!$B$2,ROW(My_Audit!A106))</f>
        <v>X106</v>
      </c>
      <c r="P107" t="str">
        <f t="shared" si="1"/>
        <v/>
      </c>
    </row>
    <row r="108" spans="1:16">
      <c r="A108" t="str">
        <f>_xlfn.TEXTJOIN("",TRUE,Input!$B$2,ROW(My_Audit!A107))</f>
        <v>X107</v>
      </c>
      <c r="P108" t="str">
        <f t="shared" si="1"/>
        <v/>
      </c>
    </row>
    <row r="109" spans="1:16">
      <c r="A109" t="str">
        <f>_xlfn.TEXTJOIN("",TRUE,Input!$B$2,ROW(My_Audit!A108))</f>
        <v>X108</v>
      </c>
      <c r="P109" t="str">
        <f t="shared" si="1"/>
        <v/>
      </c>
    </row>
    <row r="110" spans="1:16">
      <c r="A110" t="str">
        <f>_xlfn.TEXTJOIN("",TRUE,Input!$B$2,ROW(My_Audit!A109))</f>
        <v>X109</v>
      </c>
      <c r="P110" t="str">
        <f t="shared" si="1"/>
        <v/>
      </c>
    </row>
    <row r="111" spans="1:16">
      <c r="A111" t="str">
        <f>_xlfn.TEXTJOIN("",TRUE,Input!$B$2,ROW(My_Audit!A110))</f>
        <v>X110</v>
      </c>
      <c r="P111" t="str">
        <f t="shared" si="1"/>
        <v/>
      </c>
    </row>
    <row r="112" spans="1:16">
      <c r="A112" t="str">
        <f>_xlfn.TEXTJOIN("",TRUE,Input!$B$2,ROW(My_Audit!A111))</f>
        <v>X111</v>
      </c>
      <c r="P112" t="str">
        <f t="shared" si="1"/>
        <v/>
      </c>
    </row>
    <row r="113" spans="1:16">
      <c r="A113" t="str">
        <f>_xlfn.TEXTJOIN("",TRUE,Input!$B$2,ROW(My_Audit!A112))</f>
        <v>X112</v>
      </c>
      <c r="P113" t="str">
        <f t="shared" si="1"/>
        <v/>
      </c>
    </row>
    <row r="114" spans="1:16">
      <c r="A114" t="str">
        <f>_xlfn.TEXTJOIN("",TRUE,Input!$B$2,ROW(My_Audit!A113))</f>
        <v>X113</v>
      </c>
      <c r="P114" t="str">
        <f t="shared" si="1"/>
        <v/>
      </c>
    </row>
    <row r="115" spans="1:16">
      <c r="A115" t="str">
        <f>_xlfn.TEXTJOIN("",TRUE,Input!$B$2,ROW(My_Audit!A114))</f>
        <v>X114</v>
      </c>
      <c r="P115" t="str">
        <f t="shared" si="1"/>
        <v/>
      </c>
    </row>
    <row r="116" spans="1:16">
      <c r="A116" t="str">
        <f>_xlfn.TEXTJOIN("",TRUE,Input!$B$2,ROW(My_Audit!A115))</f>
        <v>X115</v>
      </c>
      <c r="P116" t="str">
        <f t="shared" si="1"/>
        <v/>
      </c>
    </row>
    <row r="117" spans="1:16">
      <c r="A117" t="str">
        <f>_xlfn.TEXTJOIN("",TRUE,Input!$B$2,ROW(My_Audit!A116))</f>
        <v>X116</v>
      </c>
      <c r="P117" t="str">
        <f t="shared" si="1"/>
        <v/>
      </c>
    </row>
    <row r="118" spans="1:16">
      <c r="A118" t="str">
        <f>_xlfn.TEXTJOIN("",TRUE,Input!$B$2,ROW(My_Audit!A117))</f>
        <v>X117</v>
      </c>
      <c r="P118" t="str">
        <f t="shared" si="1"/>
        <v/>
      </c>
    </row>
    <row r="119" spans="1:16">
      <c r="A119" t="str">
        <f>_xlfn.TEXTJOIN("",TRUE,Input!$B$2,ROW(My_Audit!A118))</f>
        <v>X118</v>
      </c>
      <c r="P119" t="str">
        <f t="shared" si="1"/>
        <v/>
      </c>
    </row>
    <row r="120" spans="1:16">
      <c r="A120" t="str">
        <f>_xlfn.TEXTJOIN("",TRUE,Input!$B$2,ROW(My_Audit!A119))</f>
        <v>X119</v>
      </c>
      <c r="P120" t="str">
        <f t="shared" si="1"/>
        <v/>
      </c>
    </row>
    <row r="121" spans="1:16">
      <c r="A121" t="str">
        <f>_xlfn.TEXTJOIN("",TRUE,Input!$B$2,ROW(My_Audit!A120))</f>
        <v>X120</v>
      </c>
      <c r="P121" t="str">
        <f t="shared" si="1"/>
        <v/>
      </c>
    </row>
    <row r="122" spans="1:16">
      <c r="A122" t="str">
        <f>_xlfn.TEXTJOIN("",TRUE,Input!$B$2,ROW(My_Audit!A121))</f>
        <v>X121</v>
      </c>
      <c r="P122" t="str">
        <f t="shared" si="1"/>
        <v/>
      </c>
    </row>
    <row r="123" spans="1:16">
      <c r="A123" t="str">
        <f>_xlfn.TEXTJOIN("",TRUE,Input!$B$2,ROW(My_Audit!A122))</f>
        <v>X122</v>
      </c>
      <c r="P123" t="str">
        <f t="shared" si="1"/>
        <v/>
      </c>
    </row>
    <row r="124" spans="1:16">
      <c r="A124" t="str">
        <f>_xlfn.TEXTJOIN("",TRUE,Input!$B$2,ROW(My_Audit!A123))</f>
        <v>X123</v>
      </c>
      <c r="P124" t="str">
        <f t="shared" si="1"/>
        <v/>
      </c>
    </row>
    <row r="125" spans="1:16">
      <c r="A125" t="str">
        <f>_xlfn.TEXTJOIN("",TRUE,Input!$B$2,ROW(My_Audit!A124))</f>
        <v>X124</v>
      </c>
      <c r="P125" t="str">
        <f t="shared" si="1"/>
        <v/>
      </c>
    </row>
    <row r="126" spans="1:16">
      <c r="A126" t="str">
        <f>_xlfn.TEXTJOIN("",TRUE,Input!$B$2,ROW(My_Audit!A125))</f>
        <v>X125</v>
      </c>
      <c r="P126" t="str">
        <f t="shared" si="1"/>
        <v/>
      </c>
    </row>
    <row r="127" spans="1:16">
      <c r="A127" t="str">
        <f>_xlfn.TEXTJOIN("",TRUE,Input!$B$2,ROW(My_Audit!A126))</f>
        <v>X126</v>
      </c>
      <c r="P127" t="str">
        <f t="shared" si="1"/>
        <v/>
      </c>
    </row>
    <row r="128" spans="1:16">
      <c r="A128" t="str">
        <f>_xlfn.TEXTJOIN("",TRUE,Input!$B$2,ROW(My_Audit!A127))</f>
        <v>X127</v>
      </c>
      <c r="P128" t="str">
        <f t="shared" si="1"/>
        <v/>
      </c>
    </row>
    <row r="129" spans="1:16">
      <c r="A129" t="str">
        <f>_xlfn.TEXTJOIN("",TRUE,Input!$B$2,ROW(My_Audit!A128))</f>
        <v>X128</v>
      </c>
      <c r="P129" t="str">
        <f t="shared" si="1"/>
        <v/>
      </c>
    </row>
    <row r="130" spans="1:16">
      <c r="A130" t="str">
        <f>_xlfn.TEXTJOIN("",TRUE,Input!$B$2,ROW(My_Audit!A129))</f>
        <v>X129</v>
      </c>
      <c r="P130" t="str">
        <f t="shared" si="1"/>
        <v/>
      </c>
    </row>
    <row r="131" spans="1:16">
      <c r="A131" t="str">
        <f>_xlfn.TEXTJOIN("",TRUE,Input!$B$2,ROW(My_Audit!A130))</f>
        <v>X130</v>
      </c>
      <c r="P131" t="str">
        <f t="shared" ref="P131:P194" si="2">_xlfn.TEXTJOIN(", ",TRUE,N131,O131)</f>
        <v/>
      </c>
    </row>
    <row r="132" spans="1:16">
      <c r="A132" t="str">
        <f>_xlfn.TEXTJOIN("",TRUE,Input!$B$2,ROW(My_Audit!A131))</f>
        <v>X131</v>
      </c>
      <c r="P132" t="str">
        <f t="shared" si="2"/>
        <v/>
      </c>
    </row>
    <row r="133" spans="1:16">
      <c r="A133" t="str">
        <f>_xlfn.TEXTJOIN("",TRUE,Input!$B$2,ROW(My_Audit!A132))</f>
        <v>X132</v>
      </c>
      <c r="P133" t="str">
        <f t="shared" si="2"/>
        <v/>
      </c>
    </row>
    <row r="134" spans="1:16">
      <c r="A134" t="str">
        <f>_xlfn.TEXTJOIN("",TRUE,Input!$B$2,ROW(My_Audit!A133))</f>
        <v>X133</v>
      </c>
      <c r="P134" t="str">
        <f t="shared" si="2"/>
        <v/>
      </c>
    </row>
    <row r="135" spans="1:16">
      <c r="A135" t="str">
        <f>_xlfn.TEXTJOIN("",TRUE,Input!$B$2,ROW(My_Audit!A134))</f>
        <v>X134</v>
      </c>
      <c r="P135" t="str">
        <f t="shared" si="2"/>
        <v/>
      </c>
    </row>
    <row r="136" spans="1:16">
      <c r="A136" t="str">
        <f>_xlfn.TEXTJOIN("",TRUE,Input!$B$2,ROW(My_Audit!A135))</f>
        <v>X135</v>
      </c>
      <c r="P136" t="str">
        <f t="shared" si="2"/>
        <v/>
      </c>
    </row>
    <row r="137" spans="1:16">
      <c r="A137" t="str">
        <f>_xlfn.TEXTJOIN("",TRUE,Input!$B$2,ROW(My_Audit!A136))</f>
        <v>X136</v>
      </c>
      <c r="P137" t="str">
        <f t="shared" si="2"/>
        <v/>
      </c>
    </row>
    <row r="138" spans="1:16">
      <c r="A138" t="str">
        <f>_xlfn.TEXTJOIN("",TRUE,Input!$B$2,ROW(My_Audit!A137))</f>
        <v>X137</v>
      </c>
      <c r="P138" t="str">
        <f t="shared" si="2"/>
        <v/>
      </c>
    </row>
    <row r="139" spans="1:16">
      <c r="A139" t="str">
        <f>_xlfn.TEXTJOIN("",TRUE,Input!$B$2,ROW(My_Audit!A138))</f>
        <v>X138</v>
      </c>
      <c r="P139" t="str">
        <f t="shared" si="2"/>
        <v/>
      </c>
    </row>
    <row r="140" spans="1:16">
      <c r="A140" t="str">
        <f>_xlfn.TEXTJOIN("",TRUE,Input!$B$2,ROW(My_Audit!A139))</f>
        <v>X139</v>
      </c>
      <c r="P140" t="str">
        <f t="shared" si="2"/>
        <v/>
      </c>
    </row>
    <row r="141" spans="1:16">
      <c r="A141" t="str">
        <f>_xlfn.TEXTJOIN("",TRUE,Input!$B$2,ROW(My_Audit!A140))</f>
        <v>X140</v>
      </c>
      <c r="P141" t="str">
        <f t="shared" si="2"/>
        <v/>
      </c>
    </row>
    <row r="142" spans="1:16">
      <c r="A142" t="str">
        <f>_xlfn.TEXTJOIN("",TRUE,Input!$B$2,ROW(My_Audit!A141))</f>
        <v>X141</v>
      </c>
      <c r="P142" t="str">
        <f t="shared" si="2"/>
        <v/>
      </c>
    </row>
    <row r="143" spans="1:16">
      <c r="A143" t="str">
        <f>_xlfn.TEXTJOIN("",TRUE,Input!$B$2,ROW(My_Audit!A142))</f>
        <v>X142</v>
      </c>
      <c r="P143" t="str">
        <f t="shared" si="2"/>
        <v/>
      </c>
    </row>
    <row r="144" spans="1:16">
      <c r="A144" t="str">
        <f>_xlfn.TEXTJOIN("",TRUE,Input!$B$2,ROW(My_Audit!A143))</f>
        <v>X143</v>
      </c>
      <c r="P144" t="str">
        <f t="shared" si="2"/>
        <v/>
      </c>
    </row>
    <row r="145" spans="1:16">
      <c r="A145" t="str">
        <f>_xlfn.TEXTJOIN("",TRUE,Input!$B$2,ROW(My_Audit!A144))</f>
        <v>X144</v>
      </c>
      <c r="P145" t="str">
        <f t="shared" si="2"/>
        <v/>
      </c>
    </row>
    <row r="146" spans="1:16">
      <c r="A146" t="str">
        <f>_xlfn.TEXTJOIN("",TRUE,Input!$B$2,ROW(My_Audit!A145))</f>
        <v>X145</v>
      </c>
      <c r="P146" t="str">
        <f t="shared" si="2"/>
        <v/>
      </c>
    </row>
    <row r="147" spans="1:16">
      <c r="A147" t="str">
        <f>_xlfn.TEXTJOIN("",TRUE,Input!$B$2,ROW(My_Audit!A146))</f>
        <v>X146</v>
      </c>
      <c r="P147" t="str">
        <f t="shared" si="2"/>
        <v/>
      </c>
    </row>
    <row r="148" spans="1:16">
      <c r="A148" t="str">
        <f>_xlfn.TEXTJOIN("",TRUE,Input!$B$2,ROW(My_Audit!A147))</f>
        <v>X147</v>
      </c>
      <c r="P148" t="str">
        <f t="shared" si="2"/>
        <v/>
      </c>
    </row>
    <row r="149" spans="1:16">
      <c r="A149" t="str">
        <f>_xlfn.TEXTJOIN("",TRUE,Input!$B$2,ROW(My_Audit!A148))</f>
        <v>X148</v>
      </c>
      <c r="P149" t="str">
        <f t="shared" si="2"/>
        <v/>
      </c>
    </row>
    <row r="150" spans="1:16">
      <c r="A150" t="str">
        <f>_xlfn.TEXTJOIN("",TRUE,Input!$B$2,ROW(My_Audit!A149))</f>
        <v>X149</v>
      </c>
      <c r="P150" t="str">
        <f t="shared" si="2"/>
        <v/>
      </c>
    </row>
    <row r="151" spans="1:16">
      <c r="A151" t="str">
        <f>_xlfn.TEXTJOIN("",TRUE,Input!$B$2,ROW(My_Audit!A150))</f>
        <v>X150</v>
      </c>
      <c r="P151" t="str">
        <f t="shared" si="2"/>
        <v/>
      </c>
    </row>
    <row r="152" spans="1:16">
      <c r="A152" t="str">
        <f>_xlfn.TEXTJOIN("",TRUE,Input!$B$2,ROW(My_Audit!A151))</f>
        <v>X151</v>
      </c>
      <c r="P152" t="str">
        <f t="shared" si="2"/>
        <v/>
      </c>
    </row>
    <row r="153" spans="1:16">
      <c r="A153" t="str">
        <f>_xlfn.TEXTJOIN("",TRUE,Input!$B$2,ROW(My_Audit!A152))</f>
        <v>X152</v>
      </c>
      <c r="P153" t="str">
        <f t="shared" si="2"/>
        <v/>
      </c>
    </row>
    <row r="154" spans="1:16">
      <c r="A154" t="str">
        <f>_xlfn.TEXTJOIN("",TRUE,Input!$B$2,ROW(My_Audit!A153))</f>
        <v>X153</v>
      </c>
      <c r="P154" t="str">
        <f t="shared" si="2"/>
        <v/>
      </c>
    </row>
    <row r="155" spans="1:16">
      <c r="A155" t="str">
        <f>_xlfn.TEXTJOIN("",TRUE,Input!$B$2,ROW(My_Audit!A154))</f>
        <v>X154</v>
      </c>
      <c r="P155" t="str">
        <f t="shared" si="2"/>
        <v/>
      </c>
    </row>
    <row r="156" spans="1:16">
      <c r="A156" t="str">
        <f>_xlfn.TEXTJOIN("",TRUE,Input!$B$2,ROW(My_Audit!A155))</f>
        <v>X155</v>
      </c>
      <c r="P156" t="str">
        <f t="shared" si="2"/>
        <v/>
      </c>
    </row>
    <row r="157" spans="1:16">
      <c r="A157" t="str">
        <f>_xlfn.TEXTJOIN("",TRUE,Input!$B$2,ROW(My_Audit!A156))</f>
        <v>X156</v>
      </c>
      <c r="P157" t="str">
        <f t="shared" si="2"/>
        <v/>
      </c>
    </row>
    <row r="158" spans="1:16">
      <c r="A158" t="str">
        <f>_xlfn.TEXTJOIN("",TRUE,Input!$B$2,ROW(My_Audit!A157))</f>
        <v>X157</v>
      </c>
      <c r="P158" t="str">
        <f t="shared" si="2"/>
        <v/>
      </c>
    </row>
    <row r="159" spans="1:16">
      <c r="A159" t="str">
        <f>_xlfn.TEXTJOIN("",TRUE,Input!$B$2,ROW(My_Audit!A158))</f>
        <v>X158</v>
      </c>
      <c r="P159" t="str">
        <f t="shared" si="2"/>
        <v/>
      </c>
    </row>
    <row r="160" spans="1:16">
      <c r="A160" t="str">
        <f>_xlfn.TEXTJOIN("",TRUE,Input!$B$2,ROW(My_Audit!A159))</f>
        <v>X159</v>
      </c>
      <c r="P160" t="str">
        <f t="shared" si="2"/>
        <v/>
      </c>
    </row>
    <row r="161" spans="1:16">
      <c r="A161" t="str">
        <f>_xlfn.TEXTJOIN("",TRUE,Input!$B$2,ROW(My_Audit!A160))</f>
        <v>X160</v>
      </c>
      <c r="P161" t="str">
        <f t="shared" si="2"/>
        <v/>
      </c>
    </row>
    <row r="162" spans="1:16">
      <c r="A162" t="str">
        <f>_xlfn.TEXTJOIN("",TRUE,Input!$B$2,ROW(My_Audit!A161))</f>
        <v>X161</v>
      </c>
      <c r="P162" t="str">
        <f t="shared" si="2"/>
        <v/>
      </c>
    </row>
    <row r="163" spans="1:16">
      <c r="A163" t="str">
        <f>_xlfn.TEXTJOIN("",TRUE,Input!$B$2,ROW(My_Audit!A162))</f>
        <v>X162</v>
      </c>
      <c r="P163" t="str">
        <f t="shared" si="2"/>
        <v/>
      </c>
    </row>
    <row r="164" spans="1:16">
      <c r="A164" t="str">
        <f>_xlfn.TEXTJOIN("",TRUE,Input!$B$2,ROW(My_Audit!A163))</f>
        <v>X163</v>
      </c>
      <c r="P164" t="str">
        <f t="shared" si="2"/>
        <v/>
      </c>
    </row>
    <row r="165" spans="1:16">
      <c r="A165" t="str">
        <f>_xlfn.TEXTJOIN("",TRUE,Input!$B$2,ROW(My_Audit!A164))</f>
        <v>X164</v>
      </c>
      <c r="P165" t="str">
        <f t="shared" si="2"/>
        <v/>
      </c>
    </row>
    <row r="166" spans="1:16">
      <c r="A166" t="str">
        <f>_xlfn.TEXTJOIN("",TRUE,Input!$B$2,ROW(My_Audit!A165))</f>
        <v>X165</v>
      </c>
      <c r="P166" t="str">
        <f t="shared" si="2"/>
        <v/>
      </c>
    </row>
    <row r="167" spans="1:16">
      <c r="A167" t="str">
        <f>_xlfn.TEXTJOIN("",TRUE,Input!$B$2,ROW(My_Audit!A166))</f>
        <v>X166</v>
      </c>
      <c r="P167" t="str">
        <f t="shared" si="2"/>
        <v/>
      </c>
    </row>
    <row r="168" spans="1:16">
      <c r="A168" t="str">
        <f>_xlfn.TEXTJOIN("",TRUE,Input!$B$2,ROW(My_Audit!A167))</f>
        <v>X167</v>
      </c>
      <c r="P168" t="str">
        <f t="shared" si="2"/>
        <v/>
      </c>
    </row>
    <row r="169" spans="1:16">
      <c r="A169" t="str">
        <f>_xlfn.TEXTJOIN("",TRUE,Input!$B$2,ROW(My_Audit!A168))</f>
        <v>X168</v>
      </c>
      <c r="P169" t="str">
        <f t="shared" si="2"/>
        <v/>
      </c>
    </row>
    <row r="170" spans="1:16">
      <c r="A170" t="str">
        <f>_xlfn.TEXTJOIN("",TRUE,Input!$B$2,ROW(My_Audit!A169))</f>
        <v>X169</v>
      </c>
      <c r="P170" t="str">
        <f t="shared" si="2"/>
        <v/>
      </c>
    </row>
    <row r="171" spans="1:16">
      <c r="A171" t="str">
        <f>_xlfn.TEXTJOIN("",TRUE,Input!$B$2,ROW(My_Audit!A170))</f>
        <v>X170</v>
      </c>
      <c r="P171" t="str">
        <f t="shared" si="2"/>
        <v/>
      </c>
    </row>
    <row r="172" spans="1:16">
      <c r="A172" t="str">
        <f>_xlfn.TEXTJOIN("",TRUE,Input!$B$2,ROW(My_Audit!A171))</f>
        <v>X171</v>
      </c>
      <c r="P172" t="str">
        <f t="shared" si="2"/>
        <v/>
      </c>
    </row>
    <row r="173" spans="1:16">
      <c r="A173" t="str">
        <f>_xlfn.TEXTJOIN("",TRUE,Input!$B$2,ROW(My_Audit!A172))</f>
        <v>X172</v>
      </c>
      <c r="P173" t="str">
        <f t="shared" si="2"/>
        <v/>
      </c>
    </row>
    <row r="174" spans="1:16">
      <c r="A174" t="str">
        <f>_xlfn.TEXTJOIN("",TRUE,Input!$B$2,ROW(My_Audit!A173))</f>
        <v>X173</v>
      </c>
      <c r="P174" t="str">
        <f t="shared" si="2"/>
        <v/>
      </c>
    </row>
    <row r="175" spans="1:16">
      <c r="A175" t="str">
        <f>_xlfn.TEXTJOIN("",TRUE,Input!$B$2,ROW(My_Audit!A174))</f>
        <v>X174</v>
      </c>
      <c r="P175" t="str">
        <f t="shared" si="2"/>
        <v/>
      </c>
    </row>
    <row r="176" spans="1:16">
      <c r="A176" t="str">
        <f>_xlfn.TEXTJOIN("",TRUE,Input!$B$2,ROW(My_Audit!A175))</f>
        <v>X175</v>
      </c>
      <c r="P176" t="str">
        <f t="shared" si="2"/>
        <v/>
      </c>
    </row>
    <row r="177" spans="1:16">
      <c r="A177" t="str">
        <f>_xlfn.TEXTJOIN("",TRUE,Input!$B$2,ROW(My_Audit!A176))</f>
        <v>X176</v>
      </c>
      <c r="P177" t="str">
        <f t="shared" si="2"/>
        <v/>
      </c>
    </row>
    <row r="178" spans="1:16">
      <c r="A178" t="str">
        <f>_xlfn.TEXTJOIN("",TRUE,Input!$B$2,ROW(My_Audit!A177))</f>
        <v>X177</v>
      </c>
      <c r="P178" t="str">
        <f t="shared" si="2"/>
        <v/>
      </c>
    </row>
    <row r="179" spans="1:16">
      <c r="A179" t="str">
        <f>_xlfn.TEXTJOIN("",TRUE,Input!$B$2,ROW(My_Audit!A178))</f>
        <v>X178</v>
      </c>
      <c r="P179" t="str">
        <f t="shared" si="2"/>
        <v/>
      </c>
    </row>
    <row r="180" spans="1:16">
      <c r="A180" t="str">
        <f>_xlfn.TEXTJOIN("",TRUE,Input!$B$2,ROW(My_Audit!A179))</f>
        <v>X179</v>
      </c>
      <c r="P180" t="str">
        <f t="shared" si="2"/>
        <v/>
      </c>
    </row>
    <row r="181" spans="1:16">
      <c r="A181" t="str">
        <f>_xlfn.TEXTJOIN("",TRUE,Input!$B$2,ROW(My_Audit!A180))</f>
        <v>X180</v>
      </c>
      <c r="P181" t="str">
        <f t="shared" si="2"/>
        <v/>
      </c>
    </row>
    <row r="182" spans="1:16">
      <c r="A182" t="str">
        <f>_xlfn.TEXTJOIN("",TRUE,Input!$B$2,ROW(My_Audit!A181))</f>
        <v>X181</v>
      </c>
      <c r="P182" t="str">
        <f t="shared" si="2"/>
        <v/>
      </c>
    </row>
    <row r="183" spans="1:16">
      <c r="A183" t="str">
        <f>_xlfn.TEXTJOIN("",TRUE,Input!$B$2,ROW(My_Audit!A182))</f>
        <v>X182</v>
      </c>
      <c r="P183" t="str">
        <f t="shared" si="2"/>
        <v/>
      </c>
    </row>
    <row r="184" spans="1:16">
      <c r="A184" t="str">
        <f>_xlfn.TEXTJOIN("",TRUE,Input!$B$2,ROW(My_Audit!A183))</f>
        <v>X183</v>
      </c>
      <c r="P184" t="str">
        <f t="shared" si="2"/>
        <v/>
      </c>
    </row>
    <row r="185" spans="1:16">
      <c r="A185" t="str">
        <f>_xlfn.TEXTJOIN("",TRUE,Input!$B$2,ROW(My_Audit!A184))</f>
        <v>X184</v>
      </c>
      <c r="P185" t="str">
        <f t="shared" si="2"/>
        <v/>
      </c>
    </row>
    <row r="186" spans="1:16">
      <c r="A186" t="str">
        <f>_xlfn.TEXTJOIN("",TRUE,Input!$B$2,ROW(My_Audit!A185))</f>
        <v>X185</v>
      </c>
      <c r="P186" t="str">
        <f t="shared" si="2"/>
        <v/>
      </c>
    </row>
    <row r="187" spans="1:16">
      <c r="A187" t="str">
        <f>_xlfn.TEXTJOIN("",TRUE,Input!$B$2,ROW(My_Audit!A186))</f>
        <v>X186</v>
      </c>
      <c r="P187" t="str">
        <f t="shared" si="2"/>
        <v/>
      </c>
    </row>
    <row r="188" spans="1:16">
      <c r="A188" t="str">
        <f>_xlfn.TEXTJOIN("",TRUE,Input!$B$2,ROW(My_Audit!A187))</f>
        <v>X187</v>
      </c>
      <c r="P188" t="str">
        <f t="shared" si="2"/>
        <v/>
      </c>
    </row>
    <row r="189" spans="1:16">
      <c r="A189" t="str">
        <f>_xlfn.TEXTJOIN("",TRUE,Input!$B$2,ROW(My_Audit!A188))</f>
        <v>X188</v>
      </c>
      <c r="P189" t="str">
        <f t="shared" si="2"/>
        <v/>
      </c>
    </row>
    <row r="190" spans="1:16">
      <c r="A190" t="str">
        <f>_xlfn.TEXTJOIN("",TRUE,Input!$B$2,ROW(My_Audit!A189))</f>
        <v>X189</v>
      </c>
      <c r="P190" t="str">
        <f t="shared" si="2"/>
        <v/>
      </c>
    </row>
    <row r="191" spans="1:16">
      <c r="P191" t="str">
        <f t="shared" si="2"/>
        <v/>
      </c>
    </row>
    <row r="192" spans="1:16">
      <c r="P192" t="str">
        <f t="shared" si="2"/>
        <v/>
      </c>
    </row>
    <row r="193" spans="16:16">
      <c r="P193" t="str">
        <f t="shared" si="2"/>
        <v/>
      </c>
    </row>
    <row r="194" spans="16:16">
      <c r="P194" t="str">
        <f t="shared" si="2"/>
        <v/>
      </c>
    </row>
    <row r="195" spans="16:16">
      <c r="P195" t="str">
        <f t="shared" ref="P195:P258" si="3">_xlfn.TEXTJOIN(", ",TRUE,N195,O195)</f>
        <v/>
      </c>
    </row>
    <row r="196" spans="16:16">
      <c r="P196" t="str">
        <f t="shared" si="3"/>
        <v/>
      </c>
    </row>
    <row r="197" spans="16:16">
      <c r="P197" t="str">
        <f t="shared" si="3"/>
        <v/>
      </c>
    </row>
    <row r="198" spans="16:16">
      <c r="P198" t="str">
        <f t="shared" si="3"/>
        <v/>
      </c>
    </row>
    <row r="199" spans="16:16">
      <c r="P199" t="str">
        <f t="shared" si="3"/>
        <v/>
      </c>
    </row>
    <row r="200" spans="16:16">
      <c r="P200" t="str">
        <f t="shared" si="3"/>
        <v/>
      </c>
    </row>
    <row r="201" spans="16:16">
      <c r="P201" t="str">
        <f t="shared" si="3"/>
        <v/>
      </c>
    </row>
    <row r="202" spans="16:16">
      <c r="P202" t="str">
        <f t="shared" si="3"/>
        <v/>
      </c>
    </row>
    <row r="203" spans="16:16">
      <c r="P203" t="str">
        <f t="shared" si="3"/>
        <v/>
      </c>
    </row>
    <row r="204" spans="16:16">
      <c r="P204" t="str">
        <f t="shared" si="3"/>
        <v/>
      </c>
    </row>
    <row r="205" spans="16:16">
      <c r="P205" t="str">
        <f t="shared" si="3"/>
        <v/>
      </c>
    </row>
    <row r="206" spans="16:16">
      <c r="P206" t="str">
        <f t="shared" si="3"/>
        <v/>
      </c>
    </row>
    <row r="207" spans="16:16">
      <c r="P207" t="str">
        <f t="shared" si="3"/>
        <v/>
      </c>
    </row>
    <row r="208" spans="16:16">
      <c r="P208" t="str">
        <f t="shared" si="3"/>
        <v/>
      </c>
    </row>
    <row r="209" spans="16:16">
      <c r="P209" t="str">
        <f t="shared" si="3"/>
        <v/>
      </c>
    </row>
    <row r="210" spans="16:16">
      <c r="P210" t="str">
        <f t="shared" si="3"/>
        <v/>
      </c>
    </row>
    <row r="211" spans="16:16">
      <c r="P211" t="str">
        <f t="shared" si="3"/>
        <v/>
      </c>
    </row>
    <row r="212" spans="16:16">
      <c r="P212" t="str">
        <f t="shared" si="3"/>
        <v/>
      </c>
    </row>
    <row r="213" spans="16:16">
      <c r="P213" t="str">
        <f t="shared" si="3"/>
        <v/>
      </c>
    </row>
    <row r="214" spans="16:16">
      <c r="P214" t="str">
        <f t="shared" si="3"/>
        <v/>
      </c>
    </row>
    <row r="215" spans="16:16">
      <c r="P215" t="str">
        <f t="shared" si="3"/>
        <v/>
      </c>
    </row>
    <row r="216" spans="16:16">
      <c r="P216" t="str">
        <f t="shared" si="3"/>
        <v/>
      </c>
    </row>
    <row r="217" spans="16:16">
      <c r="P217" t="str">
        <f t="shared" si="3"/>
        <v/>
      </c>
    </row>
    <row r="218" spans="16:16">
      <c r="P218" t="str">
        <f t="shared" si="3"/>
        <v/>
      </c>
    </row>
    <row r="219" spans="16:16">
      <c r="P219" t="str">
        <f t="shared" si="3"/>
        <v/>
      </c>
    </row>
    <row r="220" spans="16:16">
      <c r="P220" t="str">
        <f t="shared" si="3"/>
        <v/>
      </c>
    </row>
    <row r="221" spans="16:16">
      <c r="P221" t="str">
        <f t="shared" si="3"/>
        <v/>
      </c>
    </row>
    <row r="222" spans="16:16">
      <c r="P222" t="str">
        <f t="shared" si="3"/>
        <v/>
      </c>
    </row>
    <row r="223" spans="16:16">
      <c r="P223" t="str">
        <f t="shared" si="3"/>
        <v/>
      </c>
    </row>
    <row r="224" spans="16:16">
      <c r="P224" t="str">
        <f t="shared" si="3"/>
        <v/>
      </c>
    </row>
    <row r="225" spans="16:16">
      <c r="P225" t="str">
        <f t="shared" si="3"/>
        <v/>
      </c>
    </row>
    <row r="226" spans="16:16">
      <c r="P226" t="str">
        <f t="shared" si="3"/>
        <v/>
      </c>
    </row>
    <row r="227" spans="16:16">
      <c r="P227" t="str">
        <f t="shared" si="3"/>
        <v/>
      </c>
    </row>
    <row r="228" spans="16:16">
      <c r="P228" t="str">
        <f t="shared" si="3"/>
        <v/>
      </c>
    </row>
    <row r="229" spans="16:16">
      <c r="P229" t="str">
        <f t="shared" si="3"/>
        <v/>
      </c>
    </row>
    <row r="230" spans="16:16">
      <c r="P230" t="str">
        <f t="shared" si="3"/>
        <v/>
      </c>
    </row>
    <row r="231" spans="16:16">
      <c r="P231" t="str">
        <f t="shared" si="3"/>
        <v/>
      </c>
    </row>
    <row r="232" spans="16:16">
      <c r="P232" t="str">
        <f t="shared" si="3"/>
        <v/>
      </c>
    </row>
    <row r="233" spans="16:16">
      <c r="P233" t="str">
        <f t="shared" si="3"/>
        <v/>
      </c>
    </row>
    <row r="234" spans="16:16">
      <c r="P234" t="str">
        <f t="shared" si="3"/>
        <v/>
      </c>
    </row>
    <row r="235" spans="16:16">
      <c r="P235" t="str">
        <f t="shared" si="3"/>
        <v/>
      </c>
    </row>
    <row r="236" spans="16:16">
      <c r="P236" t="str">
        <f t="shared" si="3"/>
        <v/>
      </c>
    </row>
    <row r="237" spans="16:16">
      <c r="P237" t="str">
        <f t="shared" si="3"/>
        <v/>
      </c>
    </row>
    <row r="238" spans="16:16">
      <c r="P238" t="str">
        <f t="shared" si="3"/>
        <v/>
      </c>
    </row>
    <row r="239" spans="16:16">
      <c r="P239" t="str">
        <f t="shared" si="3"/>
        <v/>
      </c>
    </row>
    <row r="240" spans="16:16">
      <c r="P240" t="str">
        <f t="shared" si="3"/>
        <v/>
      </c>
    </row>
    <row r="241" spans="16:16">
      <c r="P241" t="str">
        <f t="shared" si="3"/>
        <v/>
      </c>
    </row>
    <row r="242" spans="16:16">
      <c r="P242" t="str">
        <f t="shared" si="3"/>
        <v/>
      </c>
    </row>
    <row r="243" spans="16:16">
      <c r="P243" t="str">
        <f t="shared" si="3"/>
        <v/>
      </c>
    </row>
    <row r="244" spans="16:16">
      <c r="P244" t="str">
        <f t="shared" si="3"/>
        <v/>
      </c>
    </row>
    <row r="245" spans="16:16">
      <c r="P245" t="str">
        <f t="shared" si="3"/>
        <v/>
      </c>
    </row>
    <row r="246" spans="16:16">
      <c r="P246" t="str">
        <f t="shared" si="3"/>
        <v/>
      </c>
    </row>
    <row r="247" spans="16:16">
      <c r="P247" t="str">
        <f t="shared" si="3"/>
        <v/>
      </c>
    </row>
    <row r="248" spans="16:16">
      <c r="P248" t="str">
        <f t="shared" si="3"/>
        <v/>
      </c>
    </row>
    <row r="249" spans="16:16">
      <c r="P249" t="str">
        <f t="shared" si="3"/>
        <v/>
      </c>
    </row>
    <row r="250" spans="16:16">
      <c r="P250" t="str">
        <f t="shared" si="3"/>
        <v/>
      </c>
    </row>
    <row r="251" spans="16:16">
      <c r="P251" t="str">
        <f t="shared" si="3"/>
        <v/>
      </c>
    </row>
    <row r="252" spans="16:16">
      <c r="P252" t="str">
        <f t="shared" si="3"/>
        <v/>
      </c>
    </row>
    <row r="253" spans="16:16">
      <c r="P253" t="str">
        <f t="shared" si="3"/>
        <v/>
      </c>
    </row>
    <row r="254" spans="16:16">
      <c r="P254" t="str">
        <f t="shared" si="3"/>
        <v/>
      </c>
    </row>
    <row r="255" spans="16:16">
      <c r="P255" t="str">
        <f t="shared" si="3"/>
        <v/>
      </c>
    </row>
    <row r="256" spans="16:16">
      <c r="P256" t="str">
        <f t="shared" si="3"/>
        <v/>
      </c>
    </row>
    <row r="257" spans="16:16">
      <c r="P257" t="str">
        <f t="shared" si="3"/>
        <v/>
      </c>
    </row>
    <row r="258" spans="16:16">
      <c r="P258" t="str">
        <f t="shared" si="3"/>
        <v/>
      </c>
    </row>
    <row r="259" spans="16:16">
      <c r="P259" t="str">
        <f t="shared" ref="P259:P322" si="4">_xlfn.TEXTJOIN(", ",TRUE,N259,O259)</f>
        <v/>
      </c>
    </row>
    <row r="260" spans="16:16">
      <c r="P260" t="str">
        <f t="shared" si="4"/>
        <v/>
      </c>
    </row>
    <row r="261" spans="16:16">
      <c r="P261" t="str">
        <f t="shared" si="4"/>
        <v/>
      </c>
    </row>
    <row r="262" spans="16:16">
      <c r="P262" t="str">
        <f t="shared" si="4"/>
        <v/>
      </c>
    </row>
    <row r="263" spans="16:16">
      <c r="P263" t="str">
        <f t="shared" si="4"/>
        <v/>
      </c>
    </row>
    <row r="264" spans="16:16">
      <c r="P264" t="str">
        <f t="shared" si="4"/>
        <v/>
      </c>
    </row>
    <row r="265" spans="16:16">
      <c r="P265" t="str">
        <f t="shared" si="4"/>
        <v/>
      </c>
    </row>
    <row r="266" spans="16:16">
      <c r="P266" t="str">
        <f t="shared" si="4"/>
        <v/>
      </c>
    </row>
    <row r="267" spans="16:16">
      <c r="P267" t="str">
        <f t="shared" si="4"/>
        <v/>
      </c>
    </row>
    <row r="268" spans="16:16">
      <c r="P268" t="str">
        <f t="shared" si="4"/>
        <v/>
      </c>
    </row>
    <row r="269" spans="16:16">
      <c r="P269" t="str">
        <f t="shared" si="4"/>
        <v/>
      </c>
    </row>
    <row r="270" spans="16:16">
      <c r="P270" t="str">
        <f t="shared" si="4"/>
        <v/>
      </c>
    </row>
    <row r="271" spans="16:16">
      <c r="P271" t="str">
        <f t="shared" si="4"/>
        <v/>
      </c>
    </row>
    <row r="272" spans="16:16">
      <c r="P272" t="str">
        <f t="shared" si="4"/>
        <v/>
      </c>
    </row>
    <row r="273" spans="16:16">
      <c r="P273" t="str">
        <f t="shared" si="4"/>
        <v/>
      </c>
    </row>
    <row r="274" spans="16:16">
      <c r="P274" t="str">
        <f t="shared" si="4"/>
        <v/>
      </c>
    </row>
    <row r="275" spans="16:16">
      <c r="P275" t="str">
        <f t="shared" si="4"/>
        <v/>
      </c>
    </row>
    <row r="276" spans="16:16">
      <c r="P276" t="str">
        <f t="shared" si="4"/>
        <v/>
      </c>
    </row>
    <row r="277" spans="16:16">
      <c r="P277" t="str">
        <f t="shared" si="4"/>
        <v/>
      </c>
    </row>
    <row r="278" spans="16:16">
      <c r="P278" t="str">
        <f t="shared" si="4"/>
        <v/>
      </c>
    </row>
    <row r="279" spans="16:16">
      <c r="P279" t="str">
        <f t="shared" si="4"/>
        <v/>
      </c>
    </row>
    <row r="280" spans="16:16">
      <c r="P280" t="str">
        <f t="shared" si="4"/>
        <v/>
      </c>
    </row>
    <row r="281" spans="16:16">
      <c r="P281" t="str">
        <f t="shared" si="4"/>
        <v/>
      </c>
    </row>
    <row r="282" spans="16:16">
      <c r="P282" t="str">
        <f t="shared" si="4"/>
        <v/>
      </c>
    </row>
    <row r="283" spans="16:16">
      <c r="P283" t="str">
        <f t="shared" si="4"/>
        <v/>
      </c>
    </row>
    <row r="284" spans="16:16">
      <c r="P284" t="str">
        <f t="shared" si="4"/>
        <v/>
      </c>
    </row>
    <row r="285" spans="16:16">
      <c r="P285" t="str">
        <f t="shared" si="4"/>
        <v/>
      </c>
    </row>
    <row r="286" spans="16:16">
      <c r="P286" t="str">
        <f t="shared" si="4"/>
        <v/>
      </c>
    </row>
    <row r="287" spans="16:16">
      <c r="P287" t="str">
        <f t="shared" si="4"/>
        <v/>
      </c>
    </row>
    <row r="288" spans="16:16">
      <c r="P288" t="str">
        <f t="shared" si="4"/>
        <v/>
      </c>
    </row>
    <row r="289" spans="16:16">
      <c r="P289" t="str">
        <f t="shared" si="4"/>
        <v/>
      </c>
    </row>
    <row r="290" spans="16:16">
      <c r="P290" t="str">
        <f t="shared" si="4"/>
        <v/>
      </c>
    </row>
    <row r="291" spans="16:16">
      <c r="P291" t="str">
        <f t="shared" si="4"/>
        <v/>
      </c>
    </row>
    <row r="292" spans="16:16">
      <c r="P292" t="str">
        <f t="shared" si="4"/>
        <v/>
      </c>
    </row>
    <row r="293" spans="16:16">
      <c r="P293" t="str">
        <f t="shared" si="4"/>
        <v/>
      </c>
    </row>
    <row r="294" spans="16:16">
      <c r="P294" t="str">
        <f t="shared" si="4"/>
        <v/>
      </c>
    </row>
    <row r="295" spans="16:16">
      <c r="P295" t="str">
        <f t="shared" si="4"/>
        <v/>
      </c>
    </row>
    <row r="296" spans="16:16">
      <c r="P296" t="str">
        <f t="shared" si="4"/>
        <v/>
      </c>
    </row>
    <row r="297" spans="16:16">
      <c r="P297" t="str">
        <f t="shared" si="4"/>
        <v/>
      </c>
    </row>
    <row r="298" spans="16:16">
      <c r="P298" t="str">
        <f t="shared" si="4"/>
        <v/>
      </c>
    </row>
    <row r="299" spans="16:16">
      <c r="P299" t="str">
        <f t="shared" si="4"/>
        <v/>
      </c>
    </row>
    <row r="300" spans="16:16">
      <c r="P300" t="str">
        <f t="shared" si="4"/>
        <v/>
      </c>
    </row>
    <row r="301" spans="16:16">
      <c r="P301" t="str">
        <f t="shared" si="4"/>
        <v/>
      </c>
    </row>
    <row r="302" spans="16:16">
      <c r="P302" t="str">
        <f t="shared" si="4"/>
        <v/>
      </c>
    </row>
    <row r="303" spans="16:16">
      <c r="P303" t="str">
        <f t="shared" si="4"/>
        <v/>
      </c>
    </row>
    <row r="304" spans="16:16">
      <c r="P304" t="str">
        <f t="shared" si="4"/>
        <v/>
      </c>
    </row>
    <row r="305" spans="16:16">
      <c r="P305" t="str">
        <f t="shared" si="4"/>
        <v/>
      </c>
    </row>
    <row r="306" spans="16:16">
      <c r="P306" t="str">
        <f t="shared" si="4"/>
        <v/>
      </c>
    </row>
    <row r="307" spans="16:16">
      <c r="P307" t="str">
        <f t="shared" si="4"/>
        <v/>
      </c>
    </row>
    <row r="308" spans="16:16">
      <c r="P308" t="str">
        <f t="shared" si="4"/>
        <v/>
      </c>
    </row>
    <row r="309" spans="16:16">
      <c r="P309" t="str">
        <f t="shared" si="4"/>
        <v/>
      </c>
    </row>
    <row r="310" spans="16:16">
      <c r="P310" t="str">
        <f t="shared" si="4"/>
        <v/>
      </c>
    </row>
    <row r="311" spans="16:16">
      <c r="P311" t="str">
        <f t="shared" si="4"/>
        <v/>
      </c>
    </row>
    <row r="312" spans="16:16">
      <c r="P312" t="str">
        <f t="shared" si="4"/>
        <v/>
      </c>
    </row>
    <row r="313" spans="16:16">
      <c r="P313" t="str">
        <f t="shared" si="4"/>
        <v/>
      </c>
    </row>
    <row r="314" spans="16:16">
      <c r="P314" t="str">
        <f t="shared" si="4"/>
        <v/>
      </c>
    </row>
    <row r="315" spans="16:16">
      <c r="P315" t="str">
        <f t="shared" si="4"/>
        <v/>
      </c>
    </row>
    <row r="316" spans="16:16">
      <c r="P316" t="str">
        <f t="shared" si="4"/>
        <v/>
      </c>
    </row>
    <row r="317" spans="16:16">
      <c r="P317" t="str">
        <f t="shared" si="4"/>
        <v/>
      </c>
    </row>
    <row r="318" spans="16:16">
      <c r="P318" t="str">
        <f t="shared" si="4"/>
        <v/>
      </c>
    </row>
    <row r="319" spans="16:16">
      <c r="P319" t="str">
        <f t="shared" si="4"/>
        <v/>
      </c>
    </row>
    <row r="320" spans="16:16">
      <c r="P320" t="str">
        <f t="shared" si="4"/>
        <v/>
      </c>
    </row>
    <row r="321" spans="16:16">
      <c r="P321" t="str">
        <f t="shared" si="4"/>
        <v/>
      </c>
    </row>
    <row r="322" spans="16:16">
      <c r="P322" t="str">
        <f t="shared" si="4"/>
        <v/>
      </c>
    </row>
    <row r="323" spans="16:16">
      <c r="P323" t="str">
        <f t="shared" ref="P323:P386" si="5">_xlfn.TEXTJOIN(", ",TRUE,N323,O323)</f>
        <v/>
      </c>
    </row>
    <row r="324" spans="16:16">
      <c r="P324" t="str">
        <f t="shared" si="5"/>
        <v/>
      </c>
    </row>
    <row r="325" spans="16:16">
      <c r="P325" t="str">
        <f t="shared" si="5"/>
        <v/>
      </c>
    </row>
    <row r="326" spans="16:16">
      <c r="P326" t="str">
        <f t="shared" si="5"/>
        <v/>
      </c>
    </row>
    <row r="327" spans="16:16">
      <c r="P327" t="str">
        <f t="shared" si="5"/>
        <v/>
      </c>
    </row>
    <row r="328" spans="16:16">
      <c r="P328" t="str">
        <f t="shared" si="5"/>
        <v/>
      </c>
    </row>
    <row r="329" spans="16:16">
      <c r="P329" t="str">
        <f t="shared" si="5"/>
        <v/>
      </c>
    </row>
    <row r="330" spans="16:16">
      <c r="P330" t="str">
        <f t="shared" si="5"/>
        <v/>
      </c>
    </row>
    <row r="331" spans="16:16">
      <c r="P331" t="str">
        <f t="shared" si="5"/>
        <v/>
      </c>
    </row>
    <row r="332" spans="16:16">
      <c r="P332" t="str">
        <f t="shared" si="5"/>
        <v/>
      </c>
    </row>
    <row r="333" spans="16:16">
      <c r="P333" t="str">
        <f t="shared" si="5"/>
        <v/>
      </c>
    </row>
    <row r="334" spans="16:16">
      <c r="P334" t="str">
        <f t="shared" si="5"/>
        <v/>
      </c>
    </row>
    <row r="335" spans="16:16">
      <c r="P335" t="str">
        <f t="shared" si="5"/>
        <v/>
      </c>
    </row>
    <row r="336" spans="16:16">
      <c r="P336" t="str">
        <f t="shared" si="5"/>
        <v/>
      </c>
    </row>
    <row r="337" spans="16:16">
      <c r="P337" t="str">
        <f t="shared" si="5"/>
        <v/>
      </c>
    </row>
    <row r="338" spans="16:16">
      <c r="P338" t="str">
        <f t="shared" si="5"/>
        <v/>
      </c>
    </row>
    <row r="339" spans="16:16">
      <c r="P339" t="str">
        <f t="shared" si="5"/>
        <v/>
      </c>
    </row>
    <row r="340" spans="16:16">
      <c r="P340" t="str">
        <f t="shared" si="5"/>
        <v/>
      </c>
    </row>
    <row r="341" spans="16:16">
      <c r="P341" t="str">
        <f t="shared" si="5"/>
        <v/>
      </c>
    </row>
    <row r="342" spans="16:16">
      <c r="P342" t="str">
        <f t="shared" si="5"/>
        <v/>
      </c>
    </row>
    <row r="343" spans="16:16">
      <c r="P343" t="str">
        <f t="shared" si="5"/>
        <v/>
      </c>
    </row>
    <row r="344" spans="16:16">
      <c r="P344" t="str">
        <f t="shared" si="5"/>
        <v/>
      </c>
    </row>
    <row r="345" spans="16:16">
      <c r="P345" t="str">
        <f t="shared" si="5"/>
        <v/>
      </c>
    </row>
    <row r="346" spans="16:16">
      <c r="P346" t="str">
        <f t="shared" si="5"/>
        <v/>
      </c>
    </row>
    <row r="347" spans="16:16">
      <c r="P347" t="str">
        <f t="shared" si="5"/>
        <v/>
      </c>
    </row>
    <row r="348" spans="16:16">
      <c r="P348" t="str">
        <f t="shared" si="5"/>
        <v/>
      </c>
    </row>
    <row r="349" spans="16:16">
      <c r="P349" t="str">
        <f t="shared" si="5"/>
        <v/>
      </c>
    </row>
    <row r="350" spans="16:16">
      <c r="P350" t="str">
        <f t="shared" si="5"/>
        <v/>
      </c>
    </row>
    <row r="351" spans="16:16">
      <c r="P351" t="str">
        <f t="shared" si="5"/>
        <v/>
      </c>
    </row>
    <row r="352" spans="16:16">
      <c r="P352" t="str">
        <f t="shared" si="5"/>
        <v/>
      </c>
    </row>
    <row r="353" spans="16:16">
      <c r="P353" t="str">
        <f t="shared" si="5"/>
        <v/>
      </c>
    </row>
    <row r="354" spans="16:16">
      <c r="P354" t="str">
        <f t="shared" si="5"/>
        <v/>
      </c>
    </row>
    <row r="355" spans="16:16">
      <c r="P355" t="str">
        <f t="shared" si="5"/>
        <v/>
      </c>
    </row>
    <row r="356" spans="16:16">
      <c r="P356" t="str">
        <f t="shared" si="5"/>
        <v/>
      </c>
    </row>
    <row r="357" spans="16:16">
      <c r="P357" t="str">
        <f t="shared" si="5"/>
        <v/>
      </c>
    </row>
    <row r="358" spans="16:16">
      <c r="P358" t="str">
        <f t="shared" si="5"/>
        <v/>
      </c>
    </row>
    <row r="359" spans="16:16">
      <c r="P359" t="str">
        <f t="shared" si="5"/>
        <v/>
      </c>
    </row>
    <row r="360" spans="16:16">
      <c r="P360" t="str">
        <f t="shared" si="5"/>
        <v/>
      </c>
    </row>
    <row r="361" spans="16:16">
      <c r="P361" t="str">
        <f t="shared" si="5"/>
        <v/>
      </c>
    </row>
    <row r="362" spans="16:16">
      <c r="P362" t="str">
        <f t="shared" si="5"/>
        <v/>
      </c>
    </row>
    <row r="363" spans="16:16">
      <c r="P363" t="str">
        <f t="shared" si="5"/>
        <v/>
      </c>
    </row>
    <row r="364" spans="16:16">
      <c r="P364" t="str">
        <f t="shared" si="5"/>
        <v/>
      </c>
    </row>
    <row r="365" spans="16:16">
      <c r="P365" t="str">
        <f t="shared" si="5"/>
        <v/>
      </c>
    </row>
    <row r="366" spans="16:16">
      <c r="P366" t="str">
        <f t="shared" si="5"/>
        <v/>
      </c>
    </row>
    <row r="367" spans="16:16">
      <c r="P367" t="str">
        <f t="shared" si="5"/>
        <v/>
      </c>
    </row>
    <row r="368" spans="16:16">
      <c r="P368" t="str">
        <f t="shared" si="5"/>
        <v/>
      </c>
    </row>
    <row r="369" spans="16:16">
      <c r="P369" t="str">
        <f t="shared" si="5"/>
        <v/>
      </c>
    </row>
    <row r="370" spans="16:16">
      <c r="P370" t="str">
        <f t="shared" si="5"/>
        <v/>
      </c>
    </row>
    <row r="371" spans="16:16">
      <c r="P371" t="str">
        <f t="shared" si="5"/>
        <v/>
      </c>
    </row>
    <row r="372" spans="16:16">
      <c r="P372" t="str">
        <f t="shared" si="5"/>
        <v/>
      </c>
    </row>
    <row r="373" spans="16:16">
      <c r="P373" t="str">
        <f t="shared" si="5"/>
        <v/>
      </c>
    </row>
    <row r="374" spans="16:16">
      <c r="P374" t="str">
        <f t="shared" si="5"/>
        <v/>
      </c>
    </row>
    <row r="375" spans="16:16">
      <c r="P375" t="str">
        <f t="shared" si="5"/>
        <v/>
      </c>
    </row>
    <row r="376" spans="16:16">
      <c r="P376" t="str">
        <f t="shared" si="5"/>
        <v/>
      </c>
    </row>
    <row r="377" spans="16:16">
      <c r="P377" t="str">
        <f t="shared" si="5"/>
        <v/>
      </c>
    </row>
    <row r="378" spans="16:16">
      <c r="P378" t="str">
        <f t="shared" si="5"/>
        <v/>
      </c>
    </row>
    <row r="379" spans="16:16">
      <c r="P379" t="str">
        <f t="shared" si="5"/>
        <v/>
      </c>
    </row>
    <row r="380" spans="16:16">
      <c r="P380" t="str">
        <f t="shared" si="5"/>
        <v/>
      </c>
    </row>
    <row r="381" spans="16:16">
      <c r="P381" t="str">
        <f t="shared" si="5"/>
        <v/>
      </c>
    </row>
    <row r="382" spans="16:16">
      <c r="P382" t="str">
        <f t="shared" si="5"/>
        <v/>
      </c>
    </row>
    <row r="383" spans="16:16">
      <c r="P383" t="str">
        <f t="shared" si="5"/>
        <v/>
      </c>
    </row>
    <row r="384" spans="16:16">
      <c r="P384" t="str">
        <f t="shared" si="5"/>
        <v/>
      </c>
    </row>
    <row r="385" spans="16:16">
      <c r="P385" t="str">
        <f t="shared" si="5"/>
        <v/>
      </c>
    </row>
    <row r="386" spans="16:16">
      <c r="P386" t="str">
        <f t="shared" si="5"/>
        <v/>
      </c>
    </row>
    <row r="387" spans="16:16">
      <c r="P387" t="str">
        <f t="shared" ref="P387:P450" si="6">_xlfn.TEXTJOIN(", ",TRUE,N387,O387)</f>
        <v/>
      </c>
    </row>
    <row r="388" spans="16:16">
      <c r="P388" t="str">
        <f t="shared" si="6"/>
        <v/>
      </c>
    </row>
    <row r="389" spans="16:16">
      <c r="P389" t="str">
        <f t="shared" si="6"/>
        <v/>
      </c>
    </row>
    <row r="390" spans="16:16">
      <c r="P390" t="str">
        <f t="shared" si="6"/>
        <v/>
      </c>
    </row>
    <row r="391" spans="16:16">
      <c r="P391" t="str">
        <f t="shared" si="6"/>
        <v/>
      </c>
    </row>
    <row r="392" spans="16:16">
      <c r="P392" t="str">
        <f t="shared" si="6"/>
        <v/>
      </c>
    </row>
    <row r="393" spans="16:16">
      <c r="P393" t="str">
        <f t="shared" si="6"/>
        <v/>
      </c>
    </row>
    <row r="394" spans="16:16">
      <c r="P394" t="str">
        <f t="shared" si="6"/>
        <v/>
      </c>
    </row>
    <row r="395" spans="16:16">
      <c r="P395" t="str">
        <f t="shared" si="6"/>
        <v/>
      </c>
    </row>
    <row r="396" spans="16:16">
      <c r="P396" t="str">
        <f t="shared" si="6"/>
        <v/>
      </c>
    </row>
    <row r="397" spans="16:16">
      <c r="P397" t="str">
        <f t="shared" si="6"/>
        <v/>
      </c>
    </row>
    <row r="398" spans="16:16">
      <c r="P398" t="str">
        <f t="shared" si="6"/>
        <v/>
      </c>
    </row>
    <row r="399" spans="16:16">
      <c r="P399" t="str">
        <f t="shared" si="6"/>
        <v/>
      </c>
    </row>
    <row r="400" spans="16:16">
      <c r="P400" t="str">
        <f t="shared" si="6"/>
        <v/>
      </c>
    </row>
    <row r="401" spans="16:16">
      <c r="P401" t="str">
        <f t="shared" si="6"/>
        <v/>
      </c>
    </row>
    <row r="402" spans="16:16">
      <c r="P402" t="str">
        <f t="shared" si="6"/>
        <v/>
      </c>
    </row>
    <row r="403" spans="16:16">
      <c r="P403" t="str">
        <f t="shared" si="6"/>
        <v/>
      </c>
    </row>
    <row r="404" spans="16:16">
      <c r="P404" t="str">
        <f t="shared" si="6"/>
        <v/>
      </c>
    </row>
    <row r="405" spans="16:16">
      <c r="P405" t="str">
        <f t="shared" si="6"/>
        <v/>
      </c>
    </row>
    <row r="406" spans="16:16">
      <c r="P406" t="str">
        <f t="shared" si="6"/>
        <v/>
      </c>
    </row>
    <row r="407" spans="16:16">
      <c r="P407" t="str">
        <f t="shared" si="6"/>
        <v/>
      </c>
    </row>
    <row r="408" spans="16:16">
      <c r="P408" t="str">
        <f t="shared" si="6"/>
        <v/>
      </c>
    </row>
    <row r="409" spans="16:16">
      <c r="P409" t="str">
        <f t="shared" si="6"/>
        <v/>
      </c>
    </row>
    <row r="410" spans="16:16">
      <c r="P410" t="str">
        <f t="shared" si="6"/>
        <v/>
      </c>
    </row>
    <row r="411" spans="16:16">
      <c r="P411" t="str">
        <f t="shared" si="6"/>
        <v/>
      </c>
    </row>
    <row r="412" spans="16:16">
      <c r="P412" t="str">
        <f t="shared" si="6"/>
        <v/>
      </c>
    </row>
    <row r="413" spans="16:16">
      <c r="P413" t="str">
        <f t="shared" si="6"/>
        <v/>
      </c>
    </row>
    <row r="414" spans="16:16">
      <c r="P414" t="str">
        <f t="shared" si="6"/>
        <v/>
      </c>
    </row>
    <row r="415" spans="16:16">
      <c r="P415" t="str">
        <f t="shared" si="6"/>
        <v/>
      </c>
    </row>
    <row r="416" spans="16:16">
      <c r="P416" t="str">
        <f t="shared" si="6"/>
        <v/>
      </c>
    </row>
    <row r="417" spans="16:16">
      <c r="P417" t="str">
        <f t="shared" si="6"/>
        <v/>
      </c>
    </row>
    <row r="418" spans="16:16">
      <c r="P418" t="str">
        <f t="shared" si="6"/>
        <v/>
      </c>
    </row>
    <row r="419" spans="16:16">
      <c r="P419" t="str">
        <f t="shared" si="6"/>
        <v/>
      </c>
    </row>
    <row r="420" spans="16:16">
      <c r="P420" t="str">
        <f t="shared" si="6"/>
        <v/>
      </c>
    </row>
    <row r="421" spans="16:16">
      <c r="P421" t="str">
        <f t="shared" si="6"/>
        <v/>
      </c>
    </row>
    <row r="422" spans="16:16">
      <c r="P422" t="str">
        <f t="shared" si="6"/>
        <v/>
      </c>
    </row>
    <row r="423" spans="16:16">
      <c r="P423" t="str">
        <f t="shared" si="6"/>
        <v/>
      </c>
    </row>
    <row r="424" spans="16:16">
      <c r="P424" t="str">
        <f t="shared" si="6"/>
        <v/>
      </c>
    </row>
    <row r="425" spans="16:16">
      <c r="P425" t="str">
        <f t="shared" si="6"/>
        <v/>
      </c>
    </row>
    <row r="426" spans="16:16">
      <c r="P426" t="str">
        <f t="shared" si="6"/>
        <v/>
      </c>
    </row>
    <row r="427" spans="16:16">
      <c r="P427" t="str">
        <f t="shared" si="6"/>
        <v/>
      </c>
    </row>
    <row r="428" spans="16:16">
      <c r="P428" t="str">
        <f t="shared" si="6"/>
        <v/>
      </c>
    </row>
    <row r="429" spans="16:16">
      <c r="P429" t="str">
        <f t="shared" si="6"/>
        <v/>
      </c>
    </row>
    <row r="430" spans="16:16">
      <c r="P430" t="str">
        <f t="shared" si="6"/>
        <v/>
      </c>
    </row>
    <row r="431" spans="16:16">
      <c r="P431" t="str">
        <f t="shared" si="6"/>
        <v/>
      </c>
    </row>
    <row r="432" spans="16:16">
      <c r="P432" t="str">
        <f t="shared" si="6"/>
        <v/>
      </c>
    </row>
    <row r="433" spans="16:16">
      <c r="P433" t="str">
        <f t="shared" si="6"/>
        <v/>
      </c>
    </row>
    <row r="434" spans="16:16">
      <c r="P434" t="str">
        <f t="shared" si="6"/>
        <v/>
      </c>
    </row>
    <row r="435" spans="16:16">
      <c r="P435" t="str">
        <f t="shared" si="6"/>
        <v/>
      </c>
    </row>
    <row r="436" spans="16:16">
      <c r="P436" t="str">
        <f t="shared" si="6"/>
        <v/>
      </c>
    </row>
    <row r="437" spans="16:16">
      <c r="P437" t="str">
        <f t="shared" si="6"/>
        <v/>
      </c>
    </row>
    <row r="438" spans="16:16">
      <c r="P438" t="str">
        <f t="shared" si="6"/>
        <v/>
      </c>
    </row>
    <row r="439" spans="16:16">
      <c r="P439" t="str">
        <f t="shared" si="6"/>
        <v/>
      </c>
    </row>
    <row r="440" spans="16:16">
      <c r="P440" t="str">
        <f t="shared" si="6"/>
        <v/>
      </c>
    </row>
    <row r="441" spans="16:16">
      <c r="P441" t="str">
        <f t="shared" si="6"/>
        <v/>
      </c>
    </row>
    <row r="442" spans="16:16">
      <c r="P442" t="str">
        <f t="shared" si="6"/>
        <v/>
      </c>
    </row>
    <row r="443" spans="16:16">
      <c r="P443" t="str">
        <f t="shared" si="6"/>
        <v/>
      </c>
    </row>
    <row r="444" spans="16:16">
      <c r="P444" t="str">
        <f t="shared" si="6"/>
        <v/>
      </c>
    </row>
    <row r="445" spans="16:16">
      <c r="P445" t="str">
        <f t="shared" si="6"/>
        <v/>
      </c>
    </row>
    <row r="446" spans="16:16">
      <c r="P446" t="str">
        <f t="shared" si="6"/>
        <v/>
      </c>
    </row>
    <row r="447" spans="16:16">
      <c r="P447" t="str">
        <f t="shared" si="6"/>
        <v/>
      </c>
    </row>
    <row r="448" spans="16:16">
      <c r="P448" t="str">
        <f t="shared" si="6"/>
        <v/>
      </c>
    </row>
    <row r="449" spans="16:16">
      <c r="P449" t="str">
        <f t="shared" si="6"/>
        <v/>
      </c>
    </row>
    <row r="450" spans="16:16">
      <c r="P450" t="str">
        <f t="shared" si="6"/>
        <v/>
      </c>
    </row>
    <row r="451" spans="16:16">
      <c r="P451" t="str">
        <f t="shared" ref="P451:P453" si="7">_xlfn.TEXTJOIN(", ",TRUE,N451,O451)</f>
        <v/>
      </c>
    </row>
    <row r="452" spans="16:16">
      <c r="P452" t="str">
        <f t="shared" si="7"/>
        <v/>
      </c>
    </row>
    <row r="453" spans="16:16">
      <c r="P453" t="str">
        <f t="shared" si="7"/>
        <v/>
      </c>
    </row>
    <row r="454" spans="16:16">
      <c r="P454" t="str">
        <f t="shared" ref="P454:P455" si="8">_xlfn.TEXTJOIN(", ",TRUE,N454,O454)</f>
        <v/>
      </c>
    </row>
    <row r="455" spans="16:16">
      <c r="P455" t="str">
        <f t="shared" si="8"/>
        <v/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O101"/>
  <sheetViews>
    <sheetView topLeftCell="L1" workbookViewId="0">
      <selection activeCell="U26" sqref="U26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15" customWidth="1"/>
    <col min="23" max="23" width="20.140625" customWidth="1"/>
    <col min="24" max="24" width="24.7109375" style="18" bestFit="1" customWidth="1"/>
    <col min="25" max="25" width="34.5703125" bestFit="1" customWidth="1"/>
    <col min="26" max="26" width="49" bestFit="1" customWidth="1"/>
    <col min="27" max="27" width="17.42578125" customWidth="1"/>
    <col min="28" max="28" width="64.5703125" bestFit="1" customWidth="1"/>
    <col min="29" max="29" width="19.85546875" customWidth="1"/>
    <col min="30" max="30" width="38.28515625" bestFit="1" customWidth="1"/>
  </cols>
  <sheetData>
    <row r="1" spans="1:32">
      <c r="A1" s="36" t="s">
        <v>56</v>
      </c>
      <c r="B1" t="s">
        <v>57</v>
      </c>
      <c r="C1" s="36" t="s">
        <v>58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497</v>
      </c>
      <c r="N1" t="s">
        <v>498</v>
      </c>
      <c r="O1" t="s">
        <v>499</v>
      </c>
      <c r="P1" t="s">
        <v>500</v>
      </c>
      <c r="Q1" t="s">
        <v>501</v>
      </c>
      <c r="R1" t="s">
        <v>502</v>
      </c>
      <c r="S1" t="s">
        <v>503</v>
      </c>
      <c r="T1" t="s">
        <v>504</v>
      </c>
      <c r="U1" t="s">
        <v>505</v>
      </c>
      <c r="V1" t="s">
        <v>33</v>
      </c>
      <c r="W1" t="s">
        <v>34</v>
      </c>
      <c r="X1" t="s">
        <v>35</v>
      </c>
      <c r="Y1" t="s">
        <v>36</v>
      </c>
      <c r="Z1" t="s">
        <v>37</v>
      </c>
      <c r="AA1" t="s">
        <v>38</v>
      </c>
      <c r="AB1" t="s">
        <v>39</v>
      </c>
      <c r="AC1" t="s">
        <v>40</v>
      </c>
      <c r="AD1" t="s">
        <v>41</v>
      </c>
      <c r="AE1" t="s">
        <v>42</v>
      </c>
      <c r="AF1" t="s">
        <v>43</v>
      </c>
    </row>
    <row r="2" spans="1:32">
      <c r="A2" s="36" t="s">
        <v>506</v>
      </c>
      <c r="B2" s="36" t="s">
        <v>509</v>
      </c>
      <c r="C2" s="36" t="s">
        <v>507</v>
      </c>
      <c r="X2"/>
      <c r="AC2" s="3"/>
    </row>
    <row r="3" spans="1:32">
      <c r="B3" s="40" t="s">
        <v>22</v>
      </c>
      <c r="C3" s="41" t="s">
        <v>23</v>
      </c>
      <c r="X3"/>
      <c r="AC3" s="3"/>
    </row>
    <row r="4" spans="1:32">
      <c r="B4" s="40"/>
      <c r="C4" s="41"/>
      <c r="X4"/>
      <c r="AC4" s="3"/>
    </row>
    <row r="5" spans="1:32">
      <c r="B5" s="40"/>
      <c r="C5" s="41"/>
      <c r="X5"/>
    </row>
    <row r="6" spans="1:32">
      <c r="B6" s="40"/>
      <c r="C6" s="41"/>
      <c r="X6"/>
      <c r="AC6" s="3"/>
    </row>
    <row r="7" spans="1:32">
      <c r="B7" s="40"/>
      <c r="C7" s="41"/>
      <c r="X7"/>
      <c r="AC7" s="3"/>
    </row>
    <row r="8" spans="1:32">
      <c r="B8" s="40"/>
      <c r="C8" s="41"/>
      <c r="X8"/>
      <c r="AC8" s="3"/>
    </row>
    <row r="9" spans="1:32">
      <c r="B9" s="40"/>
      <c r="C9" s="41"/>
      <c r="X9"/>
      <c r="AC9" s="3"/>
    </row>
    <row r="10" spans="1:32">
      <c r="B10" s="40"/>
      <c r="C10" s="41"/>
      <c r="X10"/>
    </row>
    <row r="11" spans="1:32">
      <c r="B11" s="40"/>
      <c r="C11" s="41"/>
      <c r="X11"/>
      <c r="AC11" s="3"/>
    </row>
    <row r="12" spans="1:32">
      <c r="B12" s="40"/>
      <c r="C12" s="41"/>
      <c r="X12"/>
    </row>
    <row r="13" spans="1:32">
      <c r="B13" s="40"/>
      <c r="C13" s="41"/>
      <c r="X13"/>
      <c r="AF13" s="4"/>
    </row>
    <row r="14" spans="1:32">
      <c r="B14" s="40"/>
      <c r="C14" s="41"/>
      <c r="X14"/>
      <c r="AC14" s="3"/>
    </row>
    <row r="15" spans="1:32">
      <c r="B15" s="40"/>
      <c r="C15" s="41"/>
      <c r="X15"/>
    </row>
    <row r="16" spans="1:32">
      <c r="B16" s="40"/>
      <c r="C16" s="41"/>
      <c r="X16"/>
      <c r="AC16" s="3"/>
    </row>
    <row r="17" spans="2:37">
      <c r="B17" s="40"/>
      <c r="C17" s="41"/>
      <c r="X17"/>
    </row>
    <row r="18" spans="2:37">
      <c r="B18" s="40"/>
      <c r="C18" s="41"/>
      <c r="X18"/>
      <c r="AC18" s="3"/>
    </row>
    <row r="19" spans="2:37">
      <c r="B19" s="40"/>
      <c r="C19" s="41"/>
      <c r="X19"/>
      <c r="AC19" s="3"/>
    </row>
    <row r="20" spans="2:37">
      <c r="B20" s="40"/>
      <c r="C20" s="41"/>
      <c r="X20"/>
      <c r="AC20" s="3"/>
    </row>
    <row r="21" spans="2:37">
      <c r="B21" s="40"/>
      <c r="C21" s="41"/>
      <c r="X21"/>
      <c r="AC21" s="3"/>
    </row>
    <row r="22" spans="2:37">
      <c r="B22" s="40"/>
      <c r="C22" s="41"/>
      <c r="X22"/>
      <c r="AC22" s="3"/>
    </row>
    <row r="23" spans="2:37">
      <c r="B23" s="40"/>
      <c r="C23" s="41"/>
      <c r="X23"/>
      <c r="AC23" s="3"/>
    </row>
    <row r="24" spans="2:37">
      <c r="B24" s="40"/>
      <c r="C24" s="41"/>
      <c r="X24"/>
      <c r="AC24" s="3"/>
    </row>
    <row r="25" spans="2:37">
      <c r="B25" s="40"/>
      <c r="C25" s="41"/>
      <c r="X25"/>
      <c r="AC25" s="3"/>
      <c r="AK25" s="3"/>
    </row>
    <row r="26" spans="2:37">
      <c r="B26" s="40"/>
      <c r="C26" s="41"/>
      <c r="X26"/>
      <c r="AK26" s="3"/>
    </row>
    <row r="27" spans="2:37">
      <c r="B27" s="40"/>
      <c r="C27" s="41"/>
      <c r="X27"/>
      <c r="AK27" s="3"/>
    </row>
    <row r="28" spans="2:37">
      <c r="B28" s="40"/>
      <c r="C28" s="41"/>
      <c r="X28"/>
      <c r="AK28" s="3"/>
    </row>
    <row r="29" spans="2:37">
      <c r="B29" s="40"/>
      <c r="C29" s="41"/>
      <c r="X29"/>
      <c r="AK29" s="3"/>
    </row>
    <row r="30" spans="2:37">
      <c r="B30" s="40"/>
      <c r="C30" s="41"/>
      <c r="X30"/>
    </row>
    <row r="31" spans="2:37">
      <c r="B31" s="40"/>
      <c r="C31" s="41"/>
      <c r="X31"/>
      <c r="AK31" s="3"/>
    </row>
    <row r="32" spans="2:37">
      <c r="B32" s="40"/>
      <c r="C32" s="41"/>
      <c r="X32"/>
    </row>
    <row r="33" spans="2:41">
      <c r="B33" s="40"/>
      <c r="C33" s="41"/>
      <c r="X33"/>
      <c r="AK33" s="3"/>
    </row>
    <row r="34" spans="2:41">
      <c r="B34" s="40"/>
      <c r="C34" s="41"/>
      <c r="X34"/>
      <c r="AK34" s="3"/>
    </row>
    <row r="35" spans="2:41">
      <c r="B35" s="40"/>
      <c r="C35" s="41"/>
      <c r="X35"/>
      <c r="AK35" s="3"/>
    </row>
    <row r="36" spans="2:41">
      <c r="B36" s="40"/>
      <c r="C36" s="41"/>
      <c r="X36"/>
      <c r="AK36" s="3"/>
    </row>
    <row r="37" spans="2:41">
      <c r="B37" s="40"/>
      <c r="C37" s="41"/>
      <c r="X37"/>
    </row>
    <row r="38" spans="2:41">
      <c r="B38" s="40"/>
      <c r="C38" s="41"/>
      <c r="X38"/>
      <c r="AK38" s="3"/>
    </row>
    <row r="39" spans="2:41">
      <c r="B39" s="40"/>
      <c r="C39" s="41"/>
      <c r="X39"/>
      <c r="AK39" s="3"/>
    </row>
    <row r="40" spans="2:41">
      <c r="B40" s="40"/>
      <c r="C40" s="41"/>
      <c r="X40"/>
      <c r="AK40" s="3"/>
    </row>
    <row r="41" spans="2:41">
      <c r="B41" s="40"/>
      <c r="C41" s="41"/>
      <c r="X41"/>
      <c r="AK41" s="3"/>
    </row>
    <row r="42" spans="2:41">
      <c r="B42" s="40"/>
      <c r="C42" s="41"/>
      <c r="X42"/>
      <c r="AK42" s="3"/>
    </row>
    <row r="43" spans="2:41">
      <c r="B43" s="40"/>
      <c r="C43" s="41"/>
      <c r="X43"/>
      <c r="AO43" s="4"/>
    </row>
    <row r="44" spans="2:41">
      <c r="B44" s="40"/>
      <c r="C44" s="41"/>
      <c r="X44"/>
    </row>
    <row r="45" spans="2:41">
      <c r="B45" s="40"/>
      <c r="C45" s="41"/>
      <c r="X45"/>
      <c r="AK45" s="3"/>
    </row>
    <row r="46" spans="2:41">
      <c r="B46" s="40"/>
      <c r="C46" s="41"/>
      <c r="X46"/>
      <c r="AK46" s="3"/>
    </row>
    <row r="47" spans="2:41">
      <c r="B47" s="40"/>
      <c r="C47" s="41"/>
      <c r="X47"/>
      <c r="AK47" s="3"/>
    </row>
    <row r="48" spans="2:41">
      <c r="B48" s="40"/>
      <c r="C48" s="41"/>
      <c r="X48"/>
    </row>
    <row r="49" spans="2:37">
      <c r="B49" s="40"/>
      <c r="C49" s="41"/>
      <c r="X49"/>
      <c r="AK49" s="3"/>
    </row>
    <row r="50" spans="2:37">
      <c r="B50" s="40"/>
      <c r="C50" s="41"/>
      <c r="X50"/>
      <c r="AK50" s="3"/>
    </row>
    <row r="51" spans="2:37">
      <c r="B51" s="40"/>
      <c r="C51" s="41"/>
      <c r="X51"/>
      <c r="AK51" s="3"/>
    </row>
    <row r="52" spans="2:37">
      <c r="B52" s="40"/>
      <c r="C52" s="41"/>
      <c r="X52"/>
      <c r="AK52" s="3"/>
    </row>
    <row r="53" spans="2:37">
      <c r="B53" s="40"/>
      <c r="C53" s="41"/>
      <c r="X53"/>
    </row>
    <row r="54" spans="2:37">
      <c r="B54" s="40"/>
      <c r="C54" s="41"/>
      <c r="X54"/>
      <c r="AK54" s="3"/>
    </row>
    <row r="55" spans="2:37">
      <c r="B55" s="40"/>
      <c r="C55" s="41"/>
      <c r="U55" s="30"/>
    </row>
    <row r="56" spans="2:37">
      <c r="B56" s="40"/>
      <c r="C56" s="41"/>
      <c r="U56" s="30"/>
    </row>
    <row r="57" spans="2:37">
      <c r="B57" s="40"/>
      <c r="C57" s="41"/>
      <c r="U57" s="30"/>
    </row>
    <row r="58" spans="2:37">
      <c r="B58" s="40"/>
      <c r="C58" s="41"/>
      <c r="U58" s="30"/>
    </row>
    <row r="59" spans="2:37">
      <c r="B59" s="40"/>
      <c r="C59" s="41"/>
      <c r="U59" s="30"/>
    </row>
    <row r="60" spans="2:37">
      <c r="B60" s="40"/>
      <c r="C60" s="41"/>
      <c r="U60" s="30"/>
    </row>
    <row r="61" spans="2:37">
      <c r="B61" s="40"/>
      <c r="C61" s="41"/>
      <c r="U61" s="30"/>
    </row>
    <row r="62" spans="2:37">
      <c r="B62" s="40"/>
      <c r="C62" s="41"/>
      <c r="U62" s="30"/>
    </row>
    <row r="63" spans="2:37">
      <c r="B63" s="40"/>
      <c r="C63" s="41"/>
      <c r="U63" s="30"/>
    </row>
    <row r="64" spans="2:37">
      <c r="B64" s="40"/>
      <c r="C64" s="41"/>
      <c r="U64" s="30"/>
    </row>
    <row r="65" spans="2:26">
      <c r="B65" s="40"/>
      <c r="C65" s="41"/>
      <c r="U65" s="30"/>
    </row>
    <row r="66" spans="2:26">
      <c r="B66" s="40"/>
      <c r="C66" s="41"/>
      <c r="U66" s="30"/>
    </row>
    <row r="67" spans="2:26">
      <c r="B67" s="40"/>
      <c r="C67" s="41"/>
      <c r="U67" s="30"/>
    </row>
    <row r="68" spans="2:26">
      <c r="B68" s="40"/>
      <c r="C68" s="41"/>
      <c r="U68" s="30"/>
    </row>
    <row r="69" spans="2:26">
      <c r="B69" s="40"/>
      <c r="C69" s="41"/>
      <c r="U69" s="30"/>
    </row>
    <row r="70" spans="2:26">
      <c r="B70" s="40"/>
      <c r="C70" s="41"/>
      <c r="U70" s="30"/>
    </row>
    <row r="71" spans="2:26">
      <c r="B71" s="40"/>
      <c r="C71" s="41"/>
      <c r="U71" s="30"/>
    </row>
    <row r="72" spans="2:26">
      <c r="B72" s="40"/>
      <c r="C72" s="41"/>
      <c r="U72" s="30"/>
      <c r="Z72" s="3"/>
    </row>
    <row r="73" spans="2:26">
      <c r="B73" s="40"/>
      <c r="C73" s="41"/>
      <c r="U73" s="30"/>
    </row>
    <row r="74" spans="2:26">
      <c r="B74" s="40"/>
      <c r="C74" s="41"/>
      <c r="U74" s="30"/>
      <c r="Z74" s="3"/>
    </row>
    <row r="75" spans="2:26">
      <c r="B75" s="40"/>
      <c r="C75" s="41"/>
      <c r="U75" s="30"/>
    </row>
    <row r="76" spans="2:26">
      <c r="B76" s="40"/>
      <c r="C76" s="41"/>
      <c r="U76" s="30"/>
    </row>
    <row r="77" spans="2:26">
      <c r="B77" s="40"/>
      <c r="C77" s="41"/>
      <c r="U77" s="30"/>
      <c r="Z77" s="3"/>
    </row>
    <row r="78" spans="2:26">
      <c r="B78" s="40"/>
      <c r="C78" s="41"/>
      <c r="U78" s="30"/>
    </row>
    <row r="79" spans="2:26">
      <c r="B79" s="40"/>
      <c r="C79" s="41"/>
      <c r="U79" s="30"/>
    </row>
    <row r="80" spans="2:26">
      <c r="B80" s="40"/>
      <c r="C80" s="41"/>
      <c r="U80" s="30"/>
    </row>
    <row r="81" spans="2:26">
      <c r="B81" s="40"/>
      <c r="C81" s="41"/>
      <c r="U81" s="30"/>
    </row>
    <row r="82" spans="2:26">
      <c r="B82" s="40"/>
      <c r="C82" s="41"/>
      <c r="U82" s="30"/>
    </row>
    <row r="83" spans="2:26">
      <c r="B83" s="40"/>
      <c r="C83" s="41"/>
      <c r="U83" s="30"/>
    </row>
    <row r="84" spans="2:26">
      <c r="B84" s="40"/>
      <c r="C84" s="41"/>
      <c r="U84" s="30"/>
    </row>
    <row r="85" spans="2:26">
      <c r="B85" s="40"/>
      <c r="C85" s="41"/>
      <c r="U85" s="30"/>
    </row>
    <row r="86" spans="2:26">
      <c r="B86" s="40"/>
      <c r="C86" s="41"/>
      <c r="U86" s="30"/>
    </row>
    <row r="87" spans="2:26">
      <c r="B87" s="40"/>
      <c r="C87" s="41"/>
      <c r="U87" s="30"/>
    </row>
    <row r="88" spans="2:26">
      <c r="B88" s="40"/>
      <c r="C88" s="41"/>
      <c r="U88" s="30"/>
    </row>
    <row r="89" spans="2:26">
      <c r="B89" s="40"/>
      <c r="C89" s="41"/>
      <c r="U89" s="30"/>
    </row>
    <row r="90" spans="2:26">
      <c r="B90" s="40"/>
      <c r="C90" s="41"/>
      <c r="U90" s="30"/>
    </row>
    <row r="91" spans="2:26">
      <c r="B91" s="40"/>
      <c r="C91" s="41"/>
      <c r="U91" s="30"/>
    </row>
    <row r="92" spans="2:26">
      <c r="B92" s="40"/>
      <c r="C92" s="41"/>
      <c r="U92" s="30"/>
    </row>
    <row r="93" spans="2:26">
      <c r="B93" s="40"/>
      <c r="C93" s="41"/>
      <c r="U93" s="30"/>
      <c r="Z93" s="3"/>
    </row>
    <row r="94" spans="2:26">
      <c r="B94" s="40"/>
      <c r="C94" s="41"/>
      <c r="U94" s="30"/>
    </row>
    <row r="95" spans="2:26">
      <c r="B95" s="40"/>
      <c r="C95" s="41"/>
      <c r="U95" s="30"/>
    </row>
    <row r="96" spans="2:26">
      <c r="B96" s="40"/>
      <c r="C96" s="41"/>
      <c r="U96" s="30"/>
    </row>
    <row r="97" spans="2:21">
      <c r="B97" s="40"/>
      <c r="C97" s="41"/>
      <c r="U97" s="30"/>
    </row>
    <row r="98" spans="2:21">
      <c r="U98" s="30"/>
    </row>
    <row r="101" spans="2:21">
      <c r="U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workbookViewId="0">
      <selection activeCell="C2" sqref="C2"/>
    </sheetView>
  </sheetViews>
  <sheetFormatPr defaultRowHeight="15"/>
  <cols>
    <col min="1" max="1" width="26.7109375" bestFit="1" customWidth="1"/>
    <col min="2" max="2" width="16.85546875" bestFit="1" customWidth="1"/>
    <col min="3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295</v>
      </c>
      <c r="B1" s="31" t="s">
        <v>294</v>
      </c>
      <c r="G1" s="33" t="s">
        <v>59</v>
      </c>
      <c r="H1" s="12" t="s">
        <v>291</v>
      </c>
      <c r="I1" s="1" t="s">
        <v>14</v>
      </c>
      <c r="J1" s="12" t="s">
        <v>296</v>
      </c>
      <c r="K1" s="12" t="s">
        <v>297</v>
      </c>
      <c r="L1" s="12" t="s">
        <v>298</v>
      </c>
      <c r="M1" s="12" t="s">
        <v>299</v>
      </c>
      <c r="N1" s="1" t="s">
        <v>15</v>
      </c>
    </row>
    <row r="2" spans="1:14" ht="15.75" thickTop="1">
      <c r="A2" s="31" t="s">
        <v>292</v>
      </c>
      <c r="B2" t="s">
        <v>510</v>
      </c>
      <c r="C2" t="s">
        <v>293</v>
      </c>
      <c r="G2" cm="1">
        <f t="array" ref="G2">_xlfn.UNIQUE(Input!J2:J101)</f>
        <v>0</v>
      </c>
      <c r="H2" s="13">
        <f>IFERROR(GETPIVOTDATA("Successful / Failed",$A$1,"System serial",G2),0)</f>
        <v>1</v>
      </c>
      <c r="I2" t="str" cm="1">
        <f t="array" ref="I2">_xlfn.IFS(H2&lt;1,"No",H2=1,"Yes",H2&gt;1,_xlfn.TEXTJOIN("",TRUE,"Yes x",H2))</f>
        <v>Yes</v>
      </c>
      <c r="J2" s="13">
        <f>IFERROR(GETPIVOTDATA("Successful / Failed",$A$1,"System serial",G2,"Successful / Failed","Successful"),0)</f>
        <v>0</v>
      </c>
      <c r="K2" s="13">
        <f>IFERROR(GETPIVOTDATA("Successful / Failed",$A$1,"System serial",G2,"Successful / Failed","Failed"),0)</f>
        <v>1</v>
      </c>
      <c r="L2" s="13" t="str" cm="1">
        <f t="array" ref="L2">_xlfn.IFS(J2&lt;1,"",J2=1,"Pass",J2&gt;1,_xlfn.TEXTJOIN("",TRUE,"Pass x",J2))</f>
        <v/>
      </c>
      <c r="M2" s="13" t="str" cm="1">
        <f t="array" ref="M2">_xlfn.IFS(K2&lt;1,"",K2=1,"Fail",K2&gt;1,_xlfn.TEXTJOIN("",TRUE,"Fail x",K2))</f>
        <v>Fail</v>
      </c>
      <c r="N2" t="str">
        <f>_xlfn.TEXTJOIN(", ",TRUE, L2, M2)</f>
        <v>Fail</v>
      </c>
    </row>
    <row r="3" spans="1:14">
      <c r="A3" s="32">
        <v>0</v>
      </c>
      <c r="B3" s="43">
        <v>1</v>
      </c>
      <c r="C3" s="43">
        <v>1</v>
      </c>
      <c r="H3" s="13">
        <f t="shared" ref="H3:H66" si="0">IFERROR(GETPIVOTDATA("Successful / Failed",$A$1,"System serial",G3),0)</f>
        <v>1</v>
      </c>
      <c r="I3" t="str" cm="1">
        <f t="array" ref="I3">_xlfn.IFS(H3&lt;1,"No",H3=1,"Yes",H3&gt;1,_xlfn.TEXTJOIN("",TRUE,"Yes x",H3))</f>
        <v>Yes</v>
      </c>
      <c r="J3" s="13">
        <f t="shared" ref="J3:J66" si="1">IFERROR(GETPIVOTDATA("Successful / Failed",$A$1,"System serial",G3,"Successful / Failed","Successful"),0)</f>
        <v>0</v>
      </c>
      <c r="K3" s="13">
        <f t="shared" ref="K3:K66" si="2">IFERROR(GETPIVOTDATA("Successful / Failed",$A$1,"System serial",G3,"Successful / Failed","Failed"),0)</f>
        <v>1</v>
      </c>
      <c r="L3" s="13" t="str" cm="1">
        <f t="array" ref="L3">_xlfn.IFS(J3&lt;1,"",J3=1,"Pass",J3&gt;1,_xlfn.TEXTJOIN("",TRUE,"Pass x",J3))</f>
        <v/>
      </c>
      <c r="M3" s="13" t="str" cm="1">
        <f t="array" ref="M3">_xlfn.IFS(K3&lt;1,"",K3=1,"Fail",K3&gt;1,_xlfn.TEXTJOIN("",TRUE,"Fail x",K3))</f>
        <v>Fail</v>
      </c>
      <c r="N3" t="str">
        <f t="shared" ref="N3:N66" si="3">_xlfn.TEXTJOIN(", ",TRUE, L3, M3)</f>
        <v>Fail</v>
      </c>
    </row>
    <row r="4" spans="1:14">
      <c r="A4" s="32" t="s">
        <v>293</v>
      </c>
      <c r="B4" s="43">
        <v>1</v>
      </c>
      <c r="C4" s="43">
        <v>1</v>
      </c>
      <c r="H4" s="13">
        <f t="shared" si="0"/>
        <v>1</v>
      </c>
      <c r="I4" t="str" cm="1">
        <f t="array" ref="I4">_xlfn.IFS(H4&lt;1,"No",H4=1,"Yes",H4&gt;1,_xlfn.TEXTJOIN("",TRUE,"Yes x",H4))</f>
        <v>Yes</v>
      </c>
      <c r="J4" s="13">
        <f t="shared" si="1"/>
        <v>0</v>
      </c>
      <c r="K4" s="13">
        <f t="shared" si="2"/>
        <v>1</v>
      </c>
      <c r="L4" s="13" t="str" cm="1">
        <f t="array" ref="L4">_xlfn.IFS(J4&lt;1,"",J4=1,"Pass",J4&gt;1,_xlfn.TEXTJOIN("",TRUE,"Pass x",J4))</f>
        <v/>
      </c>
      <c r="M4" s="13" t="str" cm="1">
        <f t="array" ref="M4">_xlfn.IFS(K4&lt;1,"",K4=1,"Fail",K4&gt;1,_xlfn.TEXTJOIN("",TRUE,"Fail x",K4))</f>
        <v>Fail</v>
      </c>
      <c r="N4" t="str">
        <f t="shared" si="3"/>
        <v>Fail</v>
      </c>
    </row>
    <row r="5" spans="1:14">
      <c r="H5" s="13">
        <f t="shared" si="0"/>
        <v>1</v>
      </c>
      <c r="I5" t="str" cm="1">
        <f t="array" ref="I5">_xlfn.IFS(H5&lt;1,"No",H5=1,"Yes",H5&gt;1,_xlfn.TEXTJOIN("",TRUE,"Yes x",H5))</f>
        <v>Yes</v>
      </c>
      <c r="J5" s="13">
        <f t="shared" si="1"/>
        <v>0</v>
      </c>
      <c r="K5" s="13">
        <f t="shared" si="2"/>
        <v>1</v>
      </c>
      <c r="L5" s="13" t="str" cm="1">
        <f t="array" ref="L5">_xlfn.IFS(J5&lt;1,"",J5=1,"Pass",J5&gt;1,_xlfn.TEXTJOIN("",TRUE,"Pass x",J5))</f>
        <v/>
      </c>
      <c r="M5" s="13" t="str" cm="1">
        <f t="array" ref="M5">_xlfn.IFS(K5&lt;1,"",K5=1,"Fail",K5&gt;1,_xlfn.TEXTJOIN("",TRUE,"Fail x",K5))</f>
        <v>Fail</v>
      </c>
      <c r="N5" t="str">
        <f t="shared" si="3"/>
        <v>Fail</v>
      </c>
    </row>
    <row r="6" spans="1:14">
      <c r="H6" s="13">
        <f t="shared" si="0"/>
        <v>1</v>
      </c>
      <c r="I6" t="str" cm="1">
        <f t="array" ref="I6">_xlfn.IFS(H6&lt;1,"No",H6=1,"Yes",H6&gt;1,_xlfn.TEXTJOIN("",TRUE,"Yes x",H6))</f>
        <v>Yes</v>
      </c>
      <c r="J6" s="13">
        <f t="shared" si="1"/>
        <v>0</v>
      </c>
      <c r="K6" s="13">
        <f t="shared" si="2"/>
        <v>1</v>
      </c>
      <c r="L6" s="13" t="str" cm="1">
        <f t="array" ref="L6">_xlfn.IFS(J6&lt;1,"",J6=1,"Pass",J6&gt;1,_xlfn.TEXTJOIN("",TRUE,"Pass x",J6))</f>
        <v/>
      </c>
      <c r="M6" s="13" t="str" cm="1">
        <f t="array" ref="M6">_xlfn.IFS(K6&lt;1,"",K6=1,"Fail",K6&gt;1,_xlfn.TEXTJOIN("",TRUE,"Fail x",K6))</f>
        <v>Fail</v>
      </c>
      <c r="N6" t="str">
        <f t="shared" si="3"/>
        <v>Fail</v>
      </c>
    </row>
    <row r="7" spans="1:14">
      <c r="H7" s="13">
        <f t="shared" si="0"/>
        <v>1</v>
      </c>
      <c r="I7" t="str" cm="1">
        <f t="array" ref="I7">_xlfn.IFS(H7&lt;1,"No",H7=1,"Yes",H7&gt;1,_xlfn.TEXTJOIN("",TRUE,"Yes x",H7))</f>
        <v>Yes</v>
      </c>
      <c r="J7" s="13">
        <f t="shared" si="1"/>
        <v>0</v>
      </c>
      <c r="K7" s="13">
        <f t="shared" si="2"/>
        <v>1</v>
      </c>
      <c r="L7" s="13" t="str" cm="1">
        <f t="array" ref="L7">_xlfn.IFS(J7&lt;1,"",J7=1,"Pass",J7&gt;1,_xlfn.TEXTJOIN("",TRUE,"Pass x",J7))</f>
        <v/>
      </c>
      <c r="M7" s="13" t="str" cm="1">
        <f t="array" ref="M7">_xlfn.IFS(K7&lt;1,"",K7=1,"Fail",K7&gt;1,_xlfn.TEXTJOIN("",TRUE,"Fail x",K7))</f>
        <v>Fail</v>
      </c>
      <c r="N7" t="str">
        <f t="shared" si="3"/>
        <v>Fail</v>
      </c>
    </row>
    <row r="8" spans="1:14">
      <c r="H8" s="13">
        <f t="shared" si="0"/>
        <v>1</v>
      </c>
      <c r="I8" t="str" cm="1">
        <f t="array" ref="I8">_xlfn.IFS(H8&lt;1,"No",H8=1,"Yes",H8&gt;1,_xlfn.TEXTJOIN("",TRUE,"Yes x",H8))</f>
        <v>Yes</v>
      </c>
      <c r="J8" s="13">
        <f t="shared" si="1"/>
        <v>0</v>
      </c>
      <c r="K8" s="13">
        <f t="shared" si="2"/>
        <v>1</v>
      </c>
      <c r="L8" s="13" t="str" cm="1">
        <f t="array" ref="L8">_xlfn.IFS(J8&lt;1,"",J8=1,"Pass",J8&gt;1,_xlfn.TEXTJOIN("",TRUE,"Pass x",J8))</f>
        <v/>
      </c>
      <c r="M8" s="13" t="str" cm="1">
        <f t="array" ref="M8">_xlfn.IFS(K8&lt;1,"",K8=1,"Fail",K8&gt;1,_xlfn.TEXTJOIN("",TRUE,"Fail x",K8))</f>
        <v>Fail</v>
      </c>
      <c r="N8" t="str">
        <f t="shared" si="3"/>
        <v>Fail</v>
      </c>
    </row>
    <row r="9" spans="1:14">
      <c r="H9" s="13">
        <f t="shared" si="0"/>
        <v>1</v>
      </c>
      <c r="I9" t="str" cm="1">
        <f t="array" ref="I9">_xlfn.IFS(H9&lt;1,"No",H9=1,"Yes",H9&gt;1,_xlfn.TEXTJOIN("",TRUE,"Yes x",H9))</f>
        <v>Yes</v>
      </c>
      <c r="J9" s="13">
        <f t="shared" si="1"/>
        <v>0</v>
      </c>
      <c r="K9" s="13">
        <f t="shared" si="2"/>
        <v>1</v>
      </c>
      <c r="L9" s="13" t="str" cm="1">
        <f t="array" ref="L9">_xlfn.IFS(J9&lt;1,"",J9=1,"Pass",J9&gt;1,_xlfn.TEXTJOIN("",TRUE,"Pass x",J9))</f>
        <v/>
      </c>
      <c r="M9" s="13" t="str" cm="1">
        <f t="array" ref="M9">_xlfn.IFS(K9&lt;1,"",K9=1,"Fail",K9&gt;1,_xlfn.TEXTJOIN("",TRUE,"Fail x",K9))</f>
        <v>Fail</v>
      </c>
      <c r="N9" t="str">
        <f t="shared" si="3"/>
        <v>Fail</v>
      </c>
    </row>
    <row r="10" spans="1:14">
      <c r="H10" s="13">
        <f t="shared" si="0"/>
        <v>1</v>
      </c>
      <c r="I10" t="str" cm="1">
        <f t="array" ref="I10">_xlfn.IFS(H10&lt;1,"No",H10=1,"Yes",H10&gt;1,_xlfn.TEXTJOIN("",TRUE,"Yes x",H10))</f>
        <v>Yes</v>
      </c>
      <c r="J10" s="13">
        <f t="shared" si="1"/>
        <v>0</v>
      </c>
      <c r="K10" s="13">
        <f t="shared" si="2"/>
        <v>1</v>
      </c>
      <c r="L10" s="13" t="str" cm="1">
        <f t="array" ref="L10">_xlfn.IFS(J10&lt;1,"",J10=1,"Pass",J10&gt;1,_xlfn.TEXTJOIN("",TRUE,"Pass x",J10))</f>
        <v/>
      </c>
      <c r="M10" s="13" t="str" cm="1">
        <f t="array" ref="M10">_xlfn.IFS(K10&lt;1,"",K10=1,"Fail",K10&gt;1,_xlfn.TEXTJOIN("",TRUE,"Fail x",K10))</f>
        <v>Fail</v>
      </c>
      <c r="N10" t="str">
        <f t="shared" si="3"/>
        <v>Fail</v>
      </c>
    </row>
    <row r="11" spans="1:14">
      <c r="H11" s="13">
        <f t="shared" si="0"/>
        <v>1</v>
      </c>
      <c r="I11" t="str" cm="1">
        <f t="array" ref="I11">_xlfn.IFS(H11&lt;1,"No",H11=1,"Yes",H11&gt;1,_xlfn.TEXTJOIN("",TRUE,"Yes x",H11))</f>
        <v>Yes</v>
      </c>
      <c r="J11" s="13">
        <f t="shared" si="1"/>
        <v>0</v>
      </c>
      <c r="K11" s="13">
        <f t="shared" si="2"/>
        <v>1</v>
      </c>
      <c r="L11" s="13" t="str" cm="1">
        <f t="array" ref="L11">_xlfn.IFS(J11&lt;1,"",J11=1,"Pass",J11&gt;1,_xlfn.TEXTJOIN("",TRUE,"Pass x",J11))</f>
        <v/>
      </c>
      <c r="M11" s="13" t="str" cm="1">
        <f t="array" ref="M11">_xlfn.IFS(K11&lt;1,"",K11=1,"Fail",K11&gt;1,_xlfn.TEXTJOIN("",TRUE,"Fail x",K11))</f>
        <v>Fail</v>
      </c>
      <c r="N11" t="str">
        <f t="shared" si="3"/>
        <v>Fail</v>
      </c>
    </row>
    <row r="12" spans="1:14">
      <c r="H12" s="13">
        <f t="shared" si="0"/>
        <v>1</v>
      </c>
      <c r="I12" t="str" cm="1">
        <f t="array" ref="I12">_xlfn.IFS(H12&lt;1,"No",H12=1,"Yes",H12&gt;1,_xlfn.TEXTJOIN("",TRUE,"Yes x",H12))</f>
        <v>Yes</v>
      </c>
      <c r="J12" s="13">
        <f t="shared" si="1"/>
        <v>0</v>
      </c>
      <c r="K12" s="13">
        <f t="shared" si="2"/>
        <v>1</v>
      </c>
      <c r="L12" s="13" t="str" cm="1">
        <f t="array" ref="L12">_xlfn.IFS(J12&lt;1,"",J12=1,"Pass",J12&gt;1,_xlfn.TEXTJOIN("",TRUE,"Pass x",J12))</f>
        <v/>
      </c>
      <c r="M12" s="13" t="str" cm="1">
        <f t="array" ref="M12">_xlfn.IFS(K12&lt;1,"",K12=1,"Fail",K12&gt;1,_xlfn.TEXTJOIN("",TRUE,"Fail x",K12))</f>
        <v>Fail</v>
      </c>
      <c r="N12" t="str">
        <f t="shared" si="3"/>
        <v>Fail</v>
      </c>
    </row>
    <row r="13" spans="1:14">
      <c r="H13" s="13">
        <f t="shared" si="0"/>
        <v>1</v>
      </c>
      <c r="I13" t="str" cm="1">
        <f t="array" ref="I13">_xlfn.IFS(H13&lt;1,"No",H13=1,"Yes",H13&gt;1,_xlfn.TEXTJOIN("",TRUE,"Yes x",H13))</f>
        <v>Yes</v>
      </c>
      <c r="J13" s="13">
        <f t="shared" si="1"/>
        <v>0</v>
      </c>
      <c r="K13" s="13">
        <f t="shared" si="2"/>
        <v>1</v>
      </c>
      <c r="L13" s="13" t="str" cm="1">
        <f t="array" ref="L13">_xlfn.IFS(J13&lt;1,"",J13=1,"Pass",J13&gt;1,_xlfn.TEXTJOIN("",TRUE,"Pass x",J13))</f>
        <v/>
      </c>
      <c r="M13" s="13" t="str" cm="1">
        <f t="array" ref="M13">_xlfn.IFS(K13&lt;1,"",K13=1,"Fail",K13&gt;1,_xlfn.TEXTJOIN("",TRUE,"Fail x",K13))</f>
        <v>Fail</v>
      </c>
      <c r="N13" t="str">
        <f t="shared" si="3"/>
        <v>Fail</v>
      </c>
    </row>
    <row r="14" spans="1:14">
      <c r="H14" s="13">
        <f t="shared" si="0"/>
        <v>1</v>
      </c>
      <c r="I14" t="str" cm="1">
        <f t="array" ref="I14">_xlfn.IFS(H14&lt;1,"No",H14=1,"Yes",H14&gt;1,_xlfn.TEXTJOIN("",TRUE,"Yes x",H14))</f>
        <v>Yes</v>
      </c>
      <c r="J14" s="13">
        <f t="shared" si="1"/>
        <v>0</v>
      </c>
      <c r="K14" s="13">
        <f t="shared" si="2"/>
        <v>1</v>
      </c>
      <c r="L14" s="13" t="str" cm="1">
        <f t="array" ref="L14">_xlfn.IFS(J14&lt;1,"",J14=1,"Pass",J14&gt;1,_xlfn.TEXTJOIN("",TRUE,"Pass x",J14))</f>
        <v/>
      </c>
      <c r="M14" s="13" t="str" cm="1">
        <f t="array" ref="M14">_xlfn.IFS(K14&lt;1,"",K14=1,"Fail",K14&gt;1,_xlfn.TEXTJOIN("",TRUE,"Fail x",K14))</f>
        <v>Fail</v>
      </c>
      <c r="N14" t="str">
        <f t="shared" si="3"/>
        <v>Fail</v>
      </c>
    </row>
    <row r="15" spans="1:14">
      <c r="H15" s="13">
        <f t="shared" si="0"/>
        <v>1</v>
      </c>
      <c r="I15" t="str" cm="1">
        <f t="array" ref="I15">_xlfn.IFS(H15&lt;1,"No",H15=1,"Yes",H15&gt;1,_xlfn.TEXTJOIN("",TRUE,"Yes x",H15))</f>
        <v>Yes</v>
      </c>
      <c r="J15" s="13">
        <f t="shared" si="1"/>
        <v>0</v>
      </c>
      <c r="K15" s="13">
        <f t="shared" si="2"/>
        <v>1</v>
      </c>
      <c r="L15" s="13" t="str" cm="1">
        <f t="array" ref="L15">_xlfn.IFS(J15&lt;1,"",J15=1,"Pass",J15&gt;1,_xlfn.TEXTJOIN("",TRUE,"Pass x",J15))</f>
        <v/>
      </c>
      <c r="M15" s="13" t="str" cm="1">
        <f t="array" ref="M15">_xlfn.IFS(K15&lt;1,"",K15=1,"Fail",K15&gt;1,_xlfn.TEXTJOIN("",TRUE,"Fail x",K15))</f>
        <v>Fail</v>
      </c>
      <c r="N15" t="str">
        <f t="shared" si="3"/>
        <v>Fail</v>
      </c>
    </row>
    <row r="16" spans="1:14">
      <c r="H16" s="13">
        <f t="shared" si="0"/>
        <v>1</v>
      </c>
      <c r="I16" t="str" cm="1">
        <f t="array" ref="I16">_xlfn.IFS(H16&lt;1,"No",H16=1,"Yes",H16&gt;1,_xlfn.TEXTJOIN("",TRUE,"Yes x",H16))</f>
        <v>Yes</v>
      </c>
      <c r="J16" s="13">
        <f t="shared" si="1"/>
        <v>0</v>
      </c>
      <c r="K16" s="13">
        <f t="shared" si="2"/>
        <v>1</v>
      </c>
      <c r="L16" s="13" t="str" cm="1">
        <f t="array" ref="L16">_xlfn.IFS(J16&lt;1,"",J16=1,"Pass",J16&gt;1,_xlfn.TEXTJOIN("",TRUE,"Pass x",J16))</f>
        <v/>
      </c>
      <c r="M16" s="13" t="str" cm="1">
        <f t="array" ref="M16">_xlfn.IFS(K16&lt;1,"",K16=1,"Fail",K16&gt;1,_xlfn.TEXTJOIN("",TRUE,"Fail x",K16))</f>
        <v>Fail</v>
      </c>
      <c r="N16" t="str">
        <f t="shared" si="3"/>
        <v>Fail</v>
      </c>
    </row>
    <row r="17" spans="8:14">
      <c r="H17" s="13">
        <f t="shared" si="0"/>
        <v>1</v>
      </c>
      <c r="I17" t="str" cm="1">
        <f t="array" ref="I17">_xlfn.IFS(H17&lt;1,"No",H17=1,"Yes",H17&gt;1,_xlfn.TEXTJOIN("",TRUE,"Yes x",H17))</f>
        <v>Yes</v>
      </c>
      <c r="J17" s="13">
        <f t="shared" si="1"/>
        <v>0</v>
      </c>
      <c r="K17" s="13">
        <f t="shared" si="2"/>
        <v>1</v>
      </c>
      <c r="L17" s="13" t="str" cm="1">
        <f t="array" ref="L17">_xlfn.IFS(J17&lt;1,"",J17=1,"Pass",J17&gt;1,_xlfn.TEXTJOIN("",TRUE,"Pass x",J17))</f>
        <v/>
      </c>
      <c r="M17" s="13" t="str" cm="1">
        <f t="array" ref="M17">_xlfn.IFS(K17&lt;1,"",K17=1,"Fail",K17&gt;1,_xlfn.TEXTJOIN("",TRUE,"Fail x",K17))</f>
        <v>Fail</v>
      </c>
      <c r="N17" t="str">
        <f t="shared" si="3"/>
        <v>Fail</v>
      </c>
    </row>
    <row r="18" spans="8:14">
      <c r="H18" s="13">
        <f t="shared" si="0"/>
        <v>1</v>
      </c>
      <c r="I18" t="str" cm="1">
        <f t="array" ref="I18">_xlfn.IFS(H18&lt;1,"No",H18=1,"Yes",H18&gt;1,_xlfn.TEXTJOIN("",TRUE,"Yes x",H18))</f>
        <v>Yes</v>
      </c>
      <c r="J18" s="13">
        <f t="shared" si="1"/>
        <v>0</v>
      </c>
      <c r="K18" s="13">
        <f t="shared" si="2"/>
        <v>1</v>
      </c>
      <c r="L18" s="13" t="str" cm="1">
        <f t="array" ref="L18">_xlfn.IFS(J18&lt;1,"",J18=1,"Pass",J18&gt;1,_xlfn.TEXTJOIN("",TRUE,"Pass x",J18))</f>
        <v/>
      </c>
      <c r="M18" s="13" t="str" cm="1">
        <f t="array" ref="M18">_xlfn.IFS(K18&lt;1,"",K18=1,"Fail",K18&gt;1,_xlfn.TEXTJOIN("",TRUE,"Fail x",K18))</f>
        <v>Fail</v>
      </c>
      <c r="N18" t="str">
        <f t="shared" si="3"/>
        <v>Fail</v>
      </c>
    </row>
    <row r="19" spans="8:14">
      <c r="H19" s="13">
        <f t="shared" si="0"/>
        <v>1</v>
      </c>
      <c r="I19" t="str" cm="1">
        <f t="array" ref="I19">_xlfn.IFS(H19&lt;1,"No",H19=1,"Yes",H19&gt;1,_xlfn.TEXTJOIN("",TRUE,"Yes x",H19))</f>
        <v>Yes</v>
      </c>
      <c r="J19" s="13">
        <f t="shared" si="1"/>
        <v>0</v>
      </c>
      <c r="K19" s="13">
        <f t="shared" si="2"/>
        <v>1</v>
      </c>
      <c r="L19" s="13" t="str" cm="1">
        <f t="array" ref="L19">_xlfn.IFS(J19&lt;1,"",J19=1,"Pass",J19&gt;1,_xlfn.TEXTJOIN("",TRUE,"Pass x",J19))</f>
        <v/>
      </c>
      <c r="M19" s="13" t="str" cm="1">
        <f t="array" ref="M19">_xlfn.IFS(K19&lt;1,"",K19=1,"Fail",K19&gt;1,_xlfn.TEXTJOIN("",TRUE,"Fail x",K19))</f>
        <v>Fail</v>
      </c>
      <c r="N19" t="str">
        <f t="shared" si="3"/>
        <v>Fail</v>
      </c>
    </row>
    <row r="20" spans="8:14">
      <c r="H20" s="13">
        <f t="shared" si="0"/>
        <v>1</v>
      </c>
      <c r="I20" t="str" cm="1">
        <f t="array" ref="I20">_xlfn.IFS(H20&lt;1,"No",H20=1,"Yes",H20&gt;1,_xlfn.TEXTJOIN("",TRUE,"Yes x",H20))</f>
        <v>Yes</v>
      </c>
      <c r="J20" s="13">
        <f t="shared" si="1"/>
        <v>0</v>
      </c>
      <c r="K20" s="13">
        <f t="shared" si="2"/>
        <v>1</v>
      </c>
      <c r="L20" s="13" t="str" cm="1">
        <f t="array" ref="L20">_xlfn.IFS(J20&lt;1,"",J20=1,"Pass",J20&gt;1,_xlfn.TEXTJOIN("",TRUE,"Pass x",J20))</f>
        <v/>
      </c>
      <c r="M20" s="13" t="str" cm="1">
        <f t="array" ref="M20">_xlfn.IFS(K20&lt;1,"",K20=1,"Fail",K20&gt;1,_xlfn.TEXTJOIN("",TRUE,"Fail x",K20))</f>
        <v>Fail</v>
      </c>
      <c r="N20" t="str">
        <f t="shared" si="3"/>
        <v>Fail</v>
      </c>
    </row>
    <row r="21" spans="8:14">
      <c r="H21" s="13">
        <f t="shared" si="0"/>
        <v>1</v>
      </c>
      <c r="I21" t="str" cm="1">
        <f t="array" ref="I21">_xlfn.IFS(H21&lt;1,"No",H21=1,"Yes",H21&gt;1,_xlfn.TEXTJOIN("",TRUE,"Yes x",H21))</f>
        <v>Yes</v>
      </c>
      <c r="J21" s="13">
        <f t="shared" si="1"/>
        <v>0</v>
      </c>
      <c r="K21" s="13">
        <f t="shared" si="2"/>
        <v>1</v>
      </c>
      <c r="L21" s="13" t="str" cm="1">
        <f t="array" ref="L21">_xlfn.IFS(J21&lt;1,"",J21=1,"Pass",J21&gt;1,_xlfn.TEXTJOIN("",TRUE,"Pass x",J21))</f>
        <v/>
      </c>
      <c r="M21" s="13" t="str" cm="1">
        <f t="array" ref="M21">_xlfn.IFS(K21&lt;1,"",K21=1,"Fail",K21&gt;1,_xlfn.TEXTJOIN("",TRUE,"Fail x",K21))</f>
        <v>Fail</v>
      </c>
      <c r="N21" t="str">
        <f t="shared" si="3"/>
        <v>Fail</v>
      </c>
    </row>
    <row r="22" spans="8:14">
      <c r="H22" s="13">
        <f t="shared" si="0"/>
        <v>1</v>
      </c>
      <c r="I22" t="str" cm="1">
        <f t="array" ref="I22">_xlfn.IFS(H22&lt;1,"No",H22=1,"Yes",H22&gt;1,_xlfn.TEXTJOIN("",TRUE,"Yes x",H22))</f>
        <v>Yes</v>
      </c>
      <c r="J22" s="13">
        <f t="shared" si="1"/>
        <v>0</v>
      </c>
      <c r="K22" s="13">
        <f t="shared" si="2"/>
        <v>1</v>
      </c>
      <c r="L22" s="13" t="str" cm="1">
        <f t="array" ref="L22">_xlfn.IFS(J22&lt;1,"",J22=1,"Pass",J22&gt;1,_xlfn.TEXTJOIN("",TRUE,"Pass x",J22))</f>
        <v/>
      </c>
      <c r="M22" s="13" t="str" cm="1">
        <f t="array" ref="M22">_xlfn.IFS(K22&lt;1,"",K22=1,"Fail",K22&gt;1,_xlfn.TEXTJOIN("",TRUE,"Fail x",K22))</f>
        <v>Fail</v>
      </c>
      <c r="N22" t="str">
        <f t="shared" si="3"/>
        <v>Fail</v>
      </c>
    </row>
    <row r="23" spans="8:14">
      <c r="H23" s="13">
        <f t="shared" si="0"/>
        <v>1</v>
      </c>
      <c r="I23" t="str" cm="1">
        <f t="array" ref="I23">_xlfn.IFS(H23&lt;1,"No",H23=1,"Yes",H23&gt;1,_xlfn.TEXTJOIN("",TRUE,"Yes x",H23))</f>
        <v>Yes</v>
      </c>
      <c r="J23" s="13">
        <f t="shared" si="1"/>
        <v>0</v>
      </c>
      <c r="K23" s="13">
        <f t="shared" si="2"/>
        <v>1</v>
      </c>
      <c r="L23" s="13" t="str" cm="1">
        <f t="array" ref="L23">_xlfn.IFS(J23&lt;1,"",J23=1,"Pass",J23&gt;1,_xlfn.TEXTJOIN("",TRUE,"Pass x",J23))</f>
        <v/>
      </c>
      <c r="M23" s="13" t="str" cm="1">
        <f t="array" ref="M23">_xlfn.IFS(K23&lt;1,"",K23=1,"Fail",K23&gt;1,_xlfn.TEXTJOIN("",TRUE,"Fail x",K23))</f>
        <v>Fail</v>
      </c>
      <c r="N23" t="str">
        <f t="shared" si="3"/>
        <v>Fail</v>
      </c>
    </row>
    <row r="24" spans="8:14">
      <c r="H24" s="13">
        <f t="shared" si="0"/>
        <v>1</v>
      </c>
      <c r="I24" t="str" cm="1">
        <f t="array" ref="I24">_xlfn.IFS(H24&lt;1,"No",H24=1,"Yes",H24&gt;1,_xlfn.TEXTJOIN("",TRUE,"Yes x",H24))</f>
        <v>Yes</v>
      </c>
      <c r="J24" s="13">
        <f t="shared" si="1"/>
        <v>0</v>
      </c>
      <c r="K24" s="13">
        <f t="shared" si="2"/>
        <v>1</v>
      </c>
      <c r="L24" s="13" t="str" cm="1">
        <f t="array" ref="L24">_xlfn.IFS(J24&lt;1,"",J24=1,"Pass",J24&gt;1,_xlfn.TEXTJOIN("",TRUE,"Pass x",J24))</f>
        <v/>
      </c>
      <c r="M24" s="13" t="str" cm="1">
        <f t="array" ref="M24">_xlfn.IFS(K24&lt;1,"",K24=1,"Fail",K24&gt;1,_xlfn.TEXTJOIN("",TRUE,"Fail x",K24))</f>
        <v>Fail</v>
      </c>
      <c r="N24" t="str">
        <f t="shared" si="3"/>
        <v>Fail</v>
      </c>
    </row>
    <row r="25" spans="8:14">
      <c r="H25" s="13">
        <f t="shared" si="0"/>
        <v>1</v>
      </c>
      <c r="I25" t="str" cm="1">
        <f t="array" ref="I25">_xlfn.IFS(H25&lt;1,"No",H25=1,"Yes",H25&gt;1,_xlfn.TEXTJOIN("",TRUE,"Yes x",H25))</f>
        <v>Yes</v>
      </c>
      <c r="J25" s="13">
        <f t="shared" si="1"/>
        <v>0</v>
      </c>
      <c r="K25" s="13">
        <f t="shared" si="2"/>
        <v>1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>Fail</v>
      </c>
      <c r="N25" t="str">
        <f t="shared" si="3"/>
        <v>Fail</v>
      </c>
    </row>
    <row r="26" spans="8:14">
      <c r="H26" s="13">
        <f t="shared" si="0"/>
        <v>1</v>
      </c>
      <c r="I26" t="str" cm="1">
        <f t="array" ref="I26">_xlfn.IFS(H26&lt;1,"No",H26=1,"Yes",H26&gt;1,_xlfn.TEXTJOIN("",TRUE,"Yes x",H26))</f>
        <v>Yes</v>
      </c>
      <c r="J26" s="13">
        <f t="shared" si="1"/>
        <v>0</v>
      </c>
      <c r="K26" s="13">
        <f t="shared" si="2"/>
        <v>1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>Fail</v>
      </c>
      <c r="N26" t="str">
        <f t="shared" si="3"/>
        <v>Fail</v>
      </c>
    </row>
    <row r="27" spans="8:14">
      <c r="H27" s="13">
        <f t="shared" si="0"/>
        <v>1</v>
      </c>
      <c r="I27" t="str" cm="1">
        <f t="array" ref="I27">_xlfn.IFS(H27&lt;1,"No",H27=1,"Yes",H27&gt;1,_xlfn.TEXTJOIN("",TRUE,"Yes x",H27))</f>
        <v>Yes</v>
      </c>
      <c r="J27" s="13">
        <f t="shared" si="1"/>
        <v>0</v>
      </c>
      <c r="K27" s="13">
        <f t="shared" si="2"/>
        <v>1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>Fail</v>
      </c>
      <c r="N27" t="str">
        <f t="shared" si="3"/>
        <v>Fail</v>
      </c>
    </row>
    <row r="28" spans="8:14">
      <c r="H28" s="13">
        <f t="shared" si="0"/>
        <v>1</v>
      </c>
      <c r="I28" t="str" cm="1">
        <f t="array" ref="I28">_xlfn.IFS(H28&lt;1,"No",H28=1,"Yes",H28&gt;1,_xlfn.TEXTJOIN("",TRUE,"Yes x",H28))</f>
        <v>Yes</v>
      </c>
      <c r="J28" s="13">
        <f t="shared" si="1"/>
        <v>0</v>
      </c>
      <c r="K28" s="13">
        <f t="shared" si="2"/>
        <v>1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>Fail</v>
      </c>
      <c r="N28" t="str">
        <f t="shared" si="3"/>
        <v>Fail</v>
      </c>
    </row>
    <row r="29" spans="8:14">
      <c r="H29" s="13">
        <f t="shared" si="0"/>
        <v>1</v>
      </c>
      <c r="I29" t="str" cm="1">
        <f t="array" ref="I29">_xlfn.IFS(H29&lt;1,"No",H29=1,"Yes",H29&gt;1,_xlfn.TEXTJOIN("",TRUE,"Yes x",H29))</f>
        <v>Yes</v>
      </c>
      <c r="J29" s="13">
        <f t="shared" si="1"/>
        <v>0</v>
      </c>
      <c r="K29" s="13">
        <f t="shared" si="2"/>
        <v>1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>Fail</v>
      </c>
      <c r="N29" t="str">
        <f t="shared" si="3"/>
        <v>Fail</v>
      </c>
    </row>
    <row r="30" spans="8:14">
      <c r="H30" s="13">
        <f t="shared" si="0"/>
        <v>1</v>
      </c>
      <c r="I30" t="str" cm="1">
        <f t="array" ref="I30">_xlfn.IFS(H30&lt;1,"No",H30=1,"Yes",H30&gt;1,_xlfn.TEXTJOIN("",TRUE,"Yes x",H30))</f>
        <v>Yes</v>
      </c>
      <c r="J30" s="13">
        <f t="shared" si="1"/>
        <v>0</v>
      </c>
      <c r="K30" s="13">
        <f t="shared" si="2"/>
        <v>1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>Fail</v>
      </c>
      <c r="N30" t="str">
        <f t="shared" si="3"/>
        <v>Fail</v>
      </c>
    </row>
    <row r="31" spans="8:14">
      <c r="H31" s="13">
        <f t="shared" si="0"/>
        <v>1</v>
      </c>
      <c r="I31" t="str" cm="1">
        <f t="array" ref="I31">_xlfn.IFS(H31&lt;1,"No",H31=1,"Yes",H31&gt;1,_xlfn.TEXTJOIN("",TRUE,"Yes x",H31))</f>
        <v>Yes</v>
      </c>
      <c r="J31" s="13">
        <f t="shared" si="1"/>
        <v>0</v>
      </c>
      <c r="K31" s="13">
        <f t="shared" si="2"/>
        <v>1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>Fail</v>
      </c>
      <c r="N31" t="str">
        <f t="shared" si="3"/>
        <v>Fail</v>
      </c>
    </row>
    <row r="32" spans="8:14">
      <c r="H32" s="13">
        <f t="shared" si="0"/>
        <v>1</v>
      </c>
      <c r="I32" t="str" cm="1">
        <f t="array" ref="I32">_xlfn.IFS(H32&lt;1,"No",H32=1,"Yes",H32&gt;1,_xlfn.TEXTJOIN("",TRUE,"Yes x",H32))</f>
        <v>Yes</v>
      </c>
      <c r="J32" s="13">
        <f t="shared" si="1"/>
        <v>0</v>
      </c>
      <c r="K32" s="13">
        <f t="shared" si="2"/>
        <v>1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>Fail</v>
      </c>
      <c r="N32" t="str">
        <f t="shared" si="3"/>
        <v>Fail</v>
      </c>
    </row>
    <row r="33" spans="8:14">
      <c r="H33" s="13">
        <f t="shared" si="0"/>
        <v>1</v>
      </c>
      <c r="I33" t="str" cm="1">
        <f t="array" ref="I33">_xlfn.IFS(H33&lt;1,"No",H33=1,"Yes",H33&gt;1,_xlfn.TEXTJOIN("",TRUE,"Yes x",H33))</f>
        <v>Yes</v>
      </c>
      <c r="J33" s="13">
        <f t="shared" si="1"/>
        <v>0</v>
      </c>
      <c r="K33" s="13">
        <f t="shared" si="2"/>
        <v>1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>Fail</v>
      </c>
      <c r="N33" t="str">
        <f t="shared" si="3"/>
        <v>Fail</v>
      </c>
    </row>
    <row r="34" spans="8:14">
      <c r="H34" s="13">
        <f t="shared" si="0"/>
        <v>1</v>
      </c>
      <c r="I34" t="str" cm="1">
        <f t="array" ref="I34">_xlfn.IFS(H34&lt;1,"No",H34=1,"Yes",H34&gt;1,_xlfn.TEXTJOIN("",TRUE,"Yes x",H34))</f>
        <v>Yes</v>
      </c>
      <c r="J34" s="13">
        <f t="shared" si="1"/>
        <v>0</v>
      </c>
      <c r="K34" s="13">
        <f t="shared" si="2"/>
        <v>1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>Fail</v>
      </c>
      <c r="N34" t="str">
        <f t="shared" si="3"/>
        <v>Fail</v>
      </c>
    </row>
    <row r="35" spans="8:14">
      <c r="H35" s="13">
        <f t="shared" si="0"/>
        <v>1</v>
      </c>
      <c r="I35" t="str" cm="1">
        <f t="array" ref="I35">_xlfn.IFS(H35&lt;1,"No",H35=1,"Yes",H35&gt;1,_xlfn.TEXTJOIN("",TRUE,"Yes x",H35))</f>
        <v>Yes</v>
      </c>
      <c r="J35" s="13">
        <f t="shared" si="1"/>
        <v>0</v>
      </c>
      <c r="K35" s="13">
        <f t="shared" si="2"/>
        <v>1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>Fail</v>
      </c>
      <c r="N35" t="str">
        <f t="shared" si="3"/>
        <v>Fail</v>
      </c>
    </row>
    <row r="36" spans="8:14">
      <c r="H36" s="13">
        <f t="shared" si="0"/>
        <v>1</v>
      </c>
      <c r="I36" t="str" cm="1">
        <f t="array" ref="I36">_xlfn.IFS(H36&lt;1,"No",H36=1,"Yes",H36&gt;1,_xlfn.TEXTJOIN("",TRUE,"Yes x",H36))</f>
        <v>Yes</v>
      </c>
      <c r="J36" s="13">
        <f t="shared" si="1"/>
        <v>0</v>
      </c>
      <c r="K36" s="13">
        <f t="shared" si="2"/>
        <v>1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>Fail</v>
      </c>
      <c r="N36" t="str">
        <f t="shared" si="3"/>
        <v>Fail</v>
      </c>
    </row>
    <row r="37" spans="8:14">
      <c r="H37" s="13">
        <f t="shared" si="0"/>
        <v>1</v>
      </c>
      <c r="I37" t="str" cm="1">
        <f t="array" ref="I37">_xlfn.IFS(H37&lt;1,"No",H37=1,"Yes",H37&gt;1,_xlfn.TEXTJOIN("",TRUE,"Yes x",H37))</f>
        <v>Yes</v>
      </c>
      <c r="J37" s="13">
        <f t="shared" si="1"/>
        <v>0</v>
      </c>
      <c r="K37" s="13">
        <f t="shared" si="2"/>
        <v>1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>Fail</v>
      </c>
      <c r="N37" t="str">
        <f t="shared" si="3"/>
        <v>Fail</v>
      </c>
    </row>
    <row r="38" spans="8:14">
      <c r="H38" s="13">
        <f t="shared" si="0"/>
        <v>1</v>
      </c>
      <c r="I38" t="str" cm="1">
        <f t="array" ref="I38">_xlfn.IFS(H38&lt;1,"No",H38=1,"Yes",H38&gt;1,_xlfn.TEXTJOIN("",TRUE,"Yes x",H38))</f>
        <v>Yes</v>
      </c>
      <c r="J38" s="13">
        <f t="shared" si="1"/>
        <v>0</v>
      </c>
      <c r="K38" s="13">
        <f t="shared" si="2"/>
        <v>1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>Fail</v>
      </c>
      <c r="N38" t="str">
        <f t="shared" si="3"/>
        <v>Fail</v>
      </c>
    </row>
    <row r="39" spans="8:14">
      <c r="H39" s="13">
        <f t="shared" si="0"/>
        <v>1</v>
      </c>
      <c r="I39" t="str" cm="1">
        <f t="array" ref="I39">_xlfn.IFS(H39&lt;1,"No",H39=1,"Yes",H39&gt;1,_xlfn.TEXTJOIN("",TRUE,"Yes x",H39))</f>
        <v>Yes</v>
      </c>
      <c r="J39" s="13">
        <f t="shared" si="1"/>
        <v>0</v>
      </c>
      <c r="K39" s="13">
        <f t="shared" si="2"/>
        <v>1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>Fail</v>
      </c>
      <c r="N39" t="str">
        <f t="shared" si="3"/>
        <v>Fail</v>
      </c>
    </row>
    <row r="40" spans="8:14">
      <c r="H40" s="13">
        <f t="shared" si="0"/>
        <v>1</v>
      </c>
      <c r="I40" t="str" cm="1">
        <f t="array" ref="I40">_xlfn.IFS(H40&lt;1,"No",H40=1,"Yes",H40&gt;1,_xlfn.TEXTJOIN("",TRUE,"Yes x",H40))</f>
        <v>Yes</v>
      </c>
      <c r="J40" s="13">
        <f t="shared" si="1"/>
        <v>0</v>
      </c>
      <c r="K40" s="13">
        <f t="shared" si="2"/>
        <v>1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>Fail</v>
      </c>
      <c r="N40" t="str">
        <f t="shared" si="3"/>
        <v>Fail</v>
      </c>
    </row>
    <row r="41" spans="8:14">
      <c r="H41" s="13">
        <f t="shared" si="0"/>
        <v>1</v>
      </c>
      <c r="I41" t="str" cm="1">
        <f t="array" ref="I41">_xlfn.IFS(H41&lt;1,"No",H41=1,"Yes",H41&gt;1,_xlfn.TEXTJOIN("",TRUE,"Yes x",H41))</f>
        <v>Yes</v>
      </c>
      <c r="J41" s="13">
        <f t="shared" si="1"/>
        <v>0</v>
      </c>
      <c r="K41" s="13">
        <f t="shared" si="2"/>
        <v>1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>Fail</v>
      </c>
      <c r="N41" t="str">
        <f t="shared" si="3"/>
        <v>Fail</v>
      </c>
    </row>
    <row r="42" spans="8:14">
      <c r="H42" s="13">
        <f t="shared" si="0"/>
        <v>1</v>
      </c>
      <c r="I42" t="str" cm="1">
        <f t="array" ref="I42">_xlfn.IFS(H42&lt;1,"No",H42=1,"Yes",H42&gt;1,_xlfn.TEXTJOIN("",TRUE,"Yes x",H42))</f>
        <v>Yes</v>
      </c>
      <c r="J42" s="13">
        <f t="shared" si="1"/>
        <v>0</v>
      </c>
      <c r="K42" s="13">
        <f t="shared" si="2"/>
        <v>1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>Fail</v>
      </c>
      <c r="N42" t="str">
        <f t="shared" si="3"/>
        <v>Fail</v>
      </c>
    </row>
    <row r="43" spans="8:14">
      <c r="H43" s="13">
        <f t="shared" si="0"/>
        <v>1</v>
      </c>
      <c r="I43" t="str" cm="1">
        <f t="array" ref="I43">_xlfn.IFS(H43&lt;1,"No",H43=1,"Yes",H43&gt;1,_xlfn.TEXTJOIN("",TRUE,"Yes x",H43))</f>
        <v>Yes</v>
      </c>
      <c r="J43" s="13">
        <f t="shared" si="1"/>
        <v>0</v>
      </c>
      <c r="K43" s="13">
        <f t="shared" si="2"/>
        <v>1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>Fail</v>
      </c>
      <c r="N43" t="str">
        <f t="shared" si="3"/>
        <v>Fail</v>
      </c>
    </row>
    <row r="44" spans="8:14">
      <c r="H44" s="13">
        <f t="shared" si="0"/>
        <v>1</v>
      </c>
      <c r="I44" t="str" cm="1">
        <f t="array" ref="I44">_xlfn.IFS(H44&lt;1,"No",H44=1,"Yes",H44&gt;1,_xlfn.TEXTJOIN("",TRUE,"Yes x",H44))</f>
        <v>Yes</v>
      </c>
      <c r="J44" s="13">
        <f t="shared" si="1"/>
        <v>0</v>
      </c>
      <c r="K44" s="13">
        <f t="shared" si="2"/>
        <v>1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>Fail</v>
      </c>
      <c r="N44" t="str">
        <f t="shared" si="3"/>
        <v>Fail</v>
      </c>
    </row>
    <row r="45" spans="8:14">
      <c r="H45" s="13">
        <f t="shared" si="0"/>
        <v>1</v>
      </c>
      <c r="I45" t="str" cm="1">
        <f t="array" ref="I45">_xlfn.IFS(H45&lt;1,"No",H45=1,"Yes",H45&gt;1,_xlfn.TEXTJOIN("",TRUE,"Yes x",H45))</f>
        <v>Yes</v>
      </c>
      <c r="J45" s="13">
        <f t="shared" si="1"/>
        <v>0</v>
      </c>
      <c r="K45" s="13">
        <f t="shared" si="2"/>
        <v>1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>Fail</v>
      </c>
      <c r="N45" t="str">
        <f t="shared" si="3"/>
        <v>Fail</v>
      </c>
    </row>
    <row r="46" spans="8:14">
      <c r="H46" s="13">
        <f t="shared" si="0"/>
        <v>1</v>
      </c>
      <c r="I46" t="str" cm="1">
        <f t="array" ref="I46">_xlfn.IFS(H46&lt;1,"No",H46=1,"Yes",H46&gt;1,_xlfn.TEXTJOIN("",TRUE,"Yes x",H46))</f>
        <v>Yes</v>
      </c>
      <c r="J46" s="13">
        <f t="shared" si="1"/>
        <v>0</v>
      </c>
      <c r="K46" s="13">
        <f t="shared" si="2"/>
        <v>1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>Fail</v>
      </c>
      <c r="N46" t="str">
        <f t="shared" si="3"/>
        <v>Fail</v>
      </c>
    </row>
    <row r="47" spans="8:14">
      <c r="H47" s="13">
        <f t="shared" si="0"/>
        <v>1</v>
      </c>
      <c r="I47" t="str" cm="1">
        <f t="array" ref="I47">_xlfn.IFS(H47&lt;1,"No",H47=1,"Yes",H47&gt;1,_xlfn.TEXTJOIN("",TRUE,"Yes x",H47))</f>
        <v>Yes</v>
      </c>
      <c r="J47" s="13">
        <f t="shared" si="1"/>
        <v>0</v>
      </c>
      <c r="K47" s="13">
        <f t="shared" si="2"/>
        <v>1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>Fail</v>
      </c>
      <c r="N47" t="str">
        <f t="shared" si="3"/>
        <v>Fail</v>
      </c>
    </row>
    <row r="48" spans="8:14">
      <c r="H48" s="13">
        <f t="shared" si="0"/>
        <v>1</v>
      </c>
      <c r="I48" t="str" cm="1">
        <f t="array" ref="I48">_xlfn.IFS(H48&lt;1,"No",H48=1,"Yes",H48&gt;1,_xlfn.TEXTJOIN("",TRUE,"Yes x",H48))</f>
        <v>Yes</v>
      </c>
      <c r="J48" s="13">
        <f t="shared" si="1"/>
        <v>0</v>
      </c>
      <c r="K48" s="13">
        <f t="shared" si="2"/>
        <v>1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>Fail</v>
      </c>
      <c r="N48" t="str">
        <f t="shared" si="3"/>
        <v>Fail</v>
      </c>
    </row>
    <row r="49" spans="8:14">
      <c r="H49" s="13">
        <f t="shared" si="0"/>
        <v>1</v>
      </c>
      <c r="I49" t="str" cm="1">
        <f t="array" ref="I49">_xlfn.IFS(H49&lt;1,"No",H49=1,"Yes",H49&gt;1,_xlfn.TEXTJOIN("",TRUE,"Yes x",H49))</f>
        <v>Yes</v>
      </c>
      <c r="J49" s="13">
        <f t="shared" si="1"/>
        <v>0</v>
      </c>
      <c r="K49" s="13">
        <f t="shared" si="2"/>
        <v>1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>Fail</v>
      </c>
      <c r="N49" t="str">
        <f t="shared" si="3"/>
        <v>Fail</v>
      </c>
    </row>
    <row r="50" spans="8:14">
      <c r="H50" s="13">
        <f t="shared" si="0"/>
        <v>1</v>
      </c>
      <c r="I50" t="str" cm="1">
        <f t="array" ref="I50">_xlfn.IFS(H50&lt;1,"No",H50=1,"Yes",H50&gt;1,_xlfn.TEXTJOIN("",TRUE,"Yes x",H50))</f>
        <v>Yes</v>
      </c>
      <c r="J50" s="13">
        <f t="shared" si="1"/>
        <v>0</v>
      </c>
      <c r="K50" s="13">
        <f t="shared" si="2"/>
        <v>1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>Fail</v>
      </c>
      <c r="N50" t="str">
        <f t="shared" si="3"/>
        <v>Fail</v>
      </c>
    </row>
    <row r="51" spans="8:14">
      <c r="H51" s="13">
        <f t="shared" si="0"/>
        <v>1</v>
      </c>
      <c r="I51" t="str" cm="1">
        <f t="array" ref="I51">_xlfn.IFS(H51&lt;1,"No",H51=1,"Yes",H51&gt;1,_xlfn.TEXTJOIN("",TRUE,"Yes x",H51))</f>
        <v>Yes</v>
      </c>
      <c r="J51" s="13">
        <f t="shared" si="1"/>
        <v>0</v>
      </c>
      <c r="K51" s="13">
        <f t="shared" si="2"/>
        <v>1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>Fail</v>
      </c>
      <c r="N51" t="str">
        <f t="shared" si="3"/>
        <v>Fail</v>
      </c>
    </row>
    <row r="52" spans="8:14">
      <c r="H52" s="13">
        <f t="shared" si="0"/>
        <v>1</v>
      </c>
      <c r="I52" t="str" cm="1">
        <f t="array" ref="I52">_xlfn.IFS(H52&lt;1,"No",H52=1,"Yes",H52&gt;1,_xlfn.TEXTJOIN("",TRUE,"Yes x",H52))</f>
        <v>Yes</v>
      </c>
      <c r="J52" s="13">
        <f t="shared" si="1"/>
        <v>0</v>
      </c>
      <c r="K52" s="13">
        <f t="shared" si="2"/>
        <v>1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>Fail</v>
      </c>
      <c r="N52" t="str">
        <f t="shared" si="3"/>
        <v>Fail</v>
      </c>
    </row>
    <row r="53" spans="8:14">
      <c r="H53" s="13">
        <f t="shared" si="0"/>
        <v>1</v>
      </c>
      <c r="I53" t="str" cm="1">
        <f t="array" ref="I53">_xlfn.IFS(H53&lt;1,"No",H53=1,"Yes",H53&gt;1,_xlfn.TEXTJOIN("",TRUE,"Yes x",H53))</f>
        <v>Yes</v>
      </c>
      <c r="J53" s="13">
        <f t="shared" si="1"/>
        <v>0</v>
      </c>
      <c r="K53" s="13">
        <f t="shared" si="2"/>
        <v>1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>Fail</v>
      </c>
      <c r="N53" t="str">
        <f t="shared" si="3"/>
        <v>Fail</v>
      </c>
    </row>
    <row r="54" spans="8:14">
      <c r="H54" s="13">
        <f t="shared" si="0"/>
        <v>1</v>
      </c>
      <c r="I54" t="str" cm="1">
        <f t="array" ref="I54">_xlfn.IFS(H54&lt;1,"No",H54=1,"Yes",H54&gt;1,_xlfn.TEXTJOIN("",TRUE,"Yes x",H54))</f>
        <v>Yes</v>
      </c>
      <c r="J54" s="13">
        <f t="shared" si="1"/>
        <v>0</v>
      </c>
      <c r="K54" s="13">
        <f t="shared" si="2"/>
        <v>1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>Fail</v>
      </c>
      <c r="N54" t="str">
        <f t="shared" si="3"/>
        <v>Fail</v>
      </c>
    </row>
    <row r="55" spans="8:14">
      <c r="H55" s="13">
        <f t="shared" si="0"/>
        <v>1</v>
      </c>
      <c r="I55" t="str" cm="1">
        <f t="array" ref="I55">_xlfn.IFS(H55&lt;1,"No",H55=1,"Yes",H55&gt;1,_xlfn.TEXTJOIN("",TRUE,"Yes x",H55))</f>
        <v>Yes</v>
      </c>
      <c r="J55" s="13">
        <f t="shared" si="1"/>
        <v>0</v>
      </c>
      <c r="K55" s="13">
        <f t="shared" si="2"/>
        <v>1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>Fail</v>
      </c>
      <c r="N55" t="str">
        <f t="shared" si="3"/>
        <v>Fail</v>
      </c>
    </row>
    <row r="56" spans="8:14">
      <c r="H56" s="13">
        <f t="shared" si="0"/>
        <v>1</v>
      </c>
      <c r="I56" t="str" cm="1">
        <f t="array" ref="I56">_xlfn.IFS(H56&lt;1,"No",H56=1,"Yes",H56&gt;1,_xlfn.TEXTJOIN("",TRUE,"Yes x",H56))</f>
        <v>Yes</v>
      </c>
      <c r="J56" s="13">
        <f t="shared" si="1"/>
        <v>0</v>
      </c>
      <c r="K56" s="13">
        <f t="shared" si="2"/>
        <v>1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>Fail</v>
      </c>
      <c r="N56" t="str">
        <f t="shared" si="3"/>
        <v>Fail</v>
      </c>
    </row>
    <row r="57" spans="8:14">
      <c r="H57" s="13">
        <f t="shared" si="0"/>
        <v>1</v>
      </c>
      <c r="I57" t="str" cm="1">
        <f t="array" ref="I57">_xlfn.IFS(H57&lt;1,"No",H57=1,"Yes",H57&gt;1,_xlfn.TEXTJOIN("",TRUE,"Yes x",H57))</f>
        <v>Yes</v>
      </c>
      <c r="J57" s="13">
        <f t="shared" si="1"/>
        <v>0</v>
      </c>
      <c r="K57" s="13">
        <f t="shared" si="2"/>
        <v>1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>Fail</v>
      </c>
      <c r="N57" t="str">
        <f t="shared" si="3"/>
        <v>Fail</v>
      </c>
    </row>
    <row r="58" spans="8:14">
      <c r="H58" s="13">
        <f t="shared" si="0"/>
        <v>1</v>
      </c>
      <c r="I58" t="str" cm="1">
        <f t="array" ref="I58">_xlfn.IFS(H58&lt;1,"No",H58=1,"Yes",H58&gt;1,_xlfn.TEXTJOIN("",TRUE,"Yes x",H58))</f>
        <v>Yes</v>
      </c>
      <c r="J58" s="13">
        <f t="shared" si="1"/>
        <v>0</v>
      </c>
      <c r="K58" s="13">
        <f t="shared" si="2"/>
        <v>1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>Fail</v>
      </c>
      <c r="N58" t="str">
        <f t="shared" si="3"/>
        <v>Fail</v>
      </c>
    </row>
    <row r="59" spans="8:14">
      <c r="H59" s="13">
        <f t="shared" si="0"/>
        <v>1</v>
      </c>
      <c r="I59" t="str" cm="1">
        <f t="array" ref="I59">_xlfn.IFS(H59&lt;1,"No",H59=1,"Yes",H59&gt;1,_xlfn.TEXTJOIN("",TRUE,"Yes x",H59))</f>
        <v>Yes</v>
      </c>
      <c r="J59" s="13">
        <f t="shared" si="1"/>
        <v>0</v>
      </c>
      <c r="K59" s="13">
        <f t="shared" si="2"/>
        <v>1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>Fail</v>
      </c>
      <c r="N59" t="str">
        <f t="shared" si="3"/>
        <v>Fail</v>
      </c>
    </row>
    <row r="60" spans="8:14">
      <c r="H60" s="13">
        <f t="shared" si="0"/>
        <v>1</v>
      </c>
      <c r="I60" t="str" cm="1">
        <f t="array" ref="I60">_xlfn.IFS(H60&lt;1,"No",H60=1,"Yes",H60&gt;1,_xlfn.TEXTJOIN("",TRUE,"Yes x",H60))</f>
        <v>Yes</v>
      </c>
      <c r="J60" s="13">
        <f t="shared" si="1"/>
        <v>0</v>
      </c>
      <c r="K60" s="13">
        <f t="shared" si="2"/>
        <v>1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>Fail</v>
      </c>
      <c r="N60" t="str">
        <f t="shared" si="3"/>
        <v>Fail</v>
      </c>
    </row>
    <row r="61" spans="8:14">
      <c r="H61" s="13">
        <f t="shared" si="0"/>
        <v>1</v>
      </c>
      <c r="I61" t="str" cm="1">
        <f t="array" ref="I61">_xlfn.IFS(H61&lt;1,"No",H61=1,"Yes",H61&gt;1,_xlfn.TEXTJOIN("",TRUE,"Yes x",H61))</f>
        <v>Yes</v>
      </c>
      <c r="J61" s="13">
        <f t="shared" si="1"/>
        <v>0</v>
      </c>
      <c r="K61" s="13">
        <f t="shared" si="2"/>
        <v>1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>Fail</v>
      </c>
      <c r="N61" t="str">
        <f t="shared" si="3"/>
        <v>Fail</v>
      </c>
    </row>
    <row r="62" spans="8:14">
      <c r="H62" s="13">
        <f t="shared" si="0"/>
        <v>1</v>
      </c>
      <c r="I62" t="str" cm="1">
        <f t="array" ref="I62">_xlfn.IFS(H62&lt;1,"No",H62=1,"Yes",H62&gt;1,_xlfn.TEXTJOIN("",TRUE,"Yes x",H62))</f>
        <v>Yes</v>
      </c>
      <c r="J62" s="13">
        <f t="shared" si="1"/>
        <v>0</v>
      </c>
      <c r="K62" s="13">
        <f t="shared" si="2"/>
        <v>1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>Fail</v>
      </c>
      <c r="N62" t="str">
        <f t="shared" si="3"/>
        <v>Fail</v>
      </c>
    </row>
    <row r="63" spans="8:14">
      <c r="H63" s="13">
        <f t="shared" si="0"/>
        <v>1</v>
      </c>
      <c r="I63" t="str" cm="1">
        <f t="array" ref="I63">_xlfn.IFS(H63&lt;1,"No",H63=1,"Yes",H63&gt;1,_xlfn.TEXTJOIN("",TRUE,"Yes x",H63))</f>
        <v>Yes</v>
      </c>
      <c r="J63" s="13">
        <f t="shared" si="1"/>
        <v>0</v>
      </c>
      <c r="K63" s="13">
        <f t="shared" si="2"/>
        <v>1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>Fail</v>
      </c>
      <c r="N63" t="str">
        <f t="shared" si="3"/>
        <v>Fail</v>
      </c>
    </row>
    <row r="64" spans="8:14">
      <c r="H64" s="13">
        <f t="shared" si="0"/>
        <v>1</v>
      </c>
      <c r="I64" t="str" cm="1">
        <f t="array" ref="I64">_xlfn.IFS(H64&lt;1,"No",H64=1,"Yes",H64&gt;1,_xlfn.TEXTJOIN("",TRUE,"Yes x",H64))</f>
        <v>Yes</v>
      </c>
      <c r="J64" s="13">
        <f t="shared" si="1"/>
        <v>0</v>
      </c>
      <c r="K64" s="13">
        <f t="shared" si="2"/>
        <v>1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>Fail</v>
      </c>
      <c r="N64" t="str">
        <f t="shared" si="3"/>
        <v>Fail</v>
      </c>
    </row>
    <row r="65" spans="8:14">
      <c r="H65" s="13">
        <f t="shared" si="0"/>
        <v>1</v>
      </c>
      <c r="I65" t="str" cm="1">
        <f t="array" ref="I65">_xlfn.IFS(H65&lt;1,"No",H65=1,"Yes",H65&gt;1,_xlfn.TEXTJOIN("",TRUE,"Yes x",H65))</f>
        <v>Yes</v>
      </c>
      <c r="J65" s="13">
        <f t="shared" si="1"/>
        <v>0</v>
      </c>
      <c r="K65" s="13">
        <f t="shared" si="2"/>
        <v>1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>Fail</v>
      </c>
      <c r="N65" t="str">
        <f t="shared" si="3"/>
        <v>Fail</v>
      </c>
    </row>
    <row r="66" spans="8:14">
      <c r="H66" s="13">
        <f t="shared" si="0"/>
        <v>1</v>
      </c>
      <c r="I66" t="str" cm="1">
        <f t="array" ref="I66">_xlfn.IFS(H66&lt;1,"No",H66=1,"Yes",H66&gt;1,_xlfn.TEXTJOIN("",TRUE,"Yes x",H66))</f>
        <v>Yes</v>
      </c>
      <c r="J66" s="13">
        <f t="shared" si="1"/>
        <v>0</v>
      </c>
      <c r="K66" s="13">
        <f t="shared" si="2"/>
        <v>1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>Fail</v>
      </c>
      <c r="N66" t="str">
        <f t="shared" si="3"/>
        <v>Fail</v>
      </c>
    </row>
    <row r="67" spans="8:14">
      <c r="H67" s="13">
        <f t="shared" ref="H67:H130" si="4">IFERROR(GETPIVOTDATA("Successful / Failed",$A$1,"System serial",G67),0)</f>
        <v>1</v>
      </c>
      <c r="I67" t="str" cm="1">
        <f t="array" ref="I67">_xlfn.IFS(H67&lt;1,"No",H67=1,"Yes",H67&gt;1,_xlfn.TEXTJOIN("",TRUE,"Yes x",H67))</f>
        <v>Yes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1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>Fail</v>
      </c>
      <c r="N67" t="str">
        <f t="shared" ref="N67:N113" si="7">_xlfn.TEXTJOIN(", ",TRUE, L67, M67)</f>
        <v>Fail</v>
      </c>
    </row>
    <row r="68" spans="8:14">
      <c r="H68" s="13">
        <f t="shared" si="4"/>
        <v>1</v>
      </c>
      <c r="I68" t="str" cm="1">
        <f t="array" ref="I68">_xlfn.IFS(H68&lt;1,"No",H68=1,"Yes",H68&gt;1,_xlfn.TEXTJOIN("",TRUE,"Yes x",H68))</f>
        <v>Yes</v>
      </c>
      <c r="J68" s="13">
        <f t="shared" si="5"/>
        <v>0</v>
      </c>
      <c r="K68" s="13">
        <f t="shared" si="6"/>
        <v>1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>Fail</v>
      </c>
      <c r="N68" t="str">
        <f t="shared" si="7"/>
        <v>Fail</v>
      </c>
    </row>
    <row r="69" spans="8:14">
      <c r="H69" s="13">
        <f t="shared" si="4"/>
        <v>1</v>
      </c>
      <c r="I69" t="str" cm="1">
        <f t="array" ref="I69">_xlfn.IFS(H69&lt;1,"No",H69=1,"Yes",H69&gt;1,_xlfn.TEXTJOIN("",TRUE,"Yes x",H69))</f>
        <v>Yes</v>
      </c>
      <c r="J69" s="13">
        <f t="shared" si="5"/>
        <v>0</v>
      </c>
      <c r="K69" s="13">
        <f t="shared" si="6"/>
        <v>1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>Fail</v>
      </c>
      <c r="N69" t="str">
        <f t="shared" si="7"/>
        <v>Fail</v>
      </c>
    </row>
    <row r="70" spans="8:14">
      <c r="H70" s="13">
        <f t="shared" si="4"/>
        <v>1</v>
      </c>
      <c r="I70" t="str" cm="1">
        <f t="array" ref="I70">_xlfn.IFS(H70&lt;1,"No",H70=1,"Yes",H70&gt;1,_xlfn.TEXTJOIN("",TRUE,"Yes x",H70))</f>
        <v>Yes</v>
      </c>
      <c r="J70" s="13">
        <f t="shared" si="5"/>
        <v>0</v>
      </c>
      <c r="K70" s="13">
        <f t="shared" si="6"/>
        <v>1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>Fail</v>
      </c>
      <c r="N70" t="str">
        <f t="shared" si="7"/>
        <v>Fail</v>
      </c>
    </row>
    <row r="71" spans="8:14">
      <c r="H71" s="13">
        <f t="shared" si="4"/>
        <v>1</v>
      </c>
      <c r="I71" t="str" cm="1">
        <f t="array" ref="I71">_xlfn.IFS(H71&lt;1,"No",H71=1,"Yes",H71&gt;1,_xlfn.TEXTJOIN("",TRUE,"Yes x",H71))</f>
        <v>Yes</v>
      </c>
      <c r="J71" s="13">
        <f t="shared" si="5"/>
        <v>0</v>
      </c>
      <c r="K71" s="13">
        <f t="shared" si="6"/>
        <v>1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>Fail</v>
      </c>
      <c r="N71" t="str">
        <f t="shared" si="7"/>
        <v>Fail</v>
      </c>
    </row>
    <row r="72" spans="8:14">
      <c r="H72" s="13">
        <f t="shared" si="4"/>
        <v>1</v>
      </c>
      <c r="I72" t="str" cm="1">
        <f t="array" ref="I72">_xlfn.IFS(H72&lt;1,"No",H72=1,"Yes",H72&gt;1,_xlfn.TEXTJOIN("",TRUE,"Yes x",H72))</f>
        <v>Yes</v>
      </c>
      <c r="J72" s="13">
        <f t="shared" si="5"/>
        <v>0</v>
      </c>
      <c r="K72" s="13">
        <f t="shared" si="6"/>
        <v>1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>Fail</v>
      </c>
      <c r="N72" t="str">
        <f t="shared" si="7"/>
        <v>Fail</v>
      </c>
    </row>
    <row r="73" spans="8:14">
      <c r="H73" s="13">
        <f t="shared" si="4"/>
        <v>1</v>
      </c>
      <c r="I73" t="str" cm="1">
        <f t="array" ref="I73">_xlfn.IFS(H73&lt;1,"No",H73=1,"Yes",H73&gt;1,_xlfn.TEXTJOIN("",TRUE,"Yes x",H73))</f>
        <v>Yes</v>
      </c>
      <c r="J73" s="13">
        <f t="shared" si="5"/>
        <v>0</v>
      </c>
      <c r="K73" s="13">
        <f t="shared" si="6"/>
        <v>1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>Fail</v>
      </c>
      <c r="N73" t="str">
        <f t="shared" si="7"/>
        <v>Fail</v>
      </c>
    </row>
    <row r="74" spans="8:14">
      <c r="H74" s="13">
        <f t="shared" si="4"/>
        <v>1</v>
      </c>
      <c r="I74" t="str" cm="1">
        <f t="array" ref="I74">_xlfn.IFS(H74&lt;1,"No",H74=1,"Yes",H74&gt;1,_xlfn.TEXTJOIN("",TRUE,"Yes x",H74))</f>
        <v>Yes</v>
      </c>
      <c r="J74" s="13">
        <f t="shared" si="5"/>
        <v>0</v>
      </c>
      <c r="K74" s="13">
        <f t="shared" si="6"/>
        <v>1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>Fail</v>
      </c>
      <c r="N74" t="str">
        <f t="shared" si="7"/>
        <v>Fail</v>
      </c>
    </row>
    <row r="75" spans="8:14">
      <c r="H75" s="13">
        <f t="shared" si="4"/>
        <v>1</v>
      </c>
      <c r="I75" t="str" cm="1">
        <f t="array" ref="I75">_xlfn.IFS(H75&lt;1,"No",H75=1,"Yes",H75&gt;1,_xlfn.TEXTJOIN("",TRUE,"Yes x",H75))</f>
        <v>Yes</v>
      </c>
      <c r="J75" s="13">
        <f t="shared" si="5"/>
        <v>0</v>
      </c>
      <c r="K75" s="13">
        <f t="shared" si="6"/>
        <v>1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>Fail</v>
      </c>
      <c r="N75" t="str">
        <f t="shared" si="7"/>
        <v>Fail</v>
      </c>
    </row>
    <row r="76" spans="8:14">
      <c r="H76" s="13">
        <f t="shared" si="4"/>
        <v>1</v>
      </c>
      <c r="I76" t="str" cm="1">
        <f t="array" ref="I76">_xlfn.IFS(H76&lt;1,"No",H76=1,"Yes",H76&gt;1,_xlfn.TEXTJOIN("",TRUE,"Yes x",H76))</f>
        <v>Yes</v>
      </c>
      <c r="J76" s="13">
        <f t="shared" si="5"/>
        <v>0</v>
      </c>
      <c r="K76" s="13">
        <f t="shared" si="6"/>
        <v>1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>Fail</v>
      </c>
      <c r="N76" t="str">
        <f t="shared" si="7"/>
        <v>Fail</v>
      </c>
    </row>
    <row r="77" spans="8:14">
      <c r="H77" s="13">
        <f t="shared" si="4"/>
        <v>1</v>
      </c>
      <c r="I77" t="str" cm="1">
        <f t="array" ref="I77">_xlfn.IFS(H77&lt;1,"No",H77=1,"Yes",H77&gt;1,_xlfn.TEXTJOIN("",TRUE,"Yes x",H77))</f>
        <v>Yes</v>
      </c>
      <c r="J77" s="13">
        <f t="shared" si="5"/>
        <v>0</v>
      </c>
      <c r="K77" s="13">
        <f t="shared" si="6"/>
        <v>1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>Fail</v>
      </c>
      <c r="N77" t="str">
        <f t="shared" si="7"/>
        <v>Fail</v>
      </c>
    </row>
    <row r="78" spans="8:14">
      <c r="H78" s="13">
        <f t="shared" si="4"/>
        <v>1</v>
      </c>
      <c r="I78" t="str" cm="1">
        <f t="array" ref="I78">_xlfn.IFS(H78&lt;1,"No",H78=1,"Yes",H78&gt;1,_xlfn.TEXTJOIN("",TRUE,"Yes x",H78))</f>
        <v>Yes</v>
      </c>
      <c r="J78" s="13">
        <f t="shared" si="5"/>
        <v>0</v>
      </c>
      <c r="K78" s="13">
        <f t="shared" si="6"/>
        <v>1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>Fail</v>
      </c>
      <c r="N78" t="str">
        <f t="shared" si="7"/>
        <v>Fail</v>
      </c>
    </row>
    <row r="79" spans="8:14">
      <c r="H79" s="13">
        <f t="shared" si="4"/>
        <v>1</v>
      </c>
      <c r="I79" t="str" cm="1">
        <f t="array" ref="I79">_xlfn.IFS(H79&lt;1,"No",H79=1,"Yes",H79&gt;1,_xlfn.TEXTJOIN("",TRUE,"Yes x",H79))</f>
        <v>Yes</v>
      </c>
      <c r="J79" s="13">
        <f t="shared" si="5"/>
        <v>0</v>
      </c>
      <c r="K79" s="13">
        <f t="shared" si="6"/>
        <v>1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>Fail</v>
      </c>
      <c r="N79" t="str">
        <f t="shared" si="7"/>
        <v>Fail</v>
      </c>
    </row>
    <row r="80" spans="8:14">
      <c r="H80" s="13">
        <f t="shared" si="4"/>
        <v>1</v>
      </c>
      <c r="I80" t="str" cm="1">
        <f t="array" ref="I80">_xlfn.IFS(H80&lt;1,"No",H80=1,"Yes",H80&gt;1,_xlfn.TEXTJOIN("",TRUE,"Yes x",H80))</f>
        <v>Yes</v>
      </c>
      <c r="J80" s="13">
        <f t="shared" si="5"/>
        <v>0</v>
      </c>
      <c r="K80" s="13">
        <f t="shared" si="6"/>
        <v>1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>Fail</v>
      </c>
      <c r="N80" t="str">
        <f t="shared" si="7"/>
        <v>Fail</v>
      </c>
    </row>
    <row r="81" spans="8:14">
      <c r="H81" s="13">
        <f t="shared" si="4"/>
        <v>1</v>
      </c>
      <c r="I81" t="str" cm="1">
        <f t="array" ref="I81">_xlfn.IFS(H81&lt;1,"No",H81=1,"Yes",H81&gt;1,_xlfn.TEXTJOIN("",TRUE,"Yes x",H81))</f>
        <v>Yes</v>
      </c>
      <c r="J81" s="13">
        <f t="shared" si="5"/>
        <v>0</v>
      </c>
      <c r="K81" s="13">
        <f t="shared" si="6"/>
        <v>1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>Fail</v>
      </c>
      <c r="N81" t="str">
        <f t="shared" si="7"/>
        <v>Fail</v>
      </c>
    </row>
    <row r="82" spans="8:14">
      <c r="H82" s="13">
        <f t="shared" si="4"/>
        <v>1</v>
      </c>
      <c r="I82" t="str" cm="1">
        <f t="array" ref="I82">_xlfn.IFS(H82&lt;1,"No",H82=1,"Yes",H82&gt;1,_xlfn.TEXTJOIN("",TRUE,"Yes x",H82))</f>
        <v>Yes</v>
      </c>
      <c r="J82" s="13">
        <f t="shared" si="5"/>
        <v>0</v>
      </c>
      <c r="K82" s="13">
        <f t="shared" si="6"/>
        <v>1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>Fail</v>
      </c>
      <c r="N82" t="str">
        <f t="shared" si="7"/>
        <v>Fail</v>
      </c>
    </row>
    <row r="83" spans="8:14">
      <c r="H83" s="13">
        <f t="shared" si="4"/>
        <v>1</v>
      </c>
      <c r="I83" t="str" cm="1">
        <f t="array" ref="I83">_xlfn.IFS(H83&lt;1,"No",H83=1,"Yes",H83&gt;1,_xlfn.TEXTJOIN("",TRUE,"Yes x",H83))</f>
        <v>Yes</v>
      </c>
      <c r="J83" s="13">
        <f t="shared" si="5"/>
        <v>0</v>
      </c>
      <c r="K83" s="13">
        <f t="shared" si="6"/>
        <v>1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>Fail</v>
      </c>
      <c r="N83" t="str">
        <f t="shared" si="7"/>
        <v>Fail</v>
      </c>
    </row>
    <row r="84" spans="8:14">
      <c r="H84" s="13">
        <f t="shared" si="4"/>
        <v>1</v>
      </c>
      <c r="I84" t="str" cm="1">
        <f t="array" ref="I84">_xlfn.IFS(H84&lt;1,"No",H84=1,"Yes",H84&gt;1,_xlfn.TEXTJOIN("",TRUE,"Yes x",H84))</f>
        <v>Yes</v>
      </c>
      <c r="J84" s="13">
        <f t="shared" si="5"/>
        <v>0</v>
      </c>
      <c r="K84" s="13">
        <f t="shared" si="6"/>
        <v>1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>Fail</v>
      </c>
      <c r="N84" t="str">
        <f t="shared" si="7"/>
        <v>Fail</v>
      </c>
    </row>
    <row r="85" spans="8:14">
      <c r="H85" s="13">
        <f t="shared" si="4"/>
        <v>1</v>
      </c>
      <c r="I85" t="str" cm="1">
        <f t="array" ref="I85">_xlfn.IFS(H85&lt;1,"No",H85=1,"Yes",H85&gt;1,_xlfn.TEXTJOIN("",TRUE,"Yes x",H85))</f>
        <v>Yes</v>
      </c>
      <c r="J85" s="13">
        <f t="shared" si="5"/>
        <v>0</v>
      </c>
      <c r="K85" s="13">
        <f t="shared" si="6"/>
        <v>1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>Fail</v>
      </c>
      <c r="N85" t="str">
        <f t="shared" si="7"/>
        <v>Fail</v>
      </c>
    </row>
    <row r="86" spans="8:14">
      <c r="H86" s="13">
        <f t="shared" si="4"/>
        <v>1</v>
      </c>
      <c r="I86" t="str" cm="1">
        <f t="array" ref="I86">_xlfn.IFS(H86&lt;1,"No",H86=1,"Yes",H86&gt;1,_xlfn.TEXTJOIN("",TRUE,"Yes x",H86))</f>
        <v>Yes</v>
      </c>
      <c r="J86" s="13">
        <f t="shared" si="5"/>
        <v>0</v>
      </c>
      <c r="K86" s="13">
        <f t="shared" si="6"/>
        <v>1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>Fail</v>
      </c>
      <c r="N86" t="str">
        <f t="shared" si="7"/>
        <v>Fail</v>
      </c>
    </row>
    <row r="87" spans="8:14">
      <c r="H87" s="13">
        <f t="shared" si="4"/>
        <v>1</v>
      </c>
      <c r="I87" t="str" cm="1">
        <f t="array" ref="I87">_xlfn.IFS(H87&lt;1,"No",H87=1,"Yes",H87&gt;1,_xlfn.TEXTJOIN("",TRUE,"Yes x",H87))</f>
        <v>Yes</v>
      </c>
      <c r="J87" s="13">
        <f t="shared" si="5"/>
        <v>0</v>
      </c>
      <c r="K87" s="13">
        <f t="shared" si="6"/>
        <v>1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>Fail</v>
      </c>
      <c r="N87" t="str">
        <f t="shared" si="7"/>
        <v>Fail</v>
      </c>
    </row>
    <row r="88" spans="8:14">
      <c r="H88" s="13">
        <f t="shared" si="4"/>
        <v>1</v>
      </c>
      <c r="I88" t="str" cm="1">
        <f t="array" ref="I88">_xlfn.IFS(H88&lt;1,"No",H88=1,"Yes",H88&gt;1,_xlfn.TEXTJOIN("",TRUE,"Yes x",H88))</f>
        <v>Yes</v>
      </c>
      <c r="J88" s="13">
        <f t="shared" si="5"/>
        <v>0</v>
      </c>
      <c r="K88" s="13">
        <f t="shared" si="6"/>
        <v>1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>Fail</v>
      </c>
      <c r="N88" t="str">
        <f t="shared" si="7"/>
        <v>Fail</v>
      </c>
    </row>
    <row r="89" spans="8:14">
      <c r="H89" s="13">
        <f t="shared" si="4"/>
        <v>1</v>
      </c>
      <c r="I89" t="str" cm="1">
        <f t="array" ref="I89">_xlfn.IFS(H89&lt;1,"No",H89=1,"Yes",H89&gt;1,_xlfn.TEXTJOIN("",TRUE,"Yes x",H89))</f>
        <v>Yes</v>
      </c>
      <c r="J89" s="13">
        <f t="shared" si="5"/>
        <v>0</v>
      </c>
      <c r="K89" s="13">
        <f t="shared" si="6"/>
        <v>1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>Fail</v>
      </c>
      <c r="N89" t="str">
        <f t="shared" si="7"/>
        <v>Fail</v>
      </c>
    </row>
    <row r="90" spans="8:14">
      <c r="H90" s="13">
        <f t="shared" si="4"/>
        <v>1</v>
      </c>
      <c r="I90" t="str" cm="1">
        <f t="array" ref="I90">_xlfn.IFS(H90&lt;1,"No",H90=1,"Yes",H90&gt;1,_xlfn.TEXTJOIN("",TRUE,"Yes x",H90))</f>
        <v>Yes</v>
      </c>
      <c r="J90" s="13">
        <f t="shared" si="5"/>
        <v>0</v>
      </c>
      <c r="K90" s="13">
        <f t="shared" si="6"/>
        <v>1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>Fail</v>
      </c>
      <c r="N90" t="str">
        <f t="shared" si="7"/>
        <v>Fail</v>
      </c>
    </row>
    <row r="91" spans="8:14">
      <c r="H91" s="13">
        <f t="shared" si="4"/>
        <v>1</v>
      </c>
      <c r="I91" t="str" cm="1">
        <f t="array" ref="I91">_xlfn.IFS(H91&lt;1,"No",H91=1,"Yes",H91&gt;1,_xlfn.TEXTJOIN("",TRUE,"Yes x",H91))</f>
        <v>Yes</v>
      </c>
      <c r="J91" s="13">
        <f t="shared" si="5"/>
        <v>0</v>
      </c>
      <c r="K91" s="13">
        <f t="shared" si="6"/>
        <v>1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>Fail</v>
      </c>
      <c r="N91" t="str">
        <f t="shared" si="7"/>
        <v>Fail</v>
      </c>
    </row>
    <row r="92" spans="8:14">
      <c r="H92" s="13">
        <f t="shared" si="4"/>
        <v>1</v>
      </c>
      <c r="I92" t="str" cm="1">
        <f t="array" ref="I92">_xlfn.IFS(H92&lt;1,"No",H92=1,"Yes",H92&gt;1,_xlfn.TEXTJOIN("",TRUE,"Yes x",H92))</f>
        <v>Yes</v>
      </c>
      <c r="J92" s="13">
        <f t="shared" si="5"/>
        <v>0</v>
      </c>
      <c r="K92" s="13">
        <f t="shared" si="6"/>
        <v>1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>Fail</v>
      </c>
      <c r="N92" t="str">
        <f t="shared" si="7"/>
        <v>Fail</v>
      </c>
    </row>
    <row r="93" spans="8:14">
      <c r="H93" s="13">
        <f t="shared" si="4"/>
        <v>1</v>
      </c>
      <c r="I93" t="str" cm="1">
        <f t="array" ref="I93">_xlfn.IFS(H93&lt;1,"No",H93=1,"Yes",H93&gt;1,_xlfn.TEXTJOIN("",TRUE,"Yes x",H93))</f>
        <v>Yes</v>
      </c>
      <c r="J93" s="13">
        <f t="shared" si="5"/>
        <v>0</v>
      </c>
      <c r="K93" s="13">
        <f t="shared" si="6"/>
        <v>1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>Fail</v>
      </c>
      <c r="N93" t="str">
        <f t="shared" si="7"/>
        <v>Fail</v>
      </c>
    </row>
    <row r="94" spans="8:14">
      <c r="H94" s="13">
        <f t="shared" si="4"/>
        <v>1</v>
      </c>
      <c r="I94" t="str" cm="1">
        <f t="array" ref="I94">_xlfn.IFS(H94&lt;1,"No",H94=1,"Yes",H94&gt;1,_xlfn.TEXTJOIN("",TRUE,"Yes x",H94))</f>
        <v>Yes</v>
      </c>
      <c r="J94" s="13">
        <f t="shared" si="5"/>
        <v>0</v>
      </c>
      <c r="K94" s="13">
        <f t="shared" si="6"/>
        <v>1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>Fail</v>
      </c>
      <c r="N94" t="str">
        <f t="shared" si="7"/>
        <v>Fail</v>
      </c>
    </row>
    <row r="95" spans="8:14">
      <c r="H95" s="13">
        <f t="shared" si="4"/>
        <v>1</v>
      </c>
      <c r="I95" t="str" cm="1">
        <f t="array" ref="I95">_xlfn.IFS(H95&lt;1,"No",H95=1,"Yes",H95&gt;1,_xlfn.TEXTJOIN("",TRUE,"Yes x",H95))</f>
        <v>Yes</v>
      </c>
      <c r="J95" s="13">
        <f t="shared" si="5"/>
        <v>0</v>
      </c>
      <c r="K95" s="13">
        <f t="shared" si="6"/>
        <v>1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>Fail</v>
      </c>
      <c r="N95" t="str">
        <f t="shared" si="7"/>
        <v>Fail</v>
      </c>
    </row>
    <row r="96" spans="8:14">
      <c r="H96" s="13">
        <f t="shared" si="4"/>
        <v>1</v>
      </c>
      <c r="I96" t="str" cm="1">
        <f t="array" ref="I96">_xlfn.IFS(H96&lt;1,"No",H96=1,"Yes",H96&gt;1,_xlfn.TEXTJOIN("",TRUE,"Yes x",H96))</f>
        <v>Yes</v>
      </c>
      <c r="J96" s="13">
        <f t="shared" si="5"/>
        <v>0</v>
      </c>
      <c r="K96" s="13">
        <f t="shared" si="6"/>
        <v>1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>Fail</v>
      </c>
      <c r="N96" t="str">
        <f t="shared" si="7"/>
        <v>Fail</v>
      </c>
    </row>
    <row r="97" spans="8:14">
      <c r="H97" s="13">
        <f t="shared" si="4"/>
        <v>1</v>
      </c>
      <c r="I97" t="str" cm="1">
        <f t="array" ref="I97">_xlfn.IFS(H97&lt;1,"No",H97=1,"Yes",H97&gt;1,_xlfn.TEXTJOIN("",TRUE,"Yes x",H97))</f>
        <v>Yes</v>
      </c>
      <c r="J97" s="13">
        <f t="shared" si="5"/>
        <v>0</v>
      </c>
      <c r="K97" s="13">
        <f t="shared" si="6"/>
        <v>1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>Fail</v>
      </c>
      <c r="N97" t="str">
        <f t="shared" si="7"/>
        <v>Fail</v>
      </c>
    </row>
    <row r="98" spans="8:14">
      <c r="H98" s="13">
        <f t="shared" si="4"/>
        <v>1</v>
      </c>
      <c r="I98" t="str" cm="1">
        <f t="array" ref="I98">_xlfn.IFS(H98&lt;1,"No",H98=1,"Yes",H98&gt;1,_xlfn.TEXTJOIN("",TRUE,"Yes x",H98))</f>
        <v>Yes</v>
      </c>
      <c r="J98" s="13">
        <f t="shared" si="5"/>
        <v>0</v>
      </c>
      <c r="K98" s="13">
        <f t="shared" si="6"/>
        <v>1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>Fail</v>
      </c>
      <c r="N98" t="str">
        <f t="shared" si="7"/>
        <v>Fail</v>
      </c>
    </row>
    <row r="99" spans="8:14">
      <c r="H99" s="13">
        <f t="shared" si="4"/>
        <v>1</v>
      </c>
      <c r="I99" t="str" cm="1">
        <f t="array" ref="I99">_xlfn.IFS(H99&lt;1,"No",H99=1,"Yes",H99&gt;1,_xlfn.TEXTJOIN("",TRUE,"Yes x",H99))</f>
        <v>Yes</v>
      </c>
      <c r="J99" s="13">
        <f t="shared" si="5"/>
        <v>0</v>
      </c>
      <c r="K99" s="13">
        <f t="shared" si="6"/>
        <v>1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>Fail</v>
      </c>
      <c r="N99" t="str">
        <f t="shared" si="7"/>
        <v>Fail</v>
      </c>
    </row>
    <row r="100" spans="8:14">
      <c r="H100" s="13">
        <f t="shared" si="4"/>
        <v>1</v>
      </c>
      <c r="I100" t="str" cm="1">
        <f t="array" ref="I100">_xlfn.IFS(H100&lt;1,"No",H100=1,"Yes",H100&gt;1,_xlfn.TEXTJOIN("",TRUE,"Yes x",H100))</f>
        <v>Yes</v>
      </c>
      <c r="J100" s="13">
        <f t="shared" si="5"/>
        <v>0</v>
      </c>
      <c r="K100" s="13">
        <f t="shared" si="6"/>
        <v>1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>Fail</v>
      </c>
      <c r="N100" t="str">
        <f t="shared" si="7"/>
        <v>Fail</v>
      </c>
    </row>
    <row r="101" spans="8:14">
      <c r="H101" s="13">
        <f t="shared" si="4"/>
        <v>1</v>
      </c>
      <c r="J101" s="13">
        <f t="shared" si="5"/>
        <v>0</v>
      </c>
      <c r="K101" s="13">
        <f t="shared" si="6"/>
        <v>1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>Fail</v>
      </c>
      <c r="N101" t="str">
        <f t="shared" si="7"/>
        <v>Fail</v>
      </c>
    </row>
    <row r="102" spans="8:14">
      <c r="H102" s="13">
        <f t="shared" si="4"/>
        <v>1</v>
      </c>
      <c r="J102" s="13">
        <f t="shared" si="5"/>
        <v>0</v>
      </c>
      <c r="K102" s="13">
        <f t="shared" si="6"/>
        <v>1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>Fail</v>
      </c>
      <c r="N102" t="str">
        <f t="shared" si="7"/>
        <v>Fail</v>
      </c>
    </row>
    <row r="103" spans="8:14">
      <c r="H103" s="13">
        <f t="shared" si="4"/>
        <v>1</v>
      </c>
      <c r="J103" s="13">
        <f t="shared" si="5"/>
        <v>0</v>
      </c>
      <c r="K103" s="13">
        <f t="shared" si="6"/>
        <v>1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>Fail</v>
      </c>
      <c r="N103" t="str">
        <f t="shared" si="7"/>
        <v>Fail</v>
      </c>
    </row>
    <row r="104" spans="8:14">
      <c r="H104" s="13">
        <f t="shared" si="4"/>
        <v>1</v>
      </c>
      <c r="J104" s="13">
        <f t="shared" si="5"/>
        <v>0</v>
      </c>
      <c r="K104" s="13">
        <f t="shared" si="6"/>
        <v>1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>Fail</v>
      </c>
      <c r="N104" t="str">
        <f t="shared" si="7"/>
        <v>Fail</v>
      </c>
    </row>
    <row r="105" spans="8:14">
      <c r="H105" s="13">
        <f t="shared" si="4"/>
        <v>1</v>
      </c>
      <c r="J105" s="13">
        <f t="shared" si="5"/>
        <v>0</v>
      </c>
      <c r="K105" s="13">
        <f t="shared" si="6"/>
        <v>1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>Fail</v>
      </c>
      <c r="N105" t="str">
        <f t="shared" si="7"/>
        <v>Fail</v>
      </c>
    </row>
    <row r="106" spans="8:14">
      <c r="H106" s="13">
        <f t="shared" si="4"/>
        <v>1</v>
      </c>
      <c r="J106" s="13">
        <f t="shared" si="5"/>
        <v>0</v>
      </c>
      <c r="K106" s="13">
        <f t="shared" si="6"/>
        <v>1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>Fail</v>
      </c>
      <c r="N106" t="str">
        <f t="shared" si="7"/>
        <v>Fail</v>
      </c>
    </row>
    <row r="107" spans="8:14">
      <c r="H107" s="13">
        <f t="shared" si="4"/>
        <v>1</v>
      </c>
      <c r="J107" s="13">
        <f t="shared" si="5"/>
        <v>0</v>
      </c>
      <c r="K107" s="13">
        <f t="shared" si="6"/>
        <v>1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>Fail</v>
      </c>
      <c r="N107" t="str">
        <f t="shared" si="7"/>
        <v>Fail</v>
      </c>
    </row>
    <row r="108" spans="8:14">
      <c r="H108" s="13">
        <f t="shared" si="4"/>
        <v>1</v>
      </c>
      <c r="J108" s="13">
        <f t="shared" si="5"/>
        <v>0</v>
      </c>
      <c r="K108" s="13">
        <f t="shared" si="6"/>
        <v>1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>Fail</v>
      </c>
      <c r="N108" t="str">
        <f t="shared" si="7"/>
        <v>Fail</v>
      </c>
    </row>
    <row r="109" spans="8:14">
      <c r="H109" s="13">
        <f t="shared" si="4"/>
        <v>1</v>
      </c>
      <c r="J109" s="13">
        <f t="shared" si="5"/>
        <v>0</v>
      </c>
      <c r="K109" s="13">
        <f t="shared" si="6"/>
        <v>1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>Fail</v>
      </c>
      <c r="N109" t="str">
        <f t="shared" si="7"/>
        <v>Fail</v>
      </c>
    </row>
    <row r="110" spans="8:14">
      <c r="H110" s="13">
        <f t="shared" si="4"/>
        <v>1</v>
      </c>
      <c r="J110" s="13">
        <f t="shared" si="5"/>
        <v>0</v>
      </c>
      <c r="K110" s="13">
        <f t="shared" si="6"/>
        <v>1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>Fail</v>
      </c>
      <c r="N110" t="str">
        <f t="shared" si="7"/>
        <v>Fail</v>
      </c>
    </row>
    <row r="111" spans="8:14">
      <c r="H111" s="13">
        <f t="shared" si="4"/>
        <v>1</v>
      </c>
      <c r="J111" s="13">
        <f t="shared" si="5"/>
        <v>0</v>
      </c>
      <c r="K111" s="13">
        <f t="shared" si="6"/>
        <v>1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>Fail</v>
      </c>
      <c r="N111" t="str">
        <f t="shared" si="7"/>
        <v>Fail</v>
      </c>
    </row>
    <row r="112" spans="8:14">
      <c r="H112" s="13">
        <f t="shared" si="4"/>
        <v>1</v>
      </c>
      <c r="J112" s="13">
        <f t="shared" si="5"/>
        <v>0</v>
      </c>
      <c r="K112" s="13">
        <f t="shared" si="6"/>
        <v>1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>Fail</v>
      </c>
      <c r="N112" t="str">
        <f t="shared" si="7"/>
        <v>Fail</v>
      </c>
    </row>
    <row r="113" spans="8:14">
      <c r="H113" s="13">
        <f t="shared" si="4"/>
        <v>1</v>
      </c>
      <c r="J113" s="13">
        <f t="shared" si="5"/>
        <v>0</v>
      </c>
      <c r="K113" s="13">
        <f t="shared" si="6"/>
        <v>1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>Fail</v>
      </c>
      <c r="N113" t="str">
        <f t="shared" si="7"/>
        <v>Fail</v>
      </c>
    </row>
    <row r="114" spans="8:14">
      <c r="H114" s="13">
        <f t="shared" si="4"/>
        <v>1</v>
      </c>
      <c r="J114" s="13">
        <f t="shared" si="5"/>
        <v>0</v>
      </c>
      <c r="K114" s="13">
        <f t="shared" si="6"/>
        <v>1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>Fail</v>
      </c>
    </row>
    <row r="115" spans="8:14">
      <c r="H115" s="13">
        <f t="shared" si="4"/>
        <v>1</v>
      </c>
      <c r="J115" s="13">
        <f t="shared" si="5"/>
        <v>0</v>
      </c>
      <c r="K115" s="13">
        <f t="shared" si="6"/>
        <v>1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>Fail</v>
      </c>
    </row>
    <row r="116" spans="8:14">
      <c r="H116" s="13">
        <f t="shared" si="4"/>
        <v>1</v>
      </c>
      <c r="J116" s="13">
        <f t="shared" si="5"/>
        <v>0</v>
      </c>
      <c r="K116" s="13">
        <f t="shared" si="6"/>
        <v>1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>Fail</v>
      </c>
    </row>
    <row r="117" spans="8:14">
      <c r="H117" s="13">
        <f t="shared" si="4"/>
        <v>1</v>
      </c>
      <c r="J117" s="13">
        <f t="shared" si="5"/>
        <v>0</v>
      </c>
      <c r="K117" s="13">
        <f t="shared" si="6"/>
        <v>1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>Fail</v>
      </c>
    </row>
    <row r="118" spans="8:14">
      <c r="H118" s="13">
        <f t="shared" si="4"/>
        <v>1</v>
      </c>
      <c r="J118" s="13">
        <f t="shared" si="5"/>
        <v>0</v>
      </c>
      <c r="K118" s="13">
        <f t="shared" si="6"/>
        <v>1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>Fail</v>
      </c>
    </row>
    <row r="119" spans="8:14">
      <c r="H119" s="13">
        <f t="shared" si="4"/>
        <v>1</v>
      </c>
      <c r="J119" s="13">
        <f t="shared" si="5"/>
        <v>0</v>
      </c>
      <c r="K119" s="13">
        <f t="shared" si="6"/>
        <v>1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>Fail</v>
      </c>
    </row>
    <row r="120" spans="8:14">
      <c r="H120" s="13">
        <f t="shared" si="4"/>
        <v>1</v>
      </c>
      <c r="J120" s="13">
        <f t="shared" si="5"/>
        <v>0</v>
      </c>
      <c r="K120" s="13">
        <f t="shared" si="6"/>
        <v>1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>Fail</v>
      </c>
    </row>
    <row r="121" spans="8:14">
      <c r="H121" s="13">
        <f t="shared" si="4"/>
        <v>1</v>
      </c>
      <c r="J121" s="13">
        <f t="shared" si="5"/>
        <v>0</v>
      </c>
      <c r="K121" s="13">
        <f t="shared" si="6"/>
        <v>1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>Fail</v>
      </c>
    </row>
    <row r="122" spans="8:14">
      <c r="H122" s="13">
        <f t="shared" si="4"/>
        <v>1</v>
      </c>
      <c r="J122" s="13">
        <f t="shared" si="5"/>
        <v>0</v>
      </c>
      <c r="K122" s="13">
        <f t="shared" si="6"/>
        <v>1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>Fail</v>
      </c>
    </row>
    <row r="123" spans="8:14">
      <c r="H123" s="13">
        <f t="shared" si="4"/>
        <v>1</v>
      </c>
      <c r="J123" s="13">
        <f t="shared" si="5"/>
        <v>0</v>
      </c>
      <c r="K123" s="13">
        <f t="shared" si="6"/>
        <v>1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>Fail</v>
      </c>
    </row>
    <row r="124" spans="8:14">
      <c r="H124" s="13">
        <f t="shared" si="4"/>
        <v>1</v>
      </c>
      <c r="J124" s="13">
        <f t="shared" si="5"/>
        <v>0</v>
      </c>
      <c r="K124" s="13">
        <f t="shared" si="6"/>
        <v>1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>Fail</v>
      </c>
    </row>
    <row r="125" spans="8:14">
      <c r="H125" s="13">
        <f t="shared" si="4"/>
        <v>1</v>
      </c>
      <c r="J125" s="13">
        <f t="shared" si="5"/>
        <v>0</v>
      </c>
      <c r="K125" s="13">
        <f t="shared" si="6"/>
        <v>1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>Fail</v>
      </c>
    </row>
    <row r="126" spans="8:14">
      <c r="H126" s="13">
        <f t="shared" si="4"/>
        <v>1</v>
      </c>
      <c r="J126" s="13">
        <f t="shared" si="5"/>
        <v>0</v>
      </c>
      <c r="K126" s="13">
        <f t="shared" si="6"/>
        <v>1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>Fail</v>
      </c>
    </row>
    <row r="127" spans="8:14">
      <c r="H127" s="13">
        <f t="shared" si="4"/>
        <v>1</v>
      </c>
      <c r="J127" s="13">
        <f t="shared" si="5"/>
        <v>0</v>
      </c>
      <c r="K127" s="13">
        <f t="shared" si="6"/>
        <v>1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>Fail</v>
      </c>
    </row>
    <row r="128" spans="8:14">
      <c r="H128" s="13">
        <f t="shared" si="4"/>
        <v>1</v>
      </c>
      <c r="J128" s="13">
        <f t="shared" si="5"/>
        <v>0</v>
      </c>
      <c r="K128" s="13">
        <f t="shared" si="6"/>
        <v>1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>Fail</v>
      </c>
    </row>
    <row r="129" spans="8:13">
      <c r="H129" s="13">
        <f t="shared" si="4"/>
        <v>1</v>
      </c>
      <c r="J129" s="13">
        <f t="shared" si="5"/>
        <v>0</v>
      </c>
      <c r="K129" s="13">
        <f t="shared" si="6"/>
        <v>1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>Fail</v>
      </c>
    </row>
    <row r="130" spans="8:13">
      <c r="H130" s="13">
        <f t="shared" si="4"/>
        <v>1</v>
      </c>
      <c r="J130" s="13">
        <f t="shared" si="5"/>
        <v>0</v>
      </c>
      <c r="K130" s="13">
        <f t="shared" si="6"/>
        <v>1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>Fail</v>
      </c>
    </row>
    <row r="131" spans="8:13">
      <c r="H131" s="13">
        <f t="shared" ref="H131:H194" si="8">IFERROR(GETPIVOTDATA("Successful / Failed",$A$1,"System serial",G131),0)</f>
        <v>1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1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>Fail</v>
      </c>
    </row>
    <row r="132" spans="8:13">
      <c r="H132" s="13">
        <f t="shared" si="8"/>
        <v>1</v>
      </c>
      <c r="J132" s="13">
        <f t="shared" si="9"/>
        <v>0</v>
      </c>
      <c r="K132" s="13">
        <f t="shared" si="10"/>
        <v>1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>Fail</v>
      </c>
    </row>
    <row r="133" spans="8:13">
      <c r="H133" s="13">
        <f t="shared" si="8"/>
        <v>1</v>
      </c>
      <c r="J133" s="13">
        <f t="shared" si="9"/>
        <v>0</v>
      </c>
      <c r="K133" s="13">
        <f t="shared" si="10"/>
        <v>1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>Fail</v>
      </c>
    </row>
    <row r="134" spans="8:13">
      <c r="H134" s="13">
        <f t="shared" si="8"/>
        <v>1</v>
      </c>
      <c r="J134" s="13">
        <f t="shared" si="9"/>
        <v>0</v>
      </c>
      <c r="K134" s="13">
        <f t="shared" si="10"/>
        <v>1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>Fail</v>
      </c>
    </row>
    <row r="135" spans="8:13">
      <c r="H135" s="13">
        <f t="shared" si="8"/>
        <v>1</v>
      </c>
      <c r="J135" s="13">
        <f t="shared" si="9"/>
        <v>0</v>
      </c>
      <c r="K135" s="13">
        <f t="shared" si="10"/>
        <v>1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>Fail</v>
      </c>
    </row>
    <row r="136" spans="8:13">
      <c r="H136" s="13">
        <f t="shared" si="8"/>
        <v>1</v>
      </c>
      <c r="J136" s="13">
        <f t="shared" si="9"/>
        <v>0</v>
      </c>
      <c r="K136" s="13">
        <f t="shared" si="10"/>
        <v>1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>Fail</v>
      </c>
    </row>
    <row r="137" spans="8:13">
      <c r="H137" s="13">
        <f t="shared" si="8"/>
        <v>1</v>
      </c>
      <c r="J137" s="13">
        <f t="shared" si="9"/>
        <v>0</v>
      </c>
      <c r="K137" s="13">
        <f t="shared" si="10"/>
        <v>1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>Fail</v>
      </c>
    </row>
    <row r="138" spans="8:13">
      <c r="H138" s="13">
        <f t="shared" si="8"/>
        <v>1</v>
      </c>
      <c r="J138" s="13">
        <f t="shared" si="9"/>
        <v>0</v>
      </c>
      <c r="K138" s="13">
        <f t="shared" si="10"/>
        <v>1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>Fail</v>
      </c>
    </row>
    <row r="139" spans="8:13">
      <c r="H139" s="13">
        <f t="shared" si="8"/>
        <v>1</v>
      </c>
      <c r="J139" s="13">
        <f t="shared" si="9"/>
        <v>0</v>
      </c>
      <c r="K139" s="13">
        <f t="shared" si="10"/>
        <v>1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>Fail</v>
      </c>
    </row>
    <row r="140" spans="8:13">
      <c r="H140" s="13">
        <f t="shared" si="8"/>
        <v>1</v>
      </c>
      <c r="J140" s="13">
        <f t="shared" si="9"/>
        <v>0</v>
      </c>
      <c r="K140" s="13">
        <f t="shared" si="10"/>
        <v>1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>Fail</v>
      </c>
    </row>
    <row r="141" spans="8:13">
      <c r="H141" s="13">
        <f t="shared" si="8"/>
        <v>1</v>
      </c>
      <c r="J141" s="13">
        <f t="shared" si="9"/>
        <v>0</v>
      </c>
      <c r="K141" s="13">
        <f t="shared" si="10"/>
        <v>1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>Fail</v>
      </c>
    </row>
    <row r="142" spans="8:13">
      <c r="H142" s="13">
        <f t="shared" si="8"/>
        <v>1</v>
      </c>
      <c r="J142" s="13">
        <f t="shared" si="9"/>
        <v>0</v>
      </c>
      <c r="K142" s="13">
        <f t="shared" si="10"/>
        <v>1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>Fail</v>
      </c>
    </row>
    <row r="143" spans="8:13">
      <c r="H143" s="13">
        <f t="shared" si="8"/>
        <v>1</v>
      </c>
      <c r="J143" s="13">
        <f t="shared" si="9"/>
        <v>0</v>
      </c>
      <c r="K143" s="13">
        <f t="shared" si="10"/>
        <v>1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>Fail</v>
      </c>
    </row>
    <row r="144" spans="8:13">
      <c r="H144" s="13">
        <f t="shared" si="8"/>
        <v>1</v>
      </c>
      <c r="J144" s="13">
        <f t="shared" si="9"/>
        <v>0</v>
      </c>
      <c r="K144" s="13">
        <f t="shared" si="10"/>
        <v>1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>Fail</v>
      </c>
    </row>
    <row r="145" spans="8:13">
      <c r="H145" s="13">
        <f t="shared" si="8"/>
        <v>1</v>
      </c>
      <c r="J145" s="13">
        <f t="shared" si="9"/>
        <v>0</v>
      </c>
      <c r="K145" s="13">
        <f t="shared" si="10"/>
        <v>1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>Fail</v>
      </c>
    </row>
    <row r="146" spans="8:13">
      <c r="H146" s="13">
        <f t="shared" si="8"/>
        <v>1</v>
      </c>
      <c r="J146" s="13">
        <f t="shared" si="9"/>
        <v>0</v>
      </c>
      <c r="K146" s="13">
        <f t="shared" si="10"/>
        <v>1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>Fail</v>
      </c>
    </row>
    <row r="147" spans="8:13">
      <c r="H147" s="13">
        <f t="shared" si="8"/>
        <v>1</v>
      </c>
      <c r="J147" s="13">
        <f t="shared" si="9"/>
        <v>0</v>
      </c>
      <c r="K147" s="13">
        <f t="shared" si="10"/>
        <v>1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>Fail</v>
      </c>
    </row>
    <row r="148" spans="8:13">
      <c r="H148" s="13">
        <f t="shared" si="8"/>
        <v>1</v>
      </c>
      <c r="J148" s="13">
        <f t="shared" si="9"/>
        <v>0</v>
      </c>
      <c r="K148" s="13">
        <f t="shared" si="10"/>
        <v>1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>Fail</v>
      </c>
    </row>
    <row r="149" spans="8:13">
      <c r="H149" s="13">
        <f t="shared" si="8"/>
        <v>1</v>
      </c>
      <c r="J149" s="13">
        <f t="shared" si="9"/>
        <v>0</v>
      </c>
      <c r="K149" s="13">
        <f t="shared" si="10"/>
        <v>1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>Fail</v>
      </c>
    </row>
    <row r="150" spans="8:13">
      <c r="H150" s="13">
        <f t="shared" si="8"/>
        <v>1</v>
      </c>
      <c r="J150" s="13">
        <f t="shared" si="9"/>
        <v>0</v>
      </c>
      <c r="K150" s="13">
        <f t="shared" si="10"/>
        <v>1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>Fail</v>
      </c>
    </row>
    <row r="151" spans="8:13">
      <c r="H151" s="13">
        <f t="shared" si="8"/>
        <v>1</v>
      </c>
      <c r="J151" s="13">
        <f t="shared" si="9"/>
        <v>0</v>
      </c>
      <c r="K151" s="13">
        <f t="shared" si="10"/>
        <v>1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>Fail</v>
      </c>
    </row>
    <row r="152" spans="8:13">
      <c r="H152" s="13">
        <f t="shared" si="8"/>
        <v>1</v>
      </c>
      <c r="J152" s="13">
        <f t="shared" si="9"/>
        <v>0</v>
      </c>
      <c r="K152" s="13">
        <f t="shared" si="10"/>
        <v>1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>Fail</v>
      </c>
    </row>
    <row r="153" spans="8:13">
      <c r="H153" s="13">
        <f t="shared" si="8"/>
        <v>1</v>
      </c>
      <c r="J153" s="13">
        <f t="shared" si="9"/>
        <v>0</v>
      </c>
      <c r="K153" s="13">
        <f t="shared" si="10"/>
        <v>1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>Fail</v>
      </c>
    </row>
    <row r="154" spans="8:13">
      <c r="H154" s="13">
        <f t="shared" si="8"/>
        <v>1</v>
      </c>
      <c r="J154" s="13">
        <f t="shared" si="9"/>
        <v>0</v>
      </c>
      <c r="K154" s="13">
        <f t="shared" si="10"/>
        <v>1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>Fail</v>
      </c>
    </row>
    <row r="155" spans="8:13">
      <c r="H155" s="13">
        <f t="shared" si="8"/>
        <v>1</v>
      </c>
      <c r="J155" s="13">
        <f t="shared" si="9"/>
        <v>0</v>
      </c>
      <c r="K155" s="13">
        <f t="shared" si="10"/>
        <v>1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>Fail</v>
      </c>
    </row>
    <row r="156" spans="8:13">
      <c r="H156" s="13">
        <f t="shared" si="8"/>
        <v>1</v>
      </c>
      <c r="J156" s="13">
        <f t="shared" si="9"/>
        <v>0</v>
      </c>
      <c r="K156" s="13">
        <f t="shared" si="10"/>
        <v>1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>Fail</v>
      </c>
    </row>
    <row r="157" spans="8:13">
      <c r="H157" s="13">
        <f t="shared" si="8"/>
        <v>1</v>
      </c>
      <c r="J157" s="13">
        <f t="shared" si="9"/>
        <v>0</v>
      </c>
      <c r="K157" s="13">
        <f t="shared" si="10"/>
        <v>1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>Fail</v>
      </c>
    </row>
    <row r="158" spans="8:13">
      <c r="H158" s="13">
        <f t="shared" si="8"/>
        <v>1</v>
      </c>
      <c r="J158" s="13">
        <f t="shared" si="9"/>
        <v>0</v>
      </c>
      <c r="K158" s="13">
        <f t="shared" si="10"/>
        <v>1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>Fail</v>
      </c>
    </row>
    <row r="159" spans="8:13">
      <c r="H159" s="13">
        <f t="shared" si="8"/>
        <v>1</v>
      </c>
      <c r="J159" s="13">
        <f t="shared" si="9"/>
        <v>0</v>
      </c>
      <c r="K159" s="13">
        <f t="shared" si="10"/>
        <v>1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>Fail</v>
      </c>
    </row>
    <row r="160" spans="8:13">
      <c r="H160" s="13">
        <f t="shared" si="8"/>
        <v>1</v>
      </c>
      <c r="J160" s="13">
        <f t="shared" si="9"/>
        <v>0</v>
      </c>
      <c r="K160" s="13">
        <f t="shared" si="10"/>
        <v>1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>Fail</v>
      </c>
    </row>
    <row r="161" spans="8:13">
      <c r="H161" s="13">
        <f t="shared" si="8"/>
        <v>1</v>
      </c>
      <c r="J161" s="13">
        <f t="shared" si="9"/>
        <v>0</v>
      </c>
      <c r="K161" s="13">
        <f t="shared" si="10"/>
        <v>1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>Fail</v>
      </c>
    </row>
    <row r="162" spans="8:13">
      <c r="H162" s="13">
        <f t="shared" si="8"/>
        <v>1</v>
      </c>
      <c r="J162" s="13">
        <f t="shared" si="9"/>
        <v>0</v>
      </c>
      <c r="K162" s="13">
        <f t="shared" si="10"/>
        <v>1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>Fail</v>
      </c>
    </row>
    <row r="163" spans="8:13">
      <c r="H163" s="13">
        <f t="shared" si="8"/>
        <v>1</v>
      </c>
      <c r="J163" s="13">
        <f t="shared" si="9"/>
        <v>0</v>
      </c>
      <c r="K163" s="13">
        <f t="shared" si="10"/>
        <v>1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>Fail</v>
      </c>
    </row>
    <row r="164" spans="8:13">
      <c r="H164" s="13">
        <f t="shared" si="8"/>
        <v>1</v>
      </c>
      <c r="J164" s="13">
        <f t="shared" si="9"/>
        <v>0</v>
      </c>
      <c r="K164" s="13">
        <f t="shared" si="10"/>
        <v>1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>Fail</v>
      </c>
    </row>
    <row r="165" spans="8:13">
      <c r="H165" s="13">
        <f t="shared" si="8"/>
        <v>1</v>
      </c>
      <c r="J165" s="13">
        <f t="shared" si="9"/>
        <v>0</v>
      </c>
      <c r="K165" s="13">
        <f t="shared" si="10"/>
        <v>1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>Fail</v>
      </c>
    </row>
    <row r="166" spans="8:13">
      <c r="H166" s="13">
        <f t="shared" si="8"/>
        <v>1</v>
      </c>
      <c r="J166" s="13">
        <f t="shared" si="9"/>
        <v>0</v>
      </c>
      <c r="K166" s="13">
        <f t="shared" si="10"/>
        <v>1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>Fail</v>
      </c>
    </row>
    <row r="167" spans="8:13">
      <c r="H167" s="13">
        <f t="shared" si="8"/>
        <v>1</v>
      </c>
      <c r="J167" s="13">
        <f t="shared" si="9"/>
        <v>0</v>
      </c>
      <c r="K167" s="13">
        <f t="shared" si="10"/>
        <v>1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>Fail</v>
      </c>
    </row>
    <row r="168" spans="8:13">
      <c r="H168" s="13">
        <f t="shared" si="8"/>
        <v>1</v>
      </c>
      <c r="J168" s="13">
        <f t="shared" si="9"/>
        <v>0</v>
      </c>
      <c r="K168" s="13">
        <f t="shared" si="10"/>
        <v>1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>Fail</v>
      </c>
    </row>
    <row r="169" spans="8:13">
      <c r="H169" s="13">
        <f t="shared" si="8"/>
        <v>1</v>
      </c>
      <c r="J169" s="13">
        <f t="shared" si="9"/>
        <v>0</v>
      </c>
      <c r="K169" s="13">
        <f t="shared" si="10"/>
        <v>1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>Fail</v>
      </c>
    </row>
    <row r="170" spans="8:13">
      <c r="H170" s="13">
        <f t="shared" si="8"/>
        <v>1</v>
      </c>
      <c r="J170" s="13">
        <f t="shared" si="9"/>
        <v>0</v>
      </c>
      <c r="K170" s="13">
        <f t="shared" si="10"/>
        <v>1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>Fail</v>
      </c>
    </row>
    <row r="171" spans="8:13">
      <c r="H171" s="13">
        <f t="shared" si="8"/>
        <v>1</v>
      </c>
      <c r="J171" s="13">
        <f t="shared" si="9"/>
        <v>0</v>
      </c>
      <c r="K171" s="13">
        <f t="shared" si="10"/>
        <v>1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>Fail</v>
      </c>
    </row>
    <row r="172" spans="8:13">
      <c r="H172" s="13">
        <f t="shared" si="8"/>
        <v>1</v>
      </c>
      <c r="J172" s="13">
        <f t="shared" si="9"/>
        <v>0</v>
      </c>
      <c r="K172" s="13">
        <f t="shared" si="10"/>
        <v>1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>Fail</v>
      </c>
    </row>
    <row r="173" spans="8:13">
      <c r="H173" s="13">
        <f t="shared" si="8"/>
        <v>1</v>
      </c>
      <c r="J173" s="13">
        <f t="shared" si="9"/>
        <v>0</v>
      </c>
      <c r="K173" s="13">
        <f t="shared" si="10"/>
        <v>1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>Fail</v>
      </c>
    </row>
    <row r="174" spans="8:13">
      <c r="H174" s="13">
        <f t="shared" si="8"/>
        <v>1</v>
      </c>
      <c r="J174" s="13">
        <f t="shared" si="9"/>
        <v>0</v>
      </c>
      <c r="K174" s="13">
        <f t="shared" si="10"/>
        <v>1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>Fail</v>
      </c>
    </row>
    <row r="175" spans="8:13">
      <c r="H175" s="13">
        <f t="shared" si="8"/>
        <v>1</v>
      </c>
      <c r="J175" s="13">
        <f t="shared" si="9"/>
        <v>0</v>
      </c>
      <c r="K175" s="13">
        <f t="shared" si="10"/>
        <v>1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>Fail</v>
      </c>
    </row>
    <row r="176" spans="8:13">
      <c r="H176" s="13">
        <f t="shared" si="8"/>
        <v>1</v>
      </c>
      <c r="J176" s="13">
        <f t="shared" si="9"/>
        <v>0</v>
      </c>
      <c r="K176" s="13">
        <f t="shared" si="10"/>
        <v>1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>Fail</v>
      </c>
    </row>
    <row r="177" spans="8:13">
      <c r="H177" s="13">
        <f t="shared" si="8"/>
        <v>1</v>
      </c>
      <c r="J177" s="13">
        <f t="shared" si="9"/>
        <v>0</v>
      </c>
      <c r="K177" s="13">
        <f t="shared" si="10"/>
        <v>1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>Fail</v>
      </c>
    </row>
    <row r="178" spans="8:13">
      <c r="H178" s="13">
        <f t="shared" si="8"/>
        <v>1</v>
      </c>
      <c r="J178" s="13">
        <f t="shared" si="9"/>
        <v>0</v>
      </c>
      <c r="K178" s="13">
        <f t="shared" si="10"/>
        <v>1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>Fail</v>
      </c>
    </row>
    <row r="179" spans="8:13">
      <c r="H179" s="13">
        <f t="shared" si="8"/>
        <v>1</v>
      </c>
      <c r="J179" s="13">
        <f t="shared" si="9"/>
        <v>0</v>
      </c>
      <c r="K179" s="13">
        <f t="shared" si="10"/>
        <v>1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>Fail</v>
      </c>
    </row>
    <row r="180" spans="8:13">
      <c r="H180" s="13">
        <f t="shared" si="8"/>
        <v>1</v>
      </c>
      <c r="J180" s="13">
        <f t="shared" si="9"/>
        <v>0</v>
      </c>
      <c r="K180" s="13">
        <f t="shared" si="10"/>
        <v>1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>Fail</v>
      </c>
    </row>
    <row r="181" spans="8:13">
      <c r="H181" s="13">
        <f t="shared" si="8"/>
        <v>1</v>
      </c>
      <c r="J181" s="13">
        <f t="shared" si="9"/>
        <v>0</v>
      </c>
      <c r="K181" s="13">
        <f t="shared" si="10"/>
        <v>1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>Fail</v>
      </c>
    </row>
    <row r="182" spans="8:13">
      <c r="H182" s="13">
        <f t="shared" si="8"/>
        <v>1</v>
      </c>
      <c r="J182" s="13">
        <f t="shared" si="9"/>
        <v>0</v>
      </c>
      <c r="K182" s="13">
        <f t="shared" si="10"/>
        <v>1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>Fail</v>
      </c>
    </row>
    <row r="183" spans="8:13">
      <c r="H183" s="13">
        <f t="shared" si="8"/>
        <v>1</v>
      </c>
      <c r="J183" s="13">
        <f t="shared" si="9"/>
        <v>0</v>
      </c>
      <c r="K183" s="13">
        <f t="shared" si="10"/>
        <v>1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>Fail</v>
      </c>
    </row>
    <row r="184" spans="8:13">
      <c r="H184" s="13">
        <f t="shared" si="8"/>
        <v>1</v>
      </c>
      <c r="J184" s="13">
        <f t="shared" si="9"/>
        <v>0</v>
      </c>
      <c r="K184" s="13">
        <f t="shared" si="10"/>
        <v>1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>Fail</v>
      </c>
    </row>
    <row r="185" spans="8:13">
      <c r="H185" s="13">
        <f t="shared" si="8"/>
        <v>1</v>
      </c>
      <c r="J185" s="13">
        <f t="shared" si="9"/>
        <v>0</v>
      </c>
      <c r="K185" s="13">
        <f t="shared" si="10"/>
        <v>1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>Fail</v>
      </c>
    </row>
    <row r="186" spans="8:13">
      <c r="H186" s="13">
        <f t="shared" si="8"/>
        <v>1</v>
      </c>
      <c r="J186" s="13">
        <f t="shared" si="9"/>
        <v>0</v>
      </c>
      <c r="K186" s="13">
        <f t="shared" si="10"/>
        <v>1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>Fail</v>
      </c>
    </row>
    <row r="187" spans="8:13">
      <c r="H187" s="13">
        <f t="shared" si="8"/>
        <v>1</v>
      </c>
      <c r="J187" s="13">
        <f t="shared" si="9"/>
        <v>0</v>
      </c>
      <c r="K187" s="13">
        <f t="shared" si="10"/>
        <v>1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>Fail</v>
      </c>
    </row>
    <row r="188" spans="8:13">
      <c r="H188" s="13">
        <f t="shared" si="8"/>
        <v>1</v>
      </c>
      <c r="J188" s="13">
        <f t="shared" si="9"/>
        <v>0</v>
      </c>
      <c r="K188" s="13">
        <f t="shared" si="10"/>
        <v>1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>Fail</v>
      </c>
    </row>
    <row r="189" spans="8:13">
      <c r="H189" s="13">
        <f t="shared" si="8"/>
        <v>1</v>
      </c>
      <c r="J189" s="13">
        <f t="shared" si="9"/>
        <v>0</v>
      </c>
      <c r="K189" s="13">
        <f t="shared" si="10"/>
        <v>1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>Fail</v>
      </c>
    </row>
    <row r="190" spans="8:13">
      <c r="H190" s="13">
        <f t="shared" si="8"/>
        <v>1</v>
      </c>
      <c r="J190" s="13">
        <f t="shared" si="9"/>
        <v>0</v>
      </c>
      <c r="K190" s="13">
        <f t="shared" si="10"/>
        <v>1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>Fail</v>
      </c>
    </row>
    <row r="191" spans="8:13">
      <c r="H191" s="13">
        <f t="shared" si="8"/>
        <v>1</v>
      </c>
      <c r="J191" s="13">
        <f t="shared" si="9"/>
        <v>0</v>
      </c>
      <c r="K191" s="13">
        <f t="shared" si="10"/>
        <v>1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>Fail</v>
      </c>
    </row>
    <row r="192" spans="8:13">
      <c r="H192" s="13">
        <f t="shared" si="8"/>
        <v>1</v>
      </c>
      <c r="J192" s="13">
        <f t="shared" si="9"/>
        <v>0</v>
      </c>
      <c r="K192" s="13">
        <f t="shared" si="10"/>
        <v>1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>Fail</v>
      </c>
    </row>
    <row r="193" spans="8:13">
      <c r="H193" s="13">
        <f t="shared" si="8"/>
        <v>1</v>
      </c>
      <c r="J193" s="13">
        <f t="shared" si="9"/>
        <v>0</v>
      </c>
      <c r="K193" s="13">
        <f t="shared" si="10"/>
        <v>1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>Fail</v>
      </c>
    </row>
    <row r="194" spans="8:13">
      <c r="H194" s="13">
        <f t="shared" si="8"/>
        <v>1</v>
      </c>
      <c r="J194" s="13">
        <f t="shared" si="9"/>
        <v>0</v>
      </c>
      <c r="K194" s="13">
        <f t="shared" si="10"/>
        <v>1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>Fail</v>
      </c>
    </row>
    <row r="195" spans="8:13">
      <c r="H195" s="13">
        <f t="shared" ref="H195:H258" si="11">IFERROR(GETPIVOTDATA("Successful / Failed",$A$1,"System serial",G195),0)</f>
        <v>1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1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>Fail</v>
      </c>
    </row>
    <row r="196" spans="8:13">
      <c r="H196" s="13">
        <f t="shared" si="11"/>
        <v>1</v>
      </c>
      <c r="J196" s="13">
        <f t="shared" si="12"/>
        <v>0</v>
      </c>
      <c r="K196" s="13">
        <f t="shared" si="13"/>
        <v>1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>Fail</v>
      </c>
    </row>
    <row r="197" spans="8:13">
      <c r="H197" s="13">
        <f t="shared" si="11"/>
        <v>1</v>
      </c>
      <c r="J197" s="13">
        <f t="shared" si="12"/>
        <v>0</v>
      </c>
      <c r="K197" s="13">
        <f t="shared" si="13"/>
        <v>1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>Fail</v>
      </c>
    </row>
    <row r="198" spans="8:13">
      <c r="H198" s="13">
        <f t="shared" si="11"/>
        <v>1</v>
      </c>
      <c r="J198" s="13">
        <f t="shared" si="12"/>
        <v>0</v>
      </c>
      <c r="K198" s="13">
        <f t="shared" si="13"/>
        <v>1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>Fail</v>
      </c>
    </row>
    <row r="199" spans="8:13">
      <c r="H199" s="13">
        <f t="shared" si="11"/>
        <v>1</v>
      </c>
      <c r="J199" s="13">
        <f t="shared" si="12"/>
        <v>0</v>
      </c>
      <c r="K199" s="13">
        <f t="shared" si="13"/>
        <v>1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>Fail</v>
      </c>
    </row>
    <row r="200" spans="8:13">
      <c r="H200" s="13">
        <f t="shared" si="11"/>
        <v>1</v>
      </c>
      <c r="J200" s="13">
        <f t="shared" si="12"/>
        <v>0</v>
      </c>
      <c r="K200" s="13">
        <f t="shared" si="13"/>
        <v>1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>Fail</v>
      </c>
    </row>
    <row r="201" spans="8:13">
      <c r="H201" s="13">
        <f t="shared" si="11"/>
        <v>1</v>
      </c>
      <c r="J201" s="13">
        <f t="shared" si="12"/>
        <v>0</v>
      </c>
      <c r="K201" s="13">
        <f t="shared" si="13"/>
        <v>1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>Fail</v>
      </c>
    </row>
    <row r="202" spans="8:13">
      <c r="H202" s="13">
        <f t="shared" si="11"/>
        <v>1</v>
      </c>
      <c r="J202" s="13">
        <f t="shared" si="12"/>
        <v>0</v>
      </c>
      <c r="K202" s="13">
        <f t="shared" si="13"/>
        <v>1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>Fail</v>
      </c>
    </row>
    <row r="203" spans="8:13">
      <c r="H203" s="13">
        <f t="shared" si="11"/>
        <v>1</v>
      </c>
      <c r="J203" s="13">
        <f t="shared" si="12"/>
        <v>0</v>
      </c>
      <c r="K203" s="13">
        <f t="shared" si="13"/>
        <v>1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>Fail</v>
      </c>
    </row>
    <row r="204" spans="8:13">
      <c r="H204" s="13">
        <f t="shared" si="11"/>
        <v>1</v>
      </c>
      <c r="J204" s="13">
        <f t="shared" si="12"/>
        <v>0</v>
      </c>
      <c r="K204" s="13">
        <f t="shared" si="13"/>
        <v>1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>Fail</v>
      </c>
    </row>
    <row r="205" spans="8:13">
      <c r="H205" s="13">
        <f t="shared" si="11"/>
        <v>1</v>
      </c>
      <c r="J205" s="13">
        <f t="shared" si="12"/>
        <v>0</v>
      </c>
      <c r="K205" s="13">
        <f t="shared" si="13"/>
        <v>1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>Fail</v>
      </c>
    </row>
    <row r="206" spans="8:13">
      <c r="H206" s="13">
        <f t="shared" si="11"/>
        <v>1</v>
      </c>
      <c r="J206" s="13">
        <f t="shared" si="12"/>
        <v>0</v>
      </c>
      <c r="K206" s="13">
        <f t="shared" si="13"/>
        <v>1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>Fail</v>
      </c>
    </row>
    <row r="207" spans="8:13">
      <c r="H207" s="13">
        <f t="shared" si="11"/>
        <v>1</v>
      </c>
      <c r="J207" s="13">
        <f t="shared" si="12"/>
        <v>0</v>
      </c>
      <c r="K207" s="13">
        <f t="shared" si="13"/>
        <v>1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>Fail</v>
      </c>
    </row>
    <row r="208" spans="8:13">
      <c r="H208" s="13">
        <f t="shared" si="11"/>
        <v>1</v>
      </c>
      <c r="J208" s="13">
        <f t="shared" si="12"/>
        <v>0</v>
      </c>
      <c r="K208" s="13">
        <f t="shared" si="13"/>
        <v>1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>Fail</v>
      </c>
    </row>
    <row r="209" spans="8:13">
      <c r="H209" s="13">
        <f t="shared" si="11"/>
        <v>1</v>
      </c>
      <c r="J209" s="13">
        <f t="shared" si="12"/>
        <v>0</v>
      </c>
      <c r="K209" s="13">
        <f t="shared" si="13"/>
        <v>1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>Fail</v>
      </c>
    </row>
    <row r="210" spans="8:13">
      <c r="H210" s="13">
        <f t="shared" si="11"/>
        <v>1</v>
      </c>
      <c r="J210" s="13">
        <f t="shared" si="12"/>
        <v>0</v>
      </c>
      <c r="K210" s="13">
        <f t="shared" si="13"/>
        <v>1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>Fail</v>
      </c>
    </row>
    <row r="211" spans="8:13">
      <c r="H211" s="13">
        <f t="shared" si="11"/>
        <v>1</v>
      </c>
      <c r="J211" s="13">
        <f t="shared" si="12"/>
        <v>0</v>
      </c>
      <c r="K211" s="13">
        <f t="shared" si="13"/>
        <v>1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>Fail</v>
      </c>
    </row>
    <row r="212" spans="8:13">
      <c r="H212" s="13">
        <f t="shared" si="11"/>
        <v>1</v>
      </c>
      <c r="J212" s="13">
        <f t="shared" si="12"/>
        <v>0</v>
      </c>
      <c r="K212" s="13">
        <f t="shared" si="13"/>
        <v>1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>Fail</v>
      </c>
    </row>
    <row r="213" spans="8:13">
      <c r="H213" s="13">
        <f t="shared" si="11"/>
        <v>1</v>
      </c>
      <c r="J213" s="13">
        <f t="shared" si="12"/>
        <v>0</v>
      </c>
      <c r="K213" s="13">
        <f t="shared" si="13"/>
        <v>1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>Fail</v>
      </c>
    </row>
    <row r="214" spans="8:13">
      <c r="H214" s="13">
        <f t="shared" si="11"/>
        <v>1</v>
      </c>
      <c r="J214" s="13">
        <f t="shared" si="12"/>
        <v>0</v>
      </c>
      <c r="K214" s="13">
        <f t="shared" si="13"/>
        <v>1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>Fail</v>
      </c>
    </row>
    <row r="215" spans="8:13">
      <c r="H215" s="13">
        <f t="shared" si="11"/>
        <v>1</v>
      </c>
      <c r="J215" s="13">
        <f t="shared" si="12"/>
        <v>0</v>
      </c>
      <c r="K215" s="13">
        <f t="shared" si="13"/>
        <v>1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>Fail</v>
      </c>
    </row>
    <row r="216" spans="8:13">
      <c r="H216" s="13">
        <f t="shared" si="11"/>
        <v>1</v>
      </c>
      <c r="J216" s="13">
        <f t="shared" si="12"/>
        <v>0</v>
      </c>
      <c r="K216" s="13">
        <f t="shared" si="13"/>
        <v>1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>Fail</v>
      </c>
    </row>
    <row r="217" spans="8:13">
      <c r="H217" s="13">
        <f t="shared" si="11"/>
        <v>1</v>
      </c>
      <c r="J217" s="13">
        <f t="shared" si="12"/>
        <v>0</v>
      </c>
      <c r="K217" s="13">
        <f t="shared" si="13"/>
        <v>1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>Fail</v>
      </c>
    </row>
    <row r="218" spans="8:13">
      <c r="H218" s="13">
        <f t="shared" si="11"/>
        <v>1</v>
      </c>
      <c r="J218" s="13">
        <f t="shared" si="12"/>
        <v>0</v>
      </c>
      <c r="K218" s="13">
        <f t="shared" si="13"/>
        <v>1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>Fail</v>
      </c>
    </row>
    <row r="219" spans="8:13">
      <c r="H219" s="13">
        <f t="shared" si="11"/>
        <v>1</v>
      </c>
      <c r="J219" s="13">
        <f t="shared" si="12"/>
        <v>0</v>
      </c>
      <c r="K219" s="13">
        <f t="shared" si="13"/>
        <v>1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>Fail</v>
      </c>
    </row>
    <row r="220" spans="8:13">
      <c r="H220" s="13">
        <f t="shared" si="11"/>
        <v>1</v>
      </c>
      <c r="J220" s="13">
        <f t="shared" si="12"/>
        <v>0</v>
      </c>
      <c r="K220" s="13">
        <f t="shared" si="13"/>
        <v>1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>Fail</v>
      </c>
    </row>
    <row r="221" spans="8:13">
      <c r="H221" s="13">
        <f t="shared" si="11"/>
        <v>1</v>
      </c>
      <c r="J221" s="13">
        <f t="shared" si="12"/>
        <v>0</v>
      </c>
      <c r="K221" s="13">
        <f t="shared" si="13"/>
        <v>1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>Fail</v>
      </c>
    </row>
    <row r="222" spans="8:13">
      <c r="H222" s="13">
        <f t="shared" si="11"/>
        <v>1</v>
      </c>
      <c r="J222" s="13">
        <f t="shared" si="12"/>
        <v>0</v>
      </c>
      <c r="K222" s="13">
        <f t="shared" si="13"/>
        <v>1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>Fail</v>
      </c>
    </row>
    <row r="223" spans="8:13">
      <c r="H223" s="13">
        <f t="shared" si="11"/>
        <v>1</v>
      </c>
      <c r="J223" s="13">
        <f t="shared" si="12"/>
        <v>0</v>
      </c>
      <c r="K223" s="13">
        <f t="shared" si="13"/>
        <v>1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>Fail</v>
      </c>
    </row>
    <row r="224" spans="8:13">
      <c r="H224" s="13">
        <f t="shared" si="11"/>
        <v>1</v>
      </c>
      <c r="J224" s="13">
        <f t="shared" si="12"/>
        <v>0</v>
      </c>
      <c r="K224" s="13">
        <f t="shared" si="13"/>
        <v>1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>Fail</v>
      </c>
    </row>
    <row r="225" spans="8:13">
      <c r="H225" s="13">
        <f t="shared" si="11"/>
        <v>1</v>
      </c>
      <c r="J225" s="13">
        <f t="shared" si="12"/>
        <v>0</v>
      </c>
      <c r="K225" s="13">
        <f t="shared" si="13"/>
        <v>1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>Fail</v>
      </c>
    </row>
    <row r="226" spans="8:13">
      <c r="H226" s="13">
        <f t="shared" si="11"/>
        <v>1</v>
      </c>
      <c r="J226" s="13">
        <f t="shared" si="12"/>
        <v>0</v>
      </c>
      <c r="K226" s="13">
        <f t="shared" si="13"/>
        <v>1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>Fail</v>
      </c>
    </row>
    <row r="227" spans="8:13">
      <c r="H227" s="13">
        <f t="shared" si="11"/>
        <v>1</v>
      </c>
      <c r="J227" s="13">
        <f t="shared" si="12"/>
        <v>0</v>
      </c>
      <c r="K227" s="13">
        <f t="shared" si="13"/>
        <v>1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>Fail</v>
      </c>
    </row>
    <row r="228" spans="8:13">
      <c r="H228" s="13">
        <f t="shared" si="11"/>
        <v>1</v>
      </c>
      <c r="J228" s="13">
        <f t="shared" si="12"/>
        <v>0</v>
      </c>
      <c r="K228" s="13">
        <f t="shared" si="13"/>
        <v>1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>Fail</v>
      </c>
    </row>
    <row r="229" spans="8:13">
      <c r="H229" s="13">
        <f t="shared" si="11"/>
        <v>1</v>
      </c>
      <c r="J229" s="13">
        <f t="shared" si="12"/>
        <v>0</v>
      </c>
      <c r="K229" s="13">
        <f t="shared" si="13"/>
        <v>1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>Fail</v>
      </c>
    </row>
    <row r="230" spans="8:13">
      <c r="H230" s="13">
        <f t="shared" si="11"/>
        <v>1</v>
      </c>
      <c r="J230" s="13">
        <f t="shared" si="12"/>
        <v>0</v>
      </c>
      <c r="K230" s="13">
        <f t="shared" si="13"/>
        <v>1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>Fail</v>
      </c>
    </row>
    <row r="231" spans="8:13">
      <c r="H231" s="13">
        <f t="shared" si="11"/>
        <v>1</v>
      </c>
      <c r="J231" s="13">
        <f t="shared" si="12"/>
        <v>0</v>
      </c>
      <c r="K231" s="13">
        <f t="shared" si="13"/>
        <v>1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>Fail</v>
      </c>
    </row>
    <row r="232" spans="8:13">
      <c r="H232" s="13">
        <f t="shared" si="11"/>
        <v>1</v>
      </c>
      <c r="J232" s="13">
        <f t="shared" si="12"/>
        <v>0</v>
      </c>
      <c r="K232" s="13">
        <f t="shared" si="13"/>
        <v>1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>Fail</v>
      </c>
    </row>
    <row r="233" spans="8:13">
      <c r="H233" s="13">
        <f t="shared" si="11"/>
        <v>1</v>
      </c>
      <c r="J233" s="13">
        <f t="shared" si="12"/>
        <v>0</v>
      </c>
      <c r="K233" s="13">
        <f t="shared" si="13"/>
        <v>1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>Fail</v>
      </c>
    </row>
    <row r="234" spans="8:13">
      <c r="H234" s="13">
        <f t="shared" si="11"/>
        <v>1</v>
      </c>
      <c r="J234" s="13">
        <f t="shared" si="12"/>
        <v>0</v>
      </c>
      <c r="K234" s="13">
        <f t="shared" si="13"/>
        <v>1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>Fail</v>
      </c>
    </row>
    <row r="235" spans="8:13">
      <c r="H235" s="13">
        <f t="shared" si="11"/>
        <v>1</v>
      </c>
      <c r="J235" s="13">
        <f t="shared" si="12"/>
        <v>0</v>
      </c>
      <c r="K235" s="13">
        <f t="shared" si="13"/>
        <v>1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>Fail</v>
      </c>
    </row>
    <row r="236" spans="8:13">
      <c r="H236" s="13">
        <f t="shared" si="11"/>
        <v>1</v>
      </c>
      <c r="J236" s="13">
        <f t="shared" si="12"/>
        <v>0</v>
      </c>
      <c r="K236" s="13">
        <f t="shared" si="13"/>
        <v>1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1</v>
      </c>
      <c r="J237" s="13">
        <f t="shared" si="12"/>
        <v>0</v>
      </c>
      <c r="K237" s="13">
        <f t="shared" si="13"/>
        <v>1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1</v>
      </c>
      <c r="J238" s="13">
        <f t="shared" si="12"/>
        <v>0</v>
      </c>
      <c r="K238" s="13">
        <f t="shared" si="13"/>
        <v>1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1</v>
      </c>
      <c r="J239" s="13">
        <f t="shared" si="12"/>
        <v>0</v>
      </c>
      <c r="K239" s="13">
        <f t="shared" si="13"/>
        <v>1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1</v>
      </c>
      <c r="J240" s="13">
        <f t="shared" si="12"/>
        <v>0</v>
      </c>
      <c r="K240" s="13">
        <f t="shared" si="13"/>
        <v>1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1</v>
      </c>
      <c r="J241" s="13">
        <f t="shared" si="12"/>
        <v>0</v>
      </c>
      <c r="K241" s="13">
        <f t="shared" si="13"/>
        <v>1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1</v>
      </c>
      <c r="J242" s="13">
        <f t="shared" si="12"/>
        <v>0</v>
      </c>
      <c r="K242" s="13">
        <f t="shared" si="13"/>
        <v>1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1</v>
      </c>
      <c r="J243" s="13">
        <f t="shared" si="12"/>
        <v>0</v>
      </c>
      <c r="K243" s="13">
        <f t="shared" si="13"/>
        <v>1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1</v>
      </c>
      <c r="J244" s="13">
        <f t="shared" si="12"/>
        <v>0</v>
      </c>
      <c r="K244" s="13">
        <f t="shared" si="13"/>
        <v>1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1</v>
      </c>
      <c r="J245" s="13">
        <f t="shared" si="12"/>
        <v>0</v>
      </c>
      <c r="K245" s="13">
        <f t="shared" si="13"/>
        <v>1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1</v>
      </c>
      <c r="J246" s="13">
        <f t="shared" si="12"/>
        <v>0</v>
      </c>
      <c r="K246" s="13">
        <f t="shared" si="13"/>
        <v>1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1</v>
      </c>
      <c r="J247" s="13">
        <f t="shared" si="12"/>
        <v>0</v>
      </c>
      <c r="K247" s="13">
        <f t="shared" si="13"/>
        <v>1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1</v>
      </c>
      <c r="J248" s="13">
        <f t="shared" si="12"/>
        <v>0</v>
      </c>
      <c r="K248" s="13">
        <f t="shared" si="13"/>
        <v>1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1</v>
      </c>
      <c r="J249" s="13">
        <f t="shared" si="12"/>
        <v>0</v>
      </c>
      <c r="K249" s="13">
        <f t="shared" si="13"/>
        <v>1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1</v>
      </c>
      <c r="J250" s="13">
        <f t="shared" si="12"/>
        <v>0</v>
      </c>
      <c r="K250" s="13">
        <f t="shared" si="13"/>
        <v>1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1</v>
      </c>
      <c r="J251" s="13">
        <f t="shared" si="12"/>
        <v>0</v>
      </c>
      <c r="K251" s="13">
        <f t="shared" si="13"/>
        <v>1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1</v>
      </c>
      <c r="J252" s="13">
        <f t="shared" si="12"/>
        <v>0</v>
      </c>
      <c r="K252" s="13">
        <f t="shared" si="13"/>
        <v>1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1</v>
      </c>
      <c r="J253" s="13">
        <f t="shared" si="12"/>
        <v>0</v>
      </c>
      <c r="K253" s="13">
        <f t="shared" si="13"/>
        <v>1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1</v>
      </c>
      <c r="J254" s="13">
        <f t="shared" si="12"/>
        <v>0</v>
      </c>
    </row>
    <row r="255" spans="8:12">
      <c r="H255" s="13">
        <f t="shared" si="11"/>
        <v>1</v>
      </c>
      <c r="J255" s="13">
        <f t="shared" si="12"/>
        <v>0</v>
      </c>
    </row>
    <row r="256" spans="8:12">
      <c r="H256" s="13">
        <f t="shared" si="11"/>
        <v>1</v>
      </c>
      <c r="J256" s="13">
        <f t="shared" si="12"/>
        <v>0</v>
      </c>
    </row>
    <row r="257" spans="8:10">
      <c r="H257" s="13">
        <f t="shared" si="11"/>
        <v>1</v>
      </c>
      <c r="J257" s="13">
        <f t="shared" si="12"/>
        <v>0</v>
      </c>
    </row>
    <row r="258" spans="8:10">
      <c r="H258" s="13">
        <f t="shared" si="11"/>
        <v>1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1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1</v>
      </c>
      <c r="J260" s="13">
        <f t="shared" si="15"/>
        <v>0</v>
      </c>
    </row>
    <row r="261" spans="8:10">
      <c r="H261" s="13">
        <f t="shared" si="14"/>
        <v>1</v>
      </c>
      <c r="J261" s="13">
        <f t="shared" si="15"/>
        <v>0</v>
      </c>
    </row>
    <row r="262" spans="8:10">
      <c r="H262" s="13">
        <f t="shared" si="14"/>
        <v>1</v>
      </c>
      <c r="J262" s="13">
        <f t="shared" si="15"/>
        <v>0</v>
      </c>
    </row>
    <row r="263" spans="8:10">
      <c r="H263" s="13">
        <f t="shared" si="14"/>
        <v>1</v>
      </c>
      <c r="J263" s="13">
        <f t="shared" si="15"/>
        <v>0</v>
      </c>
    </row>
    <row r="264" spans="8:10">
      <c r="H264" s="13">
        <f t="shared" si="14"/>
        <v>1</v>
      </c>
      <c r="J264" s="13">
        <f t="shared" si="15"/>
        <v>0</v>
      </c>
    </row>
    <row r="265" spans="8:10">
      <c r="H265" s="13">
        <f t="shared" si="14"/>
        <v>1</v>
      </c>
      <c r="J265" s="13">
        <f t="shared" si="15"/>
        <v>0</v>
      </c>
    </row>
    <row r="266" spans="8:10">
      <c r="H266" s="13">
        <f t="shared" si="14"/>
        <v>1</v>
      </c>
      <c r="J266" s="13">
        <f t="shared" si="15"/>
        <v>0</v>
      </c>
    </row>
    <row r="267" spans="8:10">
      <c r="H267" s="13">
        <f t="shared" si="14"/>
        <v>1</v>
      </c>
      <c r="J267" s="13">
        <f t="shared" si="15"/>
        <v>0</v>
      </c>
    </row>
    <row r="268" spans="8:10">
      <c r="H268" s="13">
        <f t="shared" si="14"/>
        <v>1</v>
      </c>
      <c r="J268" s="13">
        <f t="shared" si="15"/>
        <v>0</v>
      </c>
    </row>
    <row r="269" spans="8:10">
      <c r="H269" s="13">
        <f t="shared" si="14"/>
        <v>1</v>
      </c>
      <c r="J269" s="13">
        <f t="shared" si="15"/>
        <v>0</v>
      </c>
    </row>
    <row r="270" spans="8:10">
      <c r="H270" s="13">
        <f t="shared" si="14"/>
        <v>1</v>
      </c>
      <c r="J270" s="13">
        <f t="shared" si="15"/>
        <v>0</v>
      </c>
    </row>
    <row r="271" spans="8:10">
      <c r="H271" s="13">
        <f t="shared" si="14"/>
        <v>1</v>
      </c>
      <c r="J271" s="13">
        <f t="shared" si="15"/>
        <v>0</v>
      </c>
    </row>
    <row r="272" spans="8:10">
      <c r="H272" s="13">
        <f t="shared" si="14"/>
        <v>1</v>
      </c>
      <c r="J272" s="13">
        <f t="shared" si="15"/>
        <v>0</v>
      </c>
    </row>
    <row r="273" spans="8:10">
      <c r="H273" s="13">
        <f t="shared" si="14"/>
        <v>1</v>
      </c>
      <c r="J273" s="13">
        <f t="shared" si="15"/>
        <v>0</v>
      </c>
    </row>
    <row r="274" spans="8:10">
      <c r="H274" s="13">
        <f t="shared" si="14"/>
        <v>1</v>
      </c>
      <c r="J274" s="13">
        <f t="shared" si="15"/>
        <v>0</v>
      </c>
    </row>
    <row r="275" spans="8:10">
      <c r="H275" s="13">
        <f t="shared" si="14"/>
        <v>1</v>
      </c>
      <c r="J275" s="13">
        <f t="shared" si="15"/>
        <v>0</v>
      </c>
    </row>
    <row r="276" spans="8:10">
      <c r="H276" s="13">
        <f t="shared" si="14"/>
        <v>1</v>
      </c>
      <c r="J276" s="13">
        <f t="shared" si="15"/>
        <v>0</v>
      </c>
    </row>
    <row r="277" spans="8:10">
      <c r="H277" s="13">
        <f t="shared" si="14"/>
        <v>1</v>
      </c>
      <c r="J277" s="13">
        <f t="shared" si="15"/>
        <v>0</v>
      </c>
    </row>
    <row r="278" spans="8:10">
      <c r="H278" s="13">
        <f t="shared" si="14"/>
        <v>1</v>
      </c>
      <c r="J278" s="13">
        <f t="shared" si="15"/>
        <v>0</v>
      </c>
    </row>
    <row r="279" spans="8:10">
      <c r="H279" s="13">
        <f t="shared" si="14"/>
        <v>1</v>
      </c>
      <c r="J279" s="13">
        <f t="shared" si="15"/>
        <v>0</v>
      </c>
    </row>
    <row r="280" spans="8:10">
      <c r="H280" s="13">
        <f t="shared" si="14"/>
        <v>1</v>
      </c>
      <c r="J280" s="13">
        <f t="shared" si="15"/>
        <v>0</v>
      </c>
    </row>
    <row r="281" spans="8:10">
      <c r="H281" s="13">
        <f t="shared" si="14"/>
        <v>1</v>
      </c>
      <c r="J281" s="13">
        <f t="shared" si="15"/>
        <v>0</v>
      </c>
    </row>
    <row r="282" spans="8:10">
      <c r="H282" s="13">
        <f t="shared" si="14"/>
        <v>1</v>
      </c>
      <c r="J282" s="13">
        <f t="shared" si="15"/>
        <v>0</v>
      </c>
    </row>
    <row r="283" spans="8:10">
      <c r="H283" s="13">
        <f t="shared" si="14"/>
        <v>1</v>
      </c>
      <c r="J283" s="13">
        <f t="shared" si="15"/>
        <v>0</v>
      </c>
    </row>
    <row r="284" spans="8:10">
      <c r="H284" s="13">
        <f t="shared" si="14"/>
        <v>1</v>
      </c>
      <c r="J284" s="13">
        <f t="shared" si="15"/>
        <v>0</v>
      </c>
    </row>
    <row r="285" spans="8:10">
      <c r="H285" s="13">
        <f t="shared" si="14"/>
        <v>1</v>
      </c>
      <c r="J285" s="13">
        <f t="shared" si="15"/>
        <v>0</v>
      </c>
    </row>
    <row r="286" spans="8:10">
      <c r="H286" s="13">
        <f t="shared" si="14"/>
        <v>1</v>
      </c>
      <c r="J286" s="13">
        <f t="shared" si="15"/>
        <v>0</v>
      </c>
    </row>
    <row r="287" spans="8:10">
      <c r="H287" s="13">
        <f t="shared" si="14"/>
        <v>1</v>
      </c>
      <c r="J287" s="13">
        <f t="shared" si="15"/>
        <v>0</v>
      </c>
    </row>
    <row r="288" spans="8:10">
      <c r="H288" s="13">
        <f t="shared" si="14"/>
        <v>1</v>
      </c>
      <c r="J288" s="13">
        <f t="shared" si="15"/>
        <v>0</v>
      </c>
    </row>
    <row r="289" spans="8:10">
      <c r="H289" s="13">
        <f t="shared" si="14"/>
        <v>1</v>
      </c>
      <c r="J289" s="13">
        <f t="shared" si="15"/>
        <v>0</v>
      </c>
    </row>
    <row r="290" spans="8:10">
      <c r="H290" s="13">
        <f t="shared" si="14"/>
        <v>1</v>
      </c>
      <c r="J290" s="13">
        <f t="shared" si="15"/>
        <v>0</v>
      </c>
    </row>
    <row r="291" spans="8:10">
      <c r="H291" s="13">
        <f t="shared" si="14"/>
        <v>1</v>
      </c>
      <c r="J291" s="13">
        <f t="shared" si="15"/>
        <v>0</v>
      </c>
    </row>
    <row r="292" spans="8:10">
      <c r="H292" s="13">
        <f t="shared" si="14"/>
        <v>1</v>
      </c>
      <c r="J292" s="13">
        <f t="shared" si="15"/>
        <v>0</v>
      </c>
    </row>
    <row r="293" spans="8:10">
      <c r="H293" s="13">
        <f t="shared" si="14"/>
        <v>1</v>
      </c>
      <c r="J293" s="13">
        <f t="shared" si="15"/>
        <v>0</v>
      </c>
    </row>
    <row r="294" spans="8:10">
      <c r="H294" s="13">
        <f t="shared" si="14"/>
        <v>1</v>
      </c>
      <c r="J294" s="13">
        <f t="shared" si="15"/>
        <v>0</v>
      </c>
    </row>
    <row r="295" spans="8:10">
      <c r="H295" s="13">
        <f t="shared" si="14"/>
        <v>1</v>
      </c>
      <c r="J295" s="13">
        <f t="shared" si="15"/>
        <v>0</v>
      </c>
    </row>
    <row r="296" spans="8:10">
      <c r="H296" s="13">
        <f t="shared" si="14"/>
        <v>1</v>
      </c>
      <c r="J296" s="13">
        <f t="shared" si="15"/>
        <v>0</v>
      </c>
    </row>
    <row r="297" spans="8:10">
      <c r="H297" s="13">
        <f t="shared" si="14"/>
        <v>1</v>
      </c>
      <c r="J297" s="13">
        <f t="shared" si="15"/>
        <v>0</v>
      </c>
    </row>
    <row r="298" spans="8:10">
      <c r="H298" s="13">
        <f t="shared" si="14"/>
        <v>1</v>
      </c>
      <c r="J298" s="13">
        <f t="shared" si="15"/>
        <v>0</v>
      </c>
    </row>
    <row r="299" spans="8:10">
      <c r="H299" s="13">
        <f t="shared" si="14"/>
        <v>1</v>
      </c>
      <c r="J299" s="13">
        <f t="shared" si="15"/>
        <v>0</v>
      </c>
    </row>
    <row r="300" spans="8:10">
      <c r="H300" s="13">
        <f t="shared" si="14"/>
        <v>1</v>
      </c>
      <c r="J300" s="13">
        <f t="shared" si="15"/>
        <v>0</v>
      </c>
    </row>
    <row r="301" spans="8:10">
      <c r="H301" s="13">
        <f t="shared" si="14"/>
        <v>1</v>
      </c>
      <c r="J301" s="13">
        <f t="shared" si="15"/>
        <v>0</v>
      </c>
    </row>
    <row r="302" spans="8:10">
      <c r="H302" s="13">
        <f t="shared" si="14"/>
        <v>1</v>
      </c>
      <c r="J302" s="13">
        <f t="shared" si="15"/>
        <v>0</v>
      </c>
    </row>
    <row r="303" spans="8:10">
      <c r="H303" s="13">
        <f t="shared" si="14"/>
        <v>1</v>
      </c>
      <c r="J303" s="13">
        <f t="shared" si="15"/>
        <v>0</v>
      </c>
    </row>
    <row r="304" spans="8:10">
      <c r="H304" s="13">
        <f t="shared" si="14"/>
        <v>1</v>
      </c>
      <c r="J304" s="13">
        <f t="shared" si="15"/>
        <v>0</v>
      </c>
    </row>
    <row r="305" spans="8:10">
      <c r="H305" s="13">
        <f t="shared" si="14"/>
        <v>1</v>
      </c>
      <c r="J305" s="13">
        <f t="shared" si="15"/>
        <v>0</v>
      </c>
    </row>
    <row r="306" spans="8:10">
      <c r="H306" s="13">
        <f t="shared" si="14"/>
        <v>1</v>
      </c>
      <c r="J306" s="13">
        <f t="shared" si="15"/>
        <v>0</v>
      </c>
    </row>
    <row r="307" spans="8:10">
      <c r="H307" s="13">
        <f t="shared" si="14"/>
        <v>1</v>
      </c>
      <c r="J307" s="13">
        <f t="shared" si="15"/>
        <v>0</v>
      </c>
    </row>
    <row r="308" spans="8:10">
      <c r="H308" s="13">
        <f t="shared" si="14"/>
        <v>1</v>
      </c>
      <c r="J308" s="13">
        <f t="shared" si="15"/>
        <v>0</v>
      </c>
    </row>
    <row r="309" spans="8:10">
      <c r="H309" s="13">
        <f t="shared" si="14"/>
        <v>1</v>
      </c>
      <c r="J309" s="13">
        <f t="shared" si="15"/>
        <v>0</v>
      </c>
    </row>
    <row r="310" spans="8:10">
      <c r="H310" s="13">
        <f t="shared" si="14"/>
        <v>1</v>
      </c>
      <c r="J310" s="13">
        <f t="shared" si="15"/>
        <v>0</v>
      </c>
    </row>
    <row r="311" spans="8:10">
      <c r="H311" s="13">
        <f t="shared" si="14"/>
        <v>1</v>
      </c>
      <c r="J311" s="13">
        <f t="shared" si="15"/>
        <v>0</v>
      </c>
    </row>
    <row r="312" spans="8:10">
      <c r="H312" s="13">
        <f t="shared" si="14"/>
        <v>1</v>
      </c>
      <c r="J312" s="13">
        <f t="shared" si="15"/>
        <v>0</v>
      </c>
    </row>
    <row r="313" spans="8:10">
      <c r="H313" s="13">
        <f t="shared" si="14"/>
        <v>1</v>
      </c>
      <c r="J313" s="13">
        <f t="shared" si="15"/>
        <v>0</v>
      </c>
    </row>
    <row r="314" spans="8:10">
      <c r="H314" s="13">
        <f t="shared" si="14"/>
        <v>1</v>
      </c>
      <c r="J314" s="13">
        <f t="shared" si="15"/>
        <v>0</v>
      </c>
    </row>
    <row r="315" spans="8:10">
      <c r="H315" s="13">
        <f t="shared" si="14"/>
        <v>1</v>
      </c>
      <c r="J315" s="13">
        <f t="shared" si="15"/>
        <v>0</v>
      </c>
    </row>
    <row r="316" spans="8:10">
      <c r="H316" s="13">
        <f t="shared" si="14"/>
        <v>1</v>
      </c>
      <c r="J316" s="13">
        <f t="shared" si="15"/>
        <v>0</v>
      </c>
    </row>
    <row r="317" spans="8:10">
      <c r="H317" s="13">
        <f t="shared" si="14"/>
        <v>1</v>
      </c>
      <c r="J317" s="13">
        <f t="shared" si="15"/>
        <v>0</v>
      </c>
    </row>
    <row r="318" spans="8:10">
      <c r="H318" s="13">
        <f t="shared" si="14"/>
        <v>1</v>
      </c>
      <c r="J318" s="13">
        <f t="shared" si="15"/>
        <v>0</v>
      </c>
    </row>
    <row r="319" spans="8:10">
      <c r="H319" s="13">
        <f t="shared" si="14"/>
        <v>1</v>
      </c>
      <c r="J319" s="13">
        <f t="shared" si="15"/>
        <v>0</v>
      </c>
    </row>
    <row r="320" spans="8:10">
      <c r="H320" s="13">
        <f t="shared" si="14"/>
        <v>1</v>
      </c>
      <c r="J320" s="13">
        <f t="shared" si="15"/>
        <v>0</v>
      </c>
    </row>
    <row r="321" spans="8:10">
      <c r="H321" s="13">
        <f t="shared" si="14"/>
        <v>1</v>
      </c>
      <c r="J321" s="13">
        <f t="shared" si="15"/>
        <v>0</v>
      </c>
    </row>
    <row r="322" spans="8:10">
      <c r="H322" s="13">
        <f t="shared" si="14"/>
        <v>1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1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1</v>
      </c>
      <c r="J324" s="13">
        <f t="shared" si="17"/>
        <v>0</v>
      </c>
    </row>
    <row r="325" spans="8:10">
      <c r="H325" s="13">
        <f t="shared" si="16"/>
        <v>1</v>
      </c>
      <c r="J325" s="13">
        <f t="shared" si="17"/>
        <v>0</v>
      </c>
    </row>
    <row r="326" spans="8:10">
      <c r="H326" s="13">
        <f t="shared" si="16"/>
        <v>1</v>
      </c>
      <c r="J326" s="13">
        <f t="shared" si="17"/>
        <v>0</v>
      </c>
    </row>
    <row r="327" spans="8:10">
      <c r="H327" s="13">
        <f t="shared" si="16"/>
        <v>1</v>
      </c>
      <c r="J327" s="13">
        <f t="shared" si="17"/>
        <v>0</v>
      </c>
    </row>
    <row r="328" spans="8:10">
      <c r="H328" s="13">
        <f t="shared" si="16"/>
        <v>1</v>
      </c>
      <c r="J328" s="13">
        <f t="shared" si="17"/>
        <v>0</v>
      </c>
    </row>
    <row r="329" spans="8:10">
      <c r="H329" s="13">
        <f t="shared" si="16"/>
        <v>1</v>
      </c>
      <c r="J329" s="13">
        <f t="shared" si="17"/>
        <v>0</v>
      </c>
    </row>
    <row r="330" spans="8:10">
      <c r="H330" s="13">
        <f t="shared" si="16"/>
        <v>1</v>
      </c>
      <c r="J330" s="13">
        <f t="shared" si="17"/>
        <v>0</v>
      </c>
    </row>
    <row r="331" spans="8:10">
      <c r="H331" s="13">
        <f t="shared" si="16"/>
        <v>1</v>
      </c>
      <c r="J331" s="13">
        <f t="shared" si="17"/>
        <v>0</v>
      </c>
    </row>
    <row r="332" spans="8:10">
      <c r="H332" s="13">
        <f t="shared" si="16"/>
        <v>1</v>
      </c>
      <c r="J332" s="13">
        <f t="shared" si="17"/>
        <v>0</v>
      </c>
    </row>
    <row r="333" spans="8:10">
      <c r="H333" s="13">
        <f t="shared" si="16"/>
        <v>1</v>
      </c>
      <c r="J333" s="13">
        <f t="shared" si="17"/>
        <v>0</v>
      </c>
    </row>
    <row r="334" spans="8:10">
      <c r="H334" s="13">
        <f t="shared" si="16"/>
        <v>1</v>
      </c>
      <c r="J334" s="13">
        <f t="shared" si="17"/>
        <v>0</v>
      </c>
    </row>
    <row r="335" spans="8:10">
      <c r="H335" s="13">
        <f t="shared" si="16"/>
        <v>1</v>
      </c>
      <c r="J335" s="13">
        <f t="shared" si="17"/>
        <v>0</v>
      </c>
    </row>
    <row r="336" spans="8:10">
      <c r="H336" s="13">
        <f t="shared" si="16"/>
        <v>1</v>
      </c>
      <c r="J336" s="13">
        <f t="shared" si="17"/>
        <v>0</v>
      </c>
    </row>
    <row r="337" spans="8:10">
      <c r="H337" s="13">
        <f t="shared" si="16"/>
        <v>1</v>
      </c>
      <c r="J337" s="13">
        <f t="shared" si="17"/>
        <v>0</v>
      </c>
    </row>
    <row r="338" spans="8:10">
      <c r="H338" s="13">
        <f t="shared" si="16"/>
        <v>1</v>
      </c>
      <c r="J338" s="13">
        <f t="shared" si="17"/>
        <v>0</v>
      </c>
    </row>
    <row r="339" spans="8:10">
      <c r="H339" s="13">
        <f t="shared" si="16"/>
        <v>1</v>
      </c>
      <c r="J339" s="13">
        <f t="shared" si="17"/>
        <v>0</v>
      </c>
    </row>
    <row r="340" spans="8:10">
      <c r="H340" s="13">
        <f t="shared" si="16"/>
        <v>1</v>
      </c>
      <c r="J340" s="13">
        <f t="shared" si="17"/>
        <v>0</v>
      </c>
    </row>
    <row r="341" spans="8:10">
      <c r="H341" s="13">
        <f t="shared" si="16"/>
        <v>1</v>
      </c>
      <c r="J341" s="13">
        <f t="shared" si="17"/>
        <v>0</v>
      </c>
    </row>
    <row r="342" spans="8:10">
      <c r="H342" s="13">
        <f t="shared" si="16"/>
        <v>1</v>
      </c>
      <c r="J342" s="13">
        <f t="shared" si="17"/>
        <v>0</v>
      </c>
    </row>
    <row r="343" spans="8:10">
      <c r="H343" s="13">
        <f t="shared" si="16"/>
        <v>1</v>
      </c>
      <c r="J343" s="13">
        <f t="shared" si="17"/>
        <v>0</v>
      </c>
    </row>
    <row r="344" spans="8:10">
      <c r="H344" s="13">
        <f t="shared" si="16"/>
        <v>1</v>
      </c>
      <c r="J344" s="13">
        <f t="shared" si="17"/>
        <v>0</v>
      </c>
    </row>
    <row r="345" spans="8:10">
      <c r="H345" s="13">
        <f t="shared" si="16"/>
        <v>1</v>
      </c>
      <c r="J345" s="13">
        <f t="shared" si="17"/>
        <v>0</v>
      </c>
    </row>
    <row r="346" spans="8:10">
      <c r="H346" s="13">
        <f t="shared" si="16"/>
        <v>1</v>
      </c>
      <c r="J346" s="13">
        <f t="shared" si="17"/>
        <v>0</v>
      </c>
    </row>
    <row r="347" spans="8:10">
      <c r="H347" s="13">
        <f t="shared" si="16"/>
        <v>1</v>
      </c>
      <c r="J347" s="13">
        <f t="shared" si="17"/>
        <v>0</v>
      </c>
    </row>
    <row r="348" spans="8:10">
      <c r="H348" s="13">
        <f t="shared" si="16"/>
        <v>1</v>
      </c>
      <c r="J348" s="13">
        <f t="shared" si="17"/>
        <v>0</v>
      </c>
    </row>
    <row r="349" spans="8:10">
      <c r="H349" s="13">
        <f t="shared" si="16"/>
        <v>1</v>
      </c>
      <c r="J349" s="13">
        <f t="shared" si="17"/>
        <v>0</v>
      </c>
    </row>
    <row r="350" spans="8:10">
      <c r="H350" s="13">
        <f t="shared" si="16"/>
        <v>1</v>
      </c>
      <c r="J350" s="13">
        <f t="shared" si="17"/>
        <v>0</v>
      </c>
    </row>
    <row r="351" spans="8:10">
      <c r="H351" s="13">
        <f t="shared" si="16"/>
        <v>1</v>
      </c>
      <c r="J351" s="13">
        <f t="shared" si="17"/>
        <v>0</v>
      </c>
    </row>
    <row r="352" spans="8:10">
      <c r="H352" s="13">
        <f t="shared" si="16"/>
        <v>1</v>
      </c>
      <c r="J352" s="13">
        <f t="shared" si="17"/>
        <v>0</v>
      </c>
    </row>
    <row r="353" spans="8:10">
      <c r="H353" s="13">
        <f t="shared" si="16"/>
        <v>1</v>
      </c>
      <c r="J353" s="13">
        <f t="shared" si="17"/>
        <v>0</v>
      </c>
    </row>
    <row r="354" spans="8:10">
      <c r="H354" s="13">
        <f t="shared" si="16"/>
        <v>1</v>
      </c>
      <c r="J354" s="13">
        <f t="shared" si="17"/>
        <v>0</v>
      </c>
    </row>
    <row r="355" spans="8:10">
      <c r="H355" s="13">
        <f t="shared" si="16"/>
        <v>1</v>
      </c>
      <c r="J355" s="13">
        <f t="shared" si="17"/>
        <v>0</v>
      </c>
    </row>
    <row r="356" spans="8:10">
      <c r="H356" s="13">
        <f t="shared" si="16"/>
        <v>1</v>
      </c>
      <c r="J356" s="13">
        <f t="shared" si="17"/>
        <v>0</v>
      </c>
    </row>
    <row r="357" spans="8:10">
      <c r="H357" s="13">
        <f t="shared" si="16"/>
        <v>1</v>
      </c>
      <c r="J357" s="13">
        <f t="shared" si="17"/>
        <v>0</v>
      </c>
    </row>
    <row r="358" spans="8:10">
      <c r="H358" s="13">
        <f t="shared" si="16"/>
        <v>1</v>
      </c>
      <c r="J358" s="13">
        <f t="shared" si="17"/>
        <v>0</v>
      </c>
    </row>
    <row r="359" spans="8:10">
      <c r="H359" s="13">
        <f t="shared" si="16"/>
        <v>1</v>
      </c>
      <c r="J359" s="13">
        <f t="shared" si="17"/>
        <v>0</v>
      </c>
    </row>
    <row r="360" spans="8:10">
      <c r="H360" s="13">
        <f t="shared" si="16"/>
        <v>1</v>
      </c>
      <c r="J360" s="13">
        <f t="shared" si="17"/>
        <v>0</v>
      </c>
    </row>
    <row r="361" spans="8:10">
      <c r="H361" s="13">
        <f t="shared" si="16"/>
        <v>1</v>
      </c>
      <c r="J361" s="13">
        <f t="shared" si="17"/>
        <v>0</v>
      </c>
    </row>
    <row r="362" spans="8:10">
      <c r="H362" s="13">
        <f t="shared" si="16"/>
        <v>1</v>
      </c>
      <c r="J362" s="13">
        <f t="shared" si="17"/>
        <v>0</v>
      </c>
    </row>
    <row r="363" spans="8:10">
      <c r="H363" s="13">
        <f t="shared" si="16"/>
        <v>1</v>
      </c>
      <c r="J363" s="13">
        <f t="shared" si="17"/>
        <v>0</v>
      </c>
    </row>
    <row r="364" spans="8:10">
      <c r="H364" s="13">
        <f t="shared" si="16"/>
        <v>1</v>
      </c>
      <c r="J364" s="13">
        <f t="shared" si="17"/>
        <v>0</v>
      </c>
    </row>
    <row r="365" spans="8:10">
      <c r="H365" s="13">
        <f t="shared" si="16"/>
        <v>1</v>
      </c>
      <c r="J365" s="13">
        <f t="shared" si="17"/>
        <v>0</v>
      </c>
    </row>
    <row r="366" spans="8:10">
      <c r="H366" s="13">
        <f t="shared" si="16"/>
        <v>1</v>
      </c>
      <c r="J366" s="13">
        <f t="shared" si="17"/>
        <v>0</v>
      </c>
    </row>
    <row r="367" spans="8:10">
      <c r="H367" s="13">
        <f t="shared" si="16"/>
        <v>1</v>
      </c>
      <c r="J367" s="13">
        <f t="shared" si="17"/>
        <v>0</v>
      </c>
    </row>
    <row r="368" spans="8:10">
      <c r="H368" s="13">
        <f t="shared" si="16"/>
        <v>1</v>
      </c>
      <c r="J368" s="13">
        <f t="shared" si="17"/>
        <v>0</v>
      </c>
    </row>
    <row r="369" spans="8:10">
      <c r="H369" s="13">
        <f t="shared" si="16"/>
        <v>1</v>
      </c>
      <c r="J369" s="13">
        <f t="shared" si="17"/>
        <v>0</v>
      </c>
    </row>
    <row r="370" spans="8:10">
      <c r="H370" s="13">
        <f t="shared" si="16"/>
        <v>1</v>
      </c>
      <c r="J370" s="13">
        <f t="shared" si="17"/>
        <v>0</v>
      </c>
    </row>
    <row r="371" spans="8:10">
      <c r="H371" s="13">
        <f t="shared" si="16"/>
        <v>1</v>
      </c>
      <c r="J371" s="13">
        <f t="shared" si="17"/>
        <v>0</v>
      </c>
    </row>
    <row r="372" spans="8:10">
      <c r="H372" s="13">
        <f t="shared" si="16"/>
        <v>1</v>
      </c>
      <c r="J372" s="13">
        <f t="shared" si="17"/>
        <v>0</v>
      </c>
    </row>
    <row r="373" spans="8:10">
      <c r="H373" s="13">
        <f t="shared" si="16"/>
        <v>1</v>
      </c>
      <c r="J373" s="13">
        <f t="shared" si="17"/>
        <v>0</v>
      </c>
    </row>
    <row r="374" spans="8:10">
      <c r="H374" s="13">
        <f t="shared" si="16"/>
        <v>1</v>
      </c>
      <c r="J374" s="13">
        <f t="shared" si="17"/>
        <v>0</v>
      </c>
    </row>
    <row r="375" spans="8:10">
      <c r="H375" s="13">
        <f t="shared" si="16"/>
        <v>1</v>
      </c>
      <c r="J375" s="13">
        <f t="shared" si="17"/>
        <v>0</v>
      </c>
    </row>
    <row r="376" spans="8:10">
      <c r="H376" s="13">
        <f t="shared" si="16"/>
        <v>1</v>
      </c>
      <c r="J376" s="13">
        <f t="shared" si="17"/>
        <v>0</v>
      </c>
    </row>
    <row r="377" spans="8:10">
      <c r="H377" s="13">
        <f t="shared" si="16"/>
        <v>1</v>
      </c>
      <c r="J377" s="13">
        <f t="shared" si="17"/>
        <v>0</v>
      </c>
    </row>
    <row r="378" spans="8:10">
      <c r="H378" s="13">
        <f t="shared" si="16"/>
        <v>1</v>
      </c>
      <c r="J378" s="13">
        <f t="shared" si="17"/>
        <v>0</v>
      </c>
    </row>
    <row r="379" spans="8:10">
      <c r="H379" s="13">
        <f t="shared" si="16"/>
        <v>1</v>
      </c>
      <c r="J379" s="13">
        <f t="shared" si="17"/>
        <v>0</v>
      </c>
    </row>
    <row r="380" spans="8:10">
      <c r="H380" s="13">
        <f t="shared" si="16"/>
        <v>1</v>
      </c>
      <c r="J380" s="13">
        <f t="shared" si="17"/>
        <v>0</v>
      </c>
    </row>
    <row r="381" spans="8:10">
      <c r="H381" s="13">
        <f t="shared" si="16"/>
        <v>1</v>
      </c>
      <c r="J381" s="13">
        <f t="shared" si="17"/>
        <v>0</v>
      </c>
    </row>
    <row r="382" spans="8:10">
      <c r="H382" s="13">
        <f t="shared" si="16"/>
        <v>1</v>
      </c>
      <c r="J382" s="13">
        <f t="shared" si="17"/>
        <v>0</v>
      </c>
    </row>
    <row r="383" spans="8:10">
      <c r="H383" s="13">
        <f t="shared" si="16"/>
        <v>1</v>
      </c>
      <c r="J383" s="13">
        <f t="shared" si="17"/>
        <v>0</v>
      </c>
    </row>
    <row r="384" spans="8:10">
      <c r="H384" s="13">
        <f t="shared" si="16"/>
        <v>1</v>
      </c>
      <c r="J384" s="13">
        <f t="shared" si="17"/>
        <v>0</v>
      </c>
    </row>
    <row r="385" spans="8:10">
      <c r="H385" s="13">
        <f t="shared" si="16"/>
        <v>1</v>
      </c>
      <c r="J385" s="13">
        <f t="shared" si="17"/>
        <v>0</v>
      </c>
    </row>
    <row r="386" spans="8:10">
      <c r="H386" s="13">
        <f t="shared" si="16"/>
        <v>1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1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1</v>
      </c>
      <c r="J388" s="13">
        <f t="shared" si="19"/>
        <v>0</v>
      </c>
    </row>
    <row r="389" spans="8:10">
      <c r="H389" s="13">
        <f t="shared" si="18"/>
        <v>1</v>
      </c>
      <c r="J389" s="13">
        <f t="shared" si="19"/>
        <v>0</v>
      </c>
    </row>
    <row r="390" spans="8:10">
      <c r="H390" s="13">
        <f t="shared" si="18"/>
        <v>1</v>
      </c>
      <c r="J390" s="13">
        <f t="shared" si="19"/>
        <v>0</v>
      </c>
    </row>
    <row r="391" spans="8:10">
      <c r="H391" s="13">
        <f t="shared" si="18"/>
        <v>1</v>
      </c>
      <c r="J391" s="13">
        <f t="shared" si="19"/>
        <v>0</v>
      </c>
    </row>
    <row r="392" spans="8:10">
      <c r="H392" s="13">
        <f t="shared" si="18"/>
        <v>1</v>
      </c>
      <c r="J392" s="13">
        <f t="shared" si="19"/>
        <v>0</v>
      </c>
    </row>
    <row r="393" spans="8:10">
      <c r="H393" s="13">
        <f t="shared" si="18"/>
        <v>1</v>
      </c>
      <c r="J393" s="13">
        <f t="shared" si="19"/>
        <v>0</v>
      </c>
    </row>
    <row r="394" spans="8:10">
      <c r="H394" s="13">
        <f t="shared" si="18"/>
        <v>1</v>
      </c>
      <c r="J394" s="13">
        <f t="shared" si="19"/>
        <v>0</v>
      </c>
    </row>
    <row r="395" spans="8:10">
      <c r="H395" s="13">
        <f t="shared" si="18"/>
        <v>1</v>
      </c>
      <c r="J395" s="13">
        <f t="shared" si="19"/>
        <v>0</v>
      </c>
    </row>
    <row r="396" spans="8:10">
      <c r="H396" s="13">
        <f t="shared" si="18"/>
        <v>1</v>
      </c>
      <c r="J396" s="13">
        <f t="shared" si="19"/>
        <v>0</v>
      </c>
    </row>
    <row r="397" spans="8:10">
      <c r="H397" s="13">
        <f t="shared" si="18"/>
        <v>1</v>
      </c>
      <c r="J397" s="13">
        <f t="shared" si="19"/>
        <v>0</v>
      </c>
    </row>
    <row r="398" spans="8:10">
      <c r="H398" s="13">
        <f t="shared" si="18"/>
        <v>1</v>
      </c>
      <c r="J398" s="13">
        <f t="shared" si="19"/>
        <v>0</v>
      </c>
    </row>
    <row r="399" spans="8:10">
      <c r="H399" s="13">
        <f t="shared" si="18"/>
        <v>1</v>
      </c>
      <c r="J399" s="13">
        <f t="shared" si="19"/>
        <v>0</v>
      </c>
    </row>
    <row r="400" spans="8:10">
      <c r="H400" s="13">
        <f t="shared" si="18"/>
        <v>1</v>
      </c>
      <c r="J400" s="13">
        <f t="shared" si="19"/>
        <v>0</v>
      </c>
    </row>
    <row r="401" spans="8:10">
      <c r="H401" s="13">
        <f t="shared" si="18"/>
        <v>1</v>
      </c>
      <c r="J401" s="13">
        <f t="shared" si="19"/>
        <v>0</v>
      </c>
    </row>
    <row r="402" spans="8:10">
      <c r="H402" s="13">
        <f t="shared" si="18"/>
        <v>1</v>
      </c>
      <c r="J402" s="13">
        <f t="shared" si="19"/>
        <v>0</v>
      </c>
    </row>
    <row r="403" spans="8:10">
      <c r="H403" s="13">
        <f t="shared" si="18"/>
        <v>1</v>
      </c>
      <c r="J403" s="13">
        <f t="shared" si="19"/>
        <v>0</v>
      </c>
    </row>
    <row r="404" spans="8:10">
      <c r="H404" s="13">
        <f t="shared" si="18"/>
        <v>1</v>
      </c>
      <c r="J404" s="13">
        <f t="shared" si="19"/>
        <v>0</v>
      </c>
    </row>
    <row r="405" spans="8:10">
      <c r="H405" s="13">
        <f t="shared" si="18"/>
        <v>1</v>
      </c>
      <c r="J405" s="13">
        <f t="shared" si="19"/>
        <v>0</v>
      </c>
    </row>
    <row r="406" spans="8:10">
      <c r="H406" s="13">
        <f t="shared" si="18"/>
        <v>1</v>
      </c>
      <c r="J406" s="13">
        <f t="shared" si="19"/>
        <v>0</v>
      </c>
    </row>
    <row r="407" spans="8:10">
      <c r="H407" s="13">
        <f t="shared" si="18"/>
        <v>1</v>
      </c>
      <c r="J407" s="13">
        <f t="shared" si="19"/>
        <v>0</v>
      </c>
    </row>
    <row r="408" spans="8:10">
      <c r="H408" s="13">
        <f t="shared" si="18"/>
        <v>1</v>
      </c>
      <c r="J408" s="13">
        <f t="shared" si="19"/>
        <v>0</v>
      </c>
    </row>
    <row r="409" spans="8:10">
      <c r="H409" s="13">
        <f t="shared" si="18"/>
        <v>1</v>
      </c>
      <c r="J409" s="13">
        <f t="shared" si="19"/>
        <v>0</v>
      </c>
    </row>
    <row r="410" spans="8:10">
      <c r="H410" s="13">
        <f t="shared" si="18"/>
        <v>1</v>
      </c>
      <c r="J410" s="13">
        <f t="shared" si="19"/>
        <v>0</v>
      </c>
    </row>
    <row r="411" spans="8:10">
      <c r="H411" s="13">
        <f t="shared" si="18"/>
        <v>1</v>
      </c>
      <c r="J411" s="13">
        <f t="shared" si="19"/>
        <v>0</v>
      </c>
    </row>
    <row r="412" spans="8:10">
      <c r="H412" s="13">
        <f t="shared" si="18"/>
        <v>1</v>
      </c>
      <c r="J412" s="13">
        <f t="shared" si="19"/>
        <v>0</v>
      </c>
    </row>
    <row r="413" spans="8:10">
      <c r="H413" s="13">
        <f t="shared" si="18"/>
        <v>1</v>
      </c>
      <c r="J413" s="13">
        <f t="shared" si="19"/>
        <v>0</v>
      </c>
    </row>
    <row r="414" spans="8:10">
      <c r="H414" s="13">
        <f t="shared" si="18"/>
        <v>1</v>
      </c>
      <c r="J414" s="13">
        <f t="shared" si="19"/>
        <v>0</v>
      </c>
    </row>
    <row r="415" spans="8:10">
      <c r="H415" s="13">
        <f t="shared" si="18"/>
        <v>1</v>
      </c>
      <c r="J415" s="13">
        <f t="shared" si="19"/>
        <v>0</v>
      </c>
    </row>
    <row r="416" spans="8:10">
      <c r="H416" s="13">
        <f t="shared" si="18"/>
        <v>1</v>
      </c>
      <c r="J416" s="13">
        <f t="shared" si="19"/>
        <v>0</v>
      </c>
    </row>
    <row r="417" spans="8:10">
      <c r="H417" s="13">
        <f t="shared" si="18"/>
        <v>1</v>
      </c>
      <c r="J417" s="13">
        <f t="shared" si="19"/>
        <v>0</v>
      </c>
    </row>
    <row r="418" spans="8:10">
      <c r="H418" s="13">
        <f t="shared" si="18"/>
        <v>1</v>
      </c>
      <c r="J418" s="13">
        <f t="shared" si="19"/>
        <v>0</v>
      </c>
    </row>
    <row r="419" spans="8:10">
      <c r="H419" s="13">
        <f t="shared" si="18"/>
        <v>1</v>
      </c>
      <c r="J419" s="13">
        <f t="shared" si="19"/>
        <v>0</v>
      </c>
    </row>
    <row r="420" spans="8:10">
      <c r="H420" s="13">
        <f t="shared" si="18"/>
        <v>1</v>
      </c>
      <c r="J420" s="13">
        <f t="shared" si="19"/>
        <v>0</v>
      </c>
    </row>
    <row r="421" spans="8:10">
      <c r="H421" s="13">
        <f t="shared" si="18"/>
        <v>1</v>
      </c>
      <c r="J421" s="13">
        <f t="shared" si="19"/>
        <v>0</v>
      </c>
    </row>
    <row r="422" spans="8:10">
      <c r="H422" s="13">
        <f t="shared" si="18"/>
        <v>1</v>
      </c>
      <c r="J422" s="13">
        <f t="shared" si="19"/>
        <v>0</v>
      </c>
    </row>
    <row r="423" spans="8:10">
      <c r="H423" s="13">
        <f t="shared" si="18"/>
        <v>1</v>
      </c>
      <c r="J423" s="13">
        <f t="shared" si="19"/>
        <v>0</v>
      </c>
    </row>
    <row r="424" spans="8:10">
      <c r="H424" s="13">
        <f t="shared" si="18"/>
        <v>1</v>
      </c>
      <c r="J424" s="13">
        <f t="shared" si="19"/>
        <v>0</v>
      </c>
    </row>
    <row r="425" spans="8:10">
      <c r="H425" s="13">
        <f t="shared" si="18"/>
        <v>1</v>
      </c>
      <c r="J425" s="13">
        <f t="shared" si="19"/>
        <v>0</v>
      </c>
    </row>
    <row r="426" spans="8:10">
      <c r="H426" s="13">
        <f t="shared" si="18"/>
        <v>1</v>
      </c>
      <c r="J426" s="13">
        <f t="shared" si="19"/>
        <v>0</v>
      </c>
    </row>
    <row r="427" spans="8:10">
      <c r="H427" s="13">
        <f t="shared" si="18"/>
        <v>1</v>
      </c>
      <c r="J427" s="13">
        <f t="shared" si="19"/>
        <v>0</v>
      </c>
    </row>
    <row r="428" spans="8:10">
      <c r="H428" s="13">
        <f t="shared" si="18"/>
        <v>1</v>
      </c>
      <c r="J428" s="13">
        <f t="shared" si="19"/>
        <v>0</v>
      </c>
    </row>
    <row r="429" spans="8:10">
      <c r="H429" s="13">
        <f t="shared" si="18"/>
        <v>1</v>
      </c>
      <c r="J429" s="13">
        <f t="shared" si="19"/>
        <v>0</v>
      </c>
    </row>
    <row r="430" spans="8:10">
      <c r="H430" s="13">
        <f t="shared" si="18"/>
        <v>1</v>
      </c>
      <c r="J430" s="13">
        <f t="shared" si="19"/>
        <v>0</v>
      </c>
    </row>
    <row r="431" spans="8:10">
      <c r="H431" s="13">
        <f t="shared" si="18"/>
        <v>1</v>
      </c>
      <c r="J431" s="13">
        <f t="shared" si="19"/>
        <v>0</v>
      </c>
    </row>
    <row r="432" spans="8:10">
      <c r="H432" s="13">
        <f t="shared" si="18"/>
        <v>1</v>
      </c>
      <c r="J432" s="13">
        <f t="shared" si="19"/>
        <v>0</v>
      </c>
    </row>
    <row r="433" spans="8:10">
      <c r="H433" s="13">
        <f t="shared" si="18"/>
        <v>1</v>
      </c>
      <c r="J433" s="13">
        <f t="shared" si="19"/>
        <v>0</v>
      </c>
    </row>
    <row r="434" spans="8:10">
      <c r="H434" s="13">
        <f t="shared" si="18"/>
        <v>1</v>
      </c>
      <c r="J434" s="13">
        <f t="shared" si="19"/>
        <v>0</v>
      </c>
    </row>
    <row r="435" spans="8:10">
      <c r="H435" s="13">
        <f t="shared" si="18"/>
        <v>1</v>
      </c>
      <c r="J435" s="13">
        <f t="shared" si="19"/>
        <v>0</v>
      </c>
    </row>
    <row r="436" spans="8:10">
      <c r="H436" s="13">
        <f t="shared" si="18"/>
        <v>1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C1000"/>
  <sheetViews>
    <sheetView topLeftCell="X1" workbookViewId="0">
      <selection activeCell="Z14" sqref="Z14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</cols>
  <sheetData>
    <row r="1" spans="1:29">
      <c r="A1" t="str" cm="1">
        <f t="array" ref="A1:AA1000">Input!D1:AD1000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Memory capacity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C1" t="s">
        <v>50</v>
      </c>
    </row>
    <row r="2" spans="1:29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 t="str">
        <f>IF(ISNUMBER(SEARCH("Successful",F2)),
   "Successful",
   IF(ISNUMBER(SEARCH("Failed",F2)),"Failed",""))</f>
        <v/>
      </c>
    </row>
    <row r="3" spans="1:29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 t="str">
        <f t="shared" ref="AC3:AC66" si="0">IF(ISNUMBER(SEARCH("Successful",F3)),
   "Successful",
   IF(ISNUMBER(SEARCH("Failed",F3)),"Failed",""))</f>
        <v/>
      </c>
    </row>
    <row r="4" spans="1:29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 t="str">
        <f t="shared" si="0"/>
        <v/>
      </c>
    </row>
    <row r="5" spans="1:29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 t="str">
        <f t="shared" si="0"/>
        <v/>
      </c>
    </row>
    <row r="6" spans="1:29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 t="str">
        <f t="shared" si="0"/>
        <v/>
      </c>
    </row>
    <row r="7" spans="1:29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 t="str">
        <f t="shared" si="0"/>
        <v/>
      </c>
    </row>
    <row r="8" spans="1:29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 t="str">
        <f t="shared" si="0"/>
        <v/>
      </c>
    </row>
    <row r="9" spans="1:29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 t="str">
        <f t="shared" si="0"/>
        <v/>
      </c>
    </row>
    <row r="10" spans="1:29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 t="str">
        <f t="shared" si="0"/>
        <v/>
      </c>
    </row>
    <row r="11" spans="1:29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 t="str">
        <f t="shared" si="0"/>
        <v/>
      </c>
    </row>
    <row r="12" spans="1:29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C12" t="str">
        <f t="shared" si="0"/>
        <v/>
      </c>
    </row>
    <row r="13" spans="1:29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C13" t="str">
        <f t="shared" si="0"/>
        <v/>
      </c>
    </row>
    <row r="14" spans="1:29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C14" t="str">
        <f t="shared" si="0"/>
        <v/>
      </c>
    </row>
    <row r="15" spans="1:29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C15" t="str">
        <f t="shared" si="0"/>
        <v/>
      </c>
    </row>
    <row r="16" spans="1:29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C16" t="str">
        <f t="shared" si="0"/>
        <v/>
      </c>
    </row>
    <row r="17" spans="1:29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C17" t="str">
        <f t="shared" si="0"/>
        <v/>
      </c>
    </row>
    <row r="18" spans="1:29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C18" t="str">
        <f t="shared" si="0"/>
        <v/>
      </c>
    </row>
    <row r="19" spans="1:29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C19" t="str">
        <f t="shared" si="0"/>
        <v/>
      </c>
    </row>
    <row r="20" spans="1:29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C20" t="str">
        <f t="shared" si="0"/>
        <v/>
      </c>
    </row>
    <row r="21" spans="1:29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C21" t="str">
        <f t="shared" si="0"/>
        <v/>
      </c>
    </row>
    <row r="22" spans="1:29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C22" t="str">
        <f t="shared" si="0"/>
        <v/>
      </c>
    </row>
    <row r="23" spans="1:29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C23" t="str">
        <f t="shared" si="0"/>
        <v/>
      </c>
    </row>
    <row r="24" spans="1:29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C24" t="str">
        <f>IF(ISNUMBER(SEARCH("Successful",F24)),
   "Successful",
   IF(ISNUMBER(SEARCH("Failed",F24)),"Failed",""))</f>
        <v/>
      </c>
    </row>
    <row r="25" spans="1:29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C25" t="str">
        <f t="shared" si="0"/>
        <v/>
      </c>
    </row>
    <row r="26" spans="1:29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C26" t="str">
        <f t="shared" si="0"/>
        <v/>
      </c>
    </row>
    <row r="27" spans="1:29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C27" t="str">
        <f t="shared" si="0"/>
        <v/>
      </c>
    </row>
    <row r="28" spans="1:29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C28" t="str">
        <f t="shared" si="0"/>
        <v/>
      </c>
    </row>
    <row r="29" spans="1:29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C29" t="str">
        <f t="shared" si="0"/>
        <v/>
      </c>
    </row>
    <row r="30" spans="1:29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C30" t="str">
        <f t="shared" si="0"/>
        <v/>
      </c>
    </row>
    <row r="31" spans="1:29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C31" t="str">
        <f t="shared" si="0"/>
        <v/>
      </c>
    </row>
    <row r="32" spans="1:29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C32" t="str">
        <f t="shared" si="0"/>
        <v/>
      </c>
    </row>
    <row r="33" spans="1:29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C33" t="str">
        <f t="shared" si="0"/>
        <v/>
      </c>
    </row>
    <row r="34" spans="1:29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C34" t="str">
        <f t="shared" si="0"/>
        <v/>
      </c>
    </row>
    <row r="35" spans="1:29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C35" t="str">
        <f t="shared" si="0"/>
        <v/>
      </c>
    </row>
    <row r="36" spans="1:29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C36" t="str">
        <f t="shared" si="0"/>
        <v/>
      </c>
    </row>
    <row r="37" spans="1:29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C37" t="str">
        <f t="shared" si="0"/>
        <v/>
      </c>
    </row>
    <row r="38" spans="1:29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C38" t="str">
        <f t="shared" si="0"/>
        <v/>
      </c>
    </row>
    <row r="39" spans="1:29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C39" t="str">
        <f t="shared" si="0"/>
        <v/>
      </c>
    </row>
    <row r="40" spans="1:29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C40" t="str">
        <f t="shared" si="0"/>
        <v/>
      </c>
    </row>
    <row r="41" spans="1:29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C41" t="str">
        <f t="shared" si="0"/>
        <v/>
      </c>
    </row>
    <row r="42" spans="1:29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C42" t="str">
        <f t="shared" si="0"/>
        <v/>
      </c>
    </row>
    <row r="43" spans="1:29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C43" t="str">
        <f t="shared" si="0"/>
        <v/>
      </c>
    </row>
    <row r="44" spans="1:29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C44" t="str">
        <f t="shared" si="0"/>
        <v/>
      </c>
    </row>
    <row r="45" spans="1:29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C45" t="str">
        <f t="shared" si="0"/>
        <v/>
      </c>
    </row>
    <row r="46" spans="1:29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C46" t="str">
        <f t="shared" si="0"/>
        <v/>
      </c>
    </row>
    <row r="47" spans="1:29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C47" t="str">
        <f t="shared" si="0"/>
        <v/>
      </c>
    </row>
    <row r="48" spans="1:29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C48" t="str">
        <f t="shared" si="0"/>
        <v/>
      </c>
    </row>
    <row r="49" spans="1:29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C49" t="str">
        <f t="shared" si="0"/>
        <v/>
      </c>
    </row>
    <row r="50" spans="1:29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C50" t="str">
        <f t="shared" si="0"/>
        <v/>
      </c>
    </row>
    <row r="51" spans="1:29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C51" t="str">
        <f t="shared" si="0"/>
        <v/>
      </c>
    </row>
    <row r="52" spans="1:29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C52" t="str">
        <f t="shared" si="0"/>
        <v/>
      </c>
    </row>
    <row r="53" spans="1:29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C53" t="str">
        <f t="shared" si="0"/>
        <v/>
      </c>
    </row>
    <row r="54" spans="1:29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C54" t="str">
        <f t="shared" si="0"/>
        <v/>
      </c>
    </row>
    <row r="55" spans="1:29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C55" t="str">
        <f t="shared" si="0"/>
        <v/>
      </c>
    </row>
    <row r="56" spans="1:29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C56" t="str">
        <f t="shared" si="0"/>
        <v/>
      </c>
    </row>
    <row r="57" spans="1:29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C57" t="str">
        <f t="shared" si="0"/>
        <v/>
      </c>
    </row>
    <row r="58" spans="1:29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C58" t="str">
        <f t="shared" si="0"/>
        <v/>
      </c>
    </row>
    <row r="59" spans="1:29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C59" t="str">
        <f t="shared" si="0"/>
        <v/>
      </c>
    </row>
    <row r="60" spans="1:29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C60" t="str">
        <f t="shared" si="0"/>
        <v/>
      </c>
    </row>
    <row r="61" spans="1:29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C61" t="str">
        <f t="shared" si="0"/>
        <v/>
      </c>
    </row>
    <row r="62" spans="1:29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C62" t="str">
        <f t="shared" si="0"/>
        <v/>
      </c>
    </row>
    <row r="63" spans="1:29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C63" t="str">
        <f t="shared" si="0"/>
        <v/>
      </c>
    </row>
    <row r="64" spans="1:29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C64" t="str">
        <f t="shared" si="0"/>
        <v/>
      </c>
    </row>
    <row r="65" spans="1:29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C65" t="str">
        <f t="shared" si="0"/>
        <v/>
      </c>
    </row>
    <row r="66" spans="1:29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C66" t="str">
        <f t="shared" si="0"/>
        <v/>
      </c>
    </row>
    <row r="67" spans="1:29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C67" t="str">
        <f t="shared" ref="AC67:AC130" si="1">IF(ISNUMBER(SEARCH("Successful",F67)),
   "Successful",
   IF(ISNUMBER(SEARCH("Failed",F67)),"Failed",""))</f>
        <v/>
      </c>
    </row>
    <row r="68" spans="1:29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C68" t="str">
        <f t="shared" si="1"/>
        <v/>
      </c>
    </row>
    <row r="69" spans="1:29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C69" t="str">
        <f t="shared" si="1"/>
        <v/>
      </c>
    </row>
    <row r="70" spans="1:29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C70" t="str">
        <f t="shared" si="1"/>
        <v/>
      </c>
    </row>
    <row r="71" spans="1:29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C71" t="str">
        <f t="shared" si="1"/>
        <v/>
      </c>
    </row>
    <row r="72" spans="1:29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C72" t="str">
        <f t="shared" si="1"/>
        <v/>
      </c>
    </row>
    <row r="73" spans="1:29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C73" t="str">
        <f t="shared" si="1"/>
        <v/>
      </c>
    </row>
    <row r="74" spans="1:29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C74" t="str">
        <f t="shared" si="1"/>
        <v/>
      </c>
    </row>
    <row r="75" spans="1:29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C75" t="str">
        <f t="shared" si="1"/>
        <v/>
      </c>
    </row>
    <row r="76" spans="1:29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C76" t="str">
        <f t="shared" si="1"/>
        <v/>
      </c>
    </row>
    <row r="77" spans="1:29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C77" t="str">
        <f t="shared" si="1"/>
        <v/>
      </c>
    </row>
    <row r="78" spans="1:29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C78" t="str">
        <f t="shared" si="1"/>
        <v/>
      </c>
    </row>
    <row r="79" spans="1:29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C79" t="str">
        <f t="shared" si="1"/>
        <v/>
      </c>
    </row>
    <row r="80" spans="1:29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C80" t="str">
        <f t="shared" si="1"/>
        <v/>
      </c>
    </row>
    <row r="81" spans="1:29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C81" t="str">
        <f t="shared" si="1"/>
        <v/>
      </c>
    </row>
    <row r="82" spans="1:29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C82" t="str">
        <f t="shared" si="1"/>
        <v/>
      </c>
    </row>
    <row r="83" spans="1:29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C83" t="str">
        <f t="shared" si="1"/>
        <v/>
      </c>
    </row>
    <row r="84" spans="1:29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C84" t="str">
        <f t="shared" si="1"/>
        <v/>
      </c>
    </row>
    <row r="85" spans="1:29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C85" t="str">
        <f t="shared" si="1"/>
        <v/>
      </c>
    </row>
    <row r="86" spans="1:29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C86" t="str">
        <f t="shared" si="1"/>
        <v/>
      </c>
    </row>
    <row r="87" spans="1:29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C87" t="str">
        <f t="shared" si="1"/>
        <v/>
      </c>
    </row>
    <row r="88" spans="1:29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C88" t="str">
        <f t="shared" si="1"/>
        <v/>
      </c>
    </row>
    <row r="89" spans="1:29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C89" t="str">
        <f t="shared" si="1"/>
        <v/>
      </c>
    </row>
    <row r="90" spans="1:29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C90" t="str">
        <f t="shared" si="1"/>
        <v/>
      </c>
    </row>
    <row r="91" spans="1:29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C91" t="str">
        <f t="shared" si="1"/>
        <v/>
      </c>
    </row>
    <row r="92" spans="1:29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C92" t="str">
        <f t="shared" si="1"/>
        <v/>
      </c>
    </row>
    <row r="93" spans="1:29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C93" t="str">
        <f t="shared" si="1"/>
        <v/>
      </c>
    </row>
    <row r="94" spans="1:29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C94" t="str">
        <f t="shared" si="1"/>
        <v/>
      </c>
    </row>
    <row r="95" spans="1:29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C95" t="str">
        <f t="shared" si="1"/>
        <v/>
      </c>
    </row>
    <row r="96" spans="1:29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C96" t="str">
        <f t="shared" si="1"/>
        <v/>
      </c>
    </row>
    <row r="97" spans="1:29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C97" t="str">
        <f t="shared" si="1"/>
        <v/>
      </c>
    </row>
    <row r="98" spans="1:29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C98" t="str">
        <f t="shared" si="1"/>
        <v/>
      </c>
    </row>
    <row r="99" spans="1:29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C99" t="str">
        <f t="shared" si="1"/>
        <v/>
      </c>
    </row>
    <row r="100" spans="1:29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C100" t="str">
        <f t="shared" si="1"/>
        <v/>
      </c>
    </row>
    <row r="101" spans="1:29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C101" t="str">
        <f t="shared" si="1"/>
        <v/>
      </c>
    </row>
    <row r="102" spans="1:29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C102" t="str">
        <f t="shared" si="1"/>
        <v/>
      </c>
    </row>
    <row r="103" spans="1:29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C103" t="str">
        <f t="shared" si="1"/>
        <v/>
      </c>
    </row>
    <row r="104" spans="1:29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C104" t="str">
        <f t="shared" si="1"/>
        <v/>
      </c>
    </row>
    <row r="105" spans="1:29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C105" t="str">
        <f t="shared" si="1"/>
        <v/>
      </c>
    </row>
    <row r="106" spans="1:29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C106" t="str">
        <f t="shared" si="1"/>
        <v/>
      </c>
    </row>
    <row r="107" spans="1:29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C107" t="str">
        <f t="shared" si="1"/>
        <v/>
      </c>
    </row>
    <row r="108" spans="1:29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C108" t="str">
        <f t="shared" si="1"/>
        <v/>
      </c>
    </row>
    <row r="109" spans="1:29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C109" t="str">
        <f t="shared" si="1"/>
        <v/>
      </c>
    </row>
    <row r="110" spans="1:29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C110" t="str">
        <f t="shared" si="1"/>
        <v/>
      </c>
    </row>
    <row r="111" spans="1:29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C111" t="str">
        <f t="shared" si="1"/>
        <v/>
      </c>
    </row>
    <row r="112" spans="1:29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C112" t="str">
        <f t="shared" si="1"/>
        <v/>
      </c>
    </row>
    <row r="113" spans="1:29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C113" t="str">
        <f t="shared" si="1"/>
        <v/>
      </c>
    </row>
    <row r="114" spans="1:29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C114" t="str">
        <f t="shared" si="1"/>
        <v/>
      </c>
    </row>
    <row r="115" spans="1:29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C115" t="str">
        <f t="shared" si="1"/>
        <v/>
      </c>
    </row>
    <row r="116" spans="1:29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C116" t="str">
        <f t="shared" si="1"/>
        <v/>
      </c>
    </row>
    <row r="117" spans="1:29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C117" t="str">
        <f t="shared" si="1"/>
        <v/>
      </c>
    </row>
    <row r="118" spans="1:29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C118" t="str">
        <f t="shared" si="1"/>
        <v/>
      </c>
    </row>
    <row r="119" spans="1:29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C119" t="str">
        <f t="shared" si="1"/>
        <v/>
      </c>
    </row>
    <row r="120" spans="1:29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C120" t="str">
        <f t="shared" si="1"/>
        <v/>
      </c>
    </row>
    <row r="121" spans="1:29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C121" t="str">
        <f t="shared" si="1"/>
        <v/>
      </c>
    </row>
    <row r="122" spans="1:29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C122" t="str">
        <f t="shared" si="1"/>
        <v/>
      </c>
    </row>
    <row r="123" spans="1:29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C123" t="str">
        <f t="shared" si="1"/>
        <v/>
      </c>
    </row>
    <row r="124" spans="1:29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C124" t="str">
        <f t="shared" si="1"/>
        <v/>
      </c>
    </row>
    <row r="125" spans="1:29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C125" t="str">
        <f t="shared" si="1"/>
        <v/>
      </c>
    </row>
    <row r="126" spans="1:29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C126" t="str">
        <f t="shared" si="1"/>
        <v/>
      </c>
    </row>
    <row r="127" spans="1:29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C127" t="str">
        <f t="shared" si="1"/>
        <v/>
      </c>
    </row>
    <row r="128" spans="1:29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C128" t="str">
        <f t="shared" si="1"/>
        <v/>
      </c>
    </row>
    <row r="129" spans="1:29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C129" t="str">
        <f t="shared" si="1"/>
        <v/>
      </c>
    </row>
    <row r="130" spans="1:29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C130" t="str">
        <f t="shared" si="1"/>
        <v/>
      </c>
    </row>
    <row r="131" spans="1:29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C131" t="str">
        <f t="shared" ref="AC131:AC194" si="2">IF(ISNUMBER(SEARCH("Successful",F131)),
   "Successful",
   IF(ISNUMBER(SEARCH("Failed",F131)),"Failed",""))</f>
        <v/>
      </c>
    </row>
    <row r="132" spans="1:29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C132" t="str">
        <f t="shared" si="2"/>
        <v/>
      </c>
    </row>
    <row r="133" spans="1:29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C133" t="str">
        <f t="shared" si="2"/>
        <v/>
      </c>
    </row>
    <row r="134" spans="1:29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C134" t="str">
        <f t="shared" si="2"/>
        <v/>
      </c>
    </row>
    <row r="135" spans="1:29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C135" t="str">
        <f t="shared" si="2"/>
        <v/>
      </c>
    </row>
    <row r="136" spans="1:29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C136" t="str">
        <f t="shared" si="2"/>
        <v/>
      </c>
    </row>
    <row r="137" spans="1:29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C137" t="str">
        <f t="shared" si="2"/>
        <v/>
      </c>
    </row>
    <row r="138" spans="1:29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C138" t="str">
        <f t="shared" si="2"/>
        <v/>
      </c>
    </row>
    <row r="139" spans="1:29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C139" t="str">
        <f t="shared" si="2"/>
        <v/>
      </c>
    </row>
    <row r="140" spans="1:29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C140" t="str">
        <f t="shared" si="2"/>
        <v/>
      </c>
    </row>
    <row r="141" spans="1:29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C141" t="str">
        <f t="shared" si="2"/>
        <v/>
      </c>
    </row>
    <row r="142" spans="1:29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C142" t="str">
        <f t="shared" si="2"/>
        <v/>
      </c>
    </row>
    <row r="143" spans="1:29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C143" t="str">
        <f t="shared" si="2"/>
        <v/>
      </c>
    </row>
    <row r="144" spans="1:29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C144" t="str">
        <f t="shared" si="2"/>
        <v/>
      </c>
    </row>
    <row r="145" spans="1:29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C145" t="str">
        <f t="shared" si="2"/>
        <v/>
      </c>
    </row>
    <row r="146" spans="1:29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C146" t="str">
        <f t="shared" si="2"/>
        <v/>
      </c>
    </row>
    <row r="147" spans="1:29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C147" t="str">
        <f t="shared" si="2"/>
        <v/>
      </c>
    </row>
    <row r="148" spans="1:29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C148" t="str">
        <f t="shared" si="2"/>
        <v/>
      </c>
    </row>
    <row r="149" spans="1:29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C149" t="str">
        <f t="shared" si="2"/>
        <v/>
      </c>
    </row>
    <row r="150" spans="1:29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C150" t="str">
        <f t="shared" si="2"/>
        <v/>
      </c>
    </row>
    <row r="151" spans="1:29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C151" t="str">
        <f t="shared" si="2"/>
        <v/>
      </c>
    </row>
    <row r="152" spans="1:29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C152" t="str">
        <f t="shared" si="2"/>
        <v/>
      </c>
    </row>
    <row r="153" spans="1:29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C153" t="str">
        <f t="shared" si="2"/>
        <v/>
      </c>
    </row>
    <row r="154" spans="1:29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C154" t="str">
        <f t="shared" si="2"/>
        <v/>
      </c>
    </row>
    <row r="155" spans="1:29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C155" t="str">
        <f t="shared" si="2"/>
        <v/>
      </c>
    </row>
    <row r="156" spans="1:29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C156" t="str">
        <f t="shared" si="2"/>
        <v/>
      </c>
    </row>
    <row r="157" spans="1:29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C157" t="str">
        <f t="shared" si="2"/>
        <v/>
      </c>
    </row>
    <row r="158" spans="1:29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C158" t="str">
        <f t="shared" si="2"/>
        <v/>
      </c>
    </row>
    <row r="159" spans="1:29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C159" t="str">
        <f t="shared" si="2"/>
        <v/>
      </c>
    </row>
    <row r="160" spans="1:29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C160" t="str">
        <f t="shared" si="2"/>
        <v/>
      </c>
    </row>
    <row r="161" spans="1:29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C161" t="str">
        <f t="shared" si="2"/>
        <v/>
      </c>
    </row>
    <row r="162" spans="1:29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C162" t="str">
        <f t="shared" si="2"/>
        <v/>
      </c>
    </row>
    <row r="163" spans="1:29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C163" t="str">
        <f t="shared" si="2"/>
        <v/>
      </c>
    </row>
    <row r="164" spans="1:29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C164" t="str">
        <f t="shared" si="2"/>
        <v/>
      </c>
    </row>
    <row r="165" spans="1:29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C165" t="str">
        <f t="shared" si="2"/>
        <v/>
      </c>
    </row>
    <row r="166" spans="1:29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C166" t="str">
        <f t="shared" si="2"/>
        <v/>
      </c>
    </row>
    <row r="167" spans="1:29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C167" t="str">
        <f t="shared" si="2"/>
        <v/>
      </c>
    </row>
    <row r="168" spans="1:29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C168" t="str">
        <f t="shared" si="2"/>
        <v/>
      </c>
    </row>
    <row r="169" spans="1:29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C169" t="str">
        <f t="shared" si="2"/>
        <v/>
      </c>
    </row>
    <row r="170" spans="1:29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C170" t="str">
        <f t="shared" si="2"/>
        <v/>
      </c>
    </row>
    <row r="171" spans="1:29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C171" t="str">
        <f t="shared" si="2"/>
        <v/>
      </c>
    </row>
    <row r="172" spans="1:29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C172" t="str">
        <f t="shared" si="2"/>
        <v/>
      </c>
    </row>
    <row r="173" spans="1:29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C173" t="str">
        <f t="shared" si="2"/>
        <v/>
      </c>
    </row>
    <row r="174" spans="1:29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C174" t="str">
        <f t="shared" si="2"/>
        <v/>
      </c>
    </row>
    <row r="175" spans="1:29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C175" t="str">
        <f t="shared" si="2"/>
        <v/>
      </c>
    </row>
    <row r="176" spans="1:29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C176" t="str">
        <f t="shared" si="2"/>
        <v/>
      </c>
    </row>
    <row r="177" spans="1:29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C177" t="str">
        <f t="shared" si="2"/>
        <v/>
      </c>
    </row>
    <row r="178" spans="1:29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C178" t="str">
        <f t="shared" si="2"/>
        <v/>
      </c>
    </row>
    <row r="179" spans="1:29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C179" t="str">
        <f t="shared" si="2"/>
        <v/>
      </c>
    </row>
    <row r="180" spans="1:29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C180" t="str">
        <f t="shared" si="2"/>
        <v/>
      </c>
    </row>
    <row r="181" spans="1:29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C181" t="str">
        <f t="shared" si="2"/>
        <v/>
      </c>
    </row>
    <row r="182" spans="1:29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C182" t="str">
        <f t="shared" si="2"/>
        <v/>
      </c>
    </row>
    <row r="183" spans="1:29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C183" t="str">
        <f t="shared" si="2"/>
        <v/>
      </c>
    </row>
    <row r="184" spans="1:29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C184" t="str">
        <f t="shared" si="2"/>
        <v/>
      </c>
    </row>
    <row r="185" spans="1:29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C185" t="str">
        <f t="shared" si="2"/>
        <v/>
      </c>
    </row>
    <row r="186" spans="1:29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C186" t="str">
        <f t="shared" si="2"/>
        <v/>
      </c>
    </row>
    <row r="187" spans="1:29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C187" t="str">
        <f t="shared" si="2"/>
        <v/>
      </c>
    </row>
    <row r="188" spans="1:29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C188" t="str">
        <f t="shared" si="2"/>
        <v/>
      </c>
    </row>
    <row r="189" spans="1:29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C189" t="str">
        <f t="shared" si="2"/>
        <v/>
      </c>
    </row>
    <row r="190" spans="1:29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C190" t="str">
        <f t="shared" si="2"/>
        <v/>
      </c>
    </row>
    <row r="191" spans="1:29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C191" t="str">
        <f t="shared" si="2"/>
        <v/>
      </c>
    </row>
    <row r="192" spans="1:29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C192" t="str">
        <f t="shared" si="2"/>
        <v/>
      </c>
    </row>
    <row r="193" spans="1:29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C193" t="str">
        <f t="shared" si="2"/>
        <v/>
      </c>
    </row>
    <row r="194" spans="1:29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C194" t="str">
        <f t="shared" si="2"/>
        <v/>
      </c>
    </row>
    <row r="195" spans="1:29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C195" t="str">
        <f t="shared" ref="AC195:AC258" si="3">IF(ISNUMBER(SEARCH("Successful",F195)),
   "Successful",
   IF(ISNUMBER(SEARCH("Failed",F195)),"Failed",""))</f>
        <v/>
      </c>
    </row>
    <row r="196" spans="1:29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C196" t="str">
        <f t="shared" si="3"/>
        <v/>
      </c>
    </row>
    <row r="197" spans="1:29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C197" t="str">
        <f t="shared" si="3"/>
        <v/>
      </c>
    </row>
    <row r="198" spans="1:29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C198" t="str">
        <f t="shared" si="3"/>
        <v/>
      </c>
    </row>
    <row r="199" spans="1:29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C199" t="str">
        <f t="shared" si="3"/>
        <v/>
      </c>
    </row>
    <row r="200" spans="1:29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C200" t="str">
        <f t="shared" si="3"/>
        <v/>
      </c>
    </row>
    <row r="201" spans="1:29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C201" t="str">
        <f t="shared" si="3"/>
        <v/>
      </c>
    </row>
    <row r="202" spans="1:29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C202" t="str">
        <f t="shared" si="3"/>
        <v/>
      </c>
    </row>
    <row r="203" spans="1:29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C203" t="str">
        <f t="shared" si="3"/>
        <v/>
      </c>
    </row>
    <row r="204" spans="1:29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C204" t="str">
        <f t="shared" si="3"/>
        <v/>
      </c>
    </row>
    <row r="205" spans="1:29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C205" t="str">
        <f t="shared" si="3"/>
        <v/>
      </c>
    </row>
    <row r="206" spans="1:29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C206" t="str">
        <f t="shared" si="3"/>
        <v/>
      </c>
    </row>
    <row r="207" spans="1:29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C207" t="str">
        <f t="shared" si="3"/>
        <v/>
      </c>
    </row>
    <row r="208" spans="1:29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C208" t="str">
        <f t="shared" si="3"/>
        <v/>
      </c>
    </row>
    <row r="209" spans="1:29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C209" t="str">
        <f t="shared" si="3"/>
        <v/>
      </c>
    </row>
    <row r="210" spans="1:29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C210" t="str">
        <f t="shared" si="3"/>
        <v/>
      </c>
    </row>
    <row r="211" spans="1:29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C211" t="str">
        <f t="shared" si="3"/>
        <v/>
      </c>
    </row>
    <row r="212" spans="1:29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C212" t="str">
        <f t="shared" si="3"/>
        <v/>
      </c>
    </row>
    <row r="213" spans="1:29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C213" t="str">
        <f t="shared" si="3"/>
        <v/>
      </c>
    </row>
    <row r="214" spans="1:29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C214" t="str">
        <f t="shared" si="3"/>
        <v/>
      </c>
    </row>
    <row r="215" spans="1:29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C215" t="str">
        <f t="shared" si="3"/>
        <v/>
      </c>
    </row>
    <row r="216" spans="1:29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C216" t="str">
        <f t="shared" si="3"/>
        <v/>
      </c>
    </row>
    <row r="217" spans="1:29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C217" t="str">
        <f t="shared" si="3"/>
        <v/>
      </c>
    </row>
    <row r="218" spans="1:29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C218" t="str">
        <f t="shared" si="3"/>
        <v/>
      </c>
    </row>
    <row r="219" spans="1:29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C219" t="str">
        <f t="shared" si="3"/>
        <v/>
      </c>
    </row>
    <row r="220" spans="1:29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C220" t="str">
        <f t="shared" si="3"/>
        <v/>
      </c>
    </row>
    <row r="221" spans="1:29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C221" t="str">
        <f t="shared" si="3"/>
        <v/>
      </c>
    </row>
    <row r="222" spans="1:29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C222" t="str">
        <f t="shared" si="3"/>
        <v/>
      </c>
    </row>
    <row r="223" spans="1:29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C223" t="str">
        <f t="shared" si="3"/>
        <v/>
      </c>
    </row>
    <row r="224" spans="1:29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C224" t="str">
        <f t="shared" si="3"/>
        <v/>
      </c>
    </row>
    <row r="225" spans="1:29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C225" t="str">
        <f t="shared" si="3"/>
        <v/>
      </c>
    </row>
    <row r="226" spans="1:29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C226" t="str">
        <f t="shared" si="3"/>
        <v/>
      </c>
    </row>
    <row r="227" spans="1:29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C227" t="str">
        <f t="shared" si="3"/>
        <v/>
      </c>
    </row>
    <row r="228" spans="1:29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C228" t="str">
        <f t="shared" si="3"/>
        <v/>
      </c>
    </row>
    <row r="229" spans="1:29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C229" t="str">
        <f t="shared" si="3"/>
        <v/>
      </c>
    </row>
    <row r="230" spans="1:29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C230" t="str">
        <f t="shared" si="3"/>
        <v/>
      </c>
    </row>
    <row r="231" spans="1:29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C231" t="str">
        <f t="shared" si="3"/>
        <v/>
      </c>
    </row>
    <row r="232" spans="1:29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C232" t="str">
        <f t="shared" si="3"/>
        <v/>
      </c>
    </row>
    <row r="233" spans="1:29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C233" t="str">
        <f t="shared" si="3"/>
        <v/>
      </c>
    </row>
    <row r="234" spans="1:29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C234" t="str">
        <f t="shared" si="3"/>
        <v/>
      </c>
    </row>
    <row r="235" spans="1:29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C235" t="str">
        <f t="shared" si="3"/>
        <v/>
      </c>
    </row>
    <row r="236" spans="1:29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C236" t="str">
        <f t="shared" si="3"/>
        <v/>
      </c>
    </row>
    <row r="237" spans="1:29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C237" t="str">
        <f t="shared" si="3"/>
        <v/>
      </c>
    </row>
    <row r="238" spans="1:29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C238" t="str">
        <f t="shared" si="3"/>
        <v/>
      </c>
    </row>
    <row r="239" spans="1:29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C239" t="str">
        <f t="shared" si="3"/>
        <v/>
      </c>
    </row>
    <row r="240" spans="1:29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C240" t="str">
        <f t="shared" si="3"/>
        <v/>
      </c>
    </row>
    <row r="241" spans="1:29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C241" t="str">
        <f t="shared" si="3"/>
        <v/>
      </c>
    </row>
    <row r="242" spans="1:29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C242" t="str">
        <f t="shared" si="3"/>
        <v/>
      </c>
    </row>
    <row r="243" spans="1:29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C243" t="str">
        <f t="shared" si="3"/>
        <v/>
      </c>
    </row>
    <row r="244" spans="1:29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C244" t="str">
        <f t="shared" si="3"/>
        <v/>
      </c>
    </row>
    <row r="245" spans="1:29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C245" t="str">
        <f t="shared" si="3"/>
        <v/>
      </c>
    </row>
    <row r="246" spans="1:29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C246" t="str">
        <f t="shared" si="3"/>
        <v/>
      </c>
    </row>
    <row r="247" spans="1:29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C247" t="str">
        <f t="shared" si="3"/>
        <v/>
      </c>
    </row>
    <row r="248" spans="1:29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C248" t="str">
        <f t="shared" si="3"/>
        <v/>
      </c>
    </row>
    <row r="249" spans="1:29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C249" t="str">
        <f t="shared" si="3"/>
        <v/>
      </c>
    </row>
    <row r="250" spans="1:29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C250" t="str">
        <f t="shared" si="3"/>
        <v/>
      </c>
    </row>
    <row r="251" spans="1:29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C251" t="str">
        <f t="shared" si="3"/>
        <v/>
      </c>
    </row>
    <row r="252" spans="1:29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C252" t="str">
        <f t="shared" si="3"/>
        <v/>
      </c>
    </row>
    <row r="253" spans="1:29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C253" t="str">
        <f t="shared" si="3"/>
        <v/>
      </c>
    </row>
    <row r="254" spans="1:29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C254" t="str">
        <f t="shared" si="3"/>
        <v/>
      </c>
    </row>
    <row r="255" spans="1:29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C255" t="str">
        <f t="shared" si="3"/>
        <v/>
      </c>
    </row>
    <row r="256" spans="1:29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C256" t="str">
        <f t="shared" si="3"/>
        <v/>
      </c>
    </row>
    <row r="257" spans="1:29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C257" t="str">
        <f t="shared" si="3"/>
        <v/>
      </c>
    </row>
    <row r="258" spans="1:29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C258" t="str">
        <f t="shared" si="3"/>
        <v/>
      </c>
    </row>
    <row r="259" spans="1:29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C259" t="str">
        <f t="shared" ref="AC259:AC322" si="4">IF(ISNUMBER(SEARCH("Successful",F259)),
   "Successful",
   IF(ISNUMBER(SEARCH("Failed",F259)),"Failed",""))</f>
        <v/>
      </c>
    </row>
    <row r="260" spans="1:29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C260" t="str">
        <f t="shared" si="4"/>
        <v/>
      </c>
    </row>
    <row r="261" spans="1:29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C261" t="str">
        <f t="shared" si="4"/>
        <v/>
      </c>
    </row>
    <row r="262" spans="1:29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C262" t="str">
        <f t="shared" si="4"/>
        <v/>
      </c>
    </row>
    <row r="263" spans="1:29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C263" t="str">
        <f t="shared" si="4"/>
        <v/>
      </c>
    </row>
    <row r="264" spans="1:29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C264" t="str">
        <f t="shared" si="4"/>
        <v/>
      </c>
    </row>
    <row r="265" spans="1:29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C265" t="str">
        <f t="shared" si="4"/>
        <v/>
      </c>
    </row>
    <row r="266" spans="1:29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C266" t="str">
        <f t="shared" si="4"/>
        <v/>
      </c>
    </row>
    <row r="267" spans="1:29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C267" t="str">
        <f t="shared" si="4"/>
        <v/>
      </c>
    </row>
    <row r="268" spans="1:29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C268" t="str">
        <f t="shared" si="4"/>
        <v/>
      </c>
    </row>
    <row r="269" spans="1:29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C269" t="str">
        <f t="shared" si="4"/>
        <v/>
      </c>
    </row>
    <row r="270" spans="1:29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C270" t="str">
        <f t="shared" si="4"/>
        <v/>
      </c>
    </row>
    <row r="271" spans="1:29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C271" t="str">
        <f t="shared" si="4"/>
        <v/>
      </c>
    </row>
    <row r="272" spans="1:29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C272" t="str">
        <f t="shared" si="4"/>
        <v/>
      </c>
    </row>
    <row r="273" spans="1:29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C273" t="str">
        <f t="shared" si="4"/>
        <v/>
      </c>
    </row>
    <row r="274" spans="1:29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C274" t="str">
        <f t="shared" si="4"/>
        <v/>
      </c>
    </row>
    <row r="275" spans="1:29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C275" t="str">
        <f t="shared" si="4"/>
        <v/>
      </c>
    </row>
    <row r="276" spans="1:29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C276" t="str">
        <f t="shared" si="4"/>
        <v/>
      </c>
    </row>
    <row r="277" spans="1:29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C277" t="str">
        <f t="shared" si="4"/>
        <v/>
      </c>
    </row>
    <row r="278" spans="1:29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C278" t="str">
        <f t="shared" si="4"/>
        <v/>
      </c>
    </row>
    <row r="279" spans="1:29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C279" t="str">
        <f t="shared" si="4"/>
        <v/>
      </c>
    </row>
    <row r="280" spans="1:29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C280" t="str">
        <f t="shared" si="4"/>
        <v/>
      </c>
    </row>
    <row r="281" spans="1:29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C281" t="str">
        <f t="shared" si="4"/>
        <v/>
      </c>
    </row>
    <row r="282" spans="1:29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C282" t="str">
        <f t="shared" si="4"/>
        <v/>
      </c>
    </row>
    <row r="283" spans="1:29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C283" t="str">
        <f t="shared" si="4"/>
        <v/>
      </c>
    </row>
    <row r="284" spans="1:29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C284" t="str">
        <f t="shared" si="4"/>
        <v/>
      </c>
    </row>
    <row r="285" spans="1:29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C285" t="str">
        <f t="shared" si="4"/>
        <v/>
      </c>
    </row>
    <row r="286" spans="1:29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C286" t="str">
        <f t="shared" si="4"/>
        <v/>
      </c>
    </row>
    <row r="287" spans="1:29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C287" t="str">
        <f t="shared" si="4"/>
        <v/>
      </c>
    </row>
    <row r="288" spans="1:29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C288" t="str">
        <f t="shared" si="4"/>
        <v/>
      </c>
    </row>
    <row r="289" spans="1:29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C289" t="str">
        <f t="shared" si="4"/>
        <v/>
      </c>
    </row>
    <row r="290" spans="1:29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C290" t="str">
        <f t="shared" si="4"/>
        <v/>
      </c>
    </row>
    <row r="291" spans="1:29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C291" t="str">
        <f t="shared" si="4"/>
        <v/>
      </c>
    </row>
    <row r="292" spans="1:29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C292" t="str">
        <f t="shared" si="4"/>
        <v/>
      </c>
    </row>
    <row r="293" spans="1:29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C293" t="str">
        <f t="shared" si="4"/>
        <v/>
      </c>
    </row>
    <row r="294" spans="1:29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C294" t="str">
        <f t="shared" si="4"/>
        <v/>
      </c>
    </row>
    <row r="295" spans="1:29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C295" t="str">
        <f t="shared" si="4"/>
        <v/>
      </c>
    </row>
    <row r="296" spans="1:29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C296" t="str">
        <f t="shared" si="4"/>
        <v/>
      </c>
    </row>
    <row r="297" spans="1:29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C297" t="str">
        <f t="shared" si="4"/>
        <v/>
      </c>
    </row>
    <row r="298" spans="1:29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C298" t="str">
        <f t="shared" si="4"/>
        <v/>
      </c>
    </row>
    <row r="299" spans="1:29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C299" t="str">
        <f t="shared" si="4"/>
        <v/>
      </c>
    </row>
    <row r="300" spans="1:29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C300" t="str">
        <f t="shared" si="4"/>
        <v/>
      </c>
    </row>
    <row r="301" spans="1:29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C301" t="str">
        <f t="shared" si="4"/>
        <v/>
      </c>
    </row>
    <row r="302" spans="1:29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C302" t="str">
        <f t="shared" si="4"/>
        <v/>
      </c>
    </row>
    <row r="303" spans="1:29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C303" t="str">
        <f t="shared" si="4"/>
        <v/>
      </c>
    </row>
    <row r="304" spans="1:29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C304" t="str">
        <f t="shared" si="4"/>
        <v/>
      </c>
    </row>
    <row r="305" spans="1:29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C305" t="str">
        <f t="shared" si="4"/>
        <v/>
      </c>
    </row>
    <row r="306" spans="1:29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C306" t="str">
        <f t="shared" si="4"/>
        <v/>
      </c>
    </row>
    <row r="307" spans="1:29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C307" t="str">
        <f t="shared" si="4"/>
        <v/>
      </c>
    </row>
    <row r="308" spans="1:29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C308" t="str">
        <f t="shared" si="4"/>
        <v/>
      </c>
    </row>
    <row r="309" spans="1:29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C309" t="str">
        <f t="shared" si="4"/>
        <v/>
      </c>
    </row>
    <row r="310" spans="1:29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C310" t="str">
        <f t="shared" si="4"/>
        <v/>
      </c>
    </row>
    <row r="311" spans="1:29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C311" t="str">
        <f t="shared" si="4"/>
        <v/>
      </c>
    </row>
    <row r="312" spans="1:29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C312" t="str">
        <f t="shared" si="4"/>
        <v/>
      </c>
    </row>
    <row r="313" spans="1:29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C313" t="str">
        <f t="shared" si="4"/>
        <v/>
      </c>
    </row>
    <row r="314" spans="1:29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C314" t="str">
        <f t="shared" si="4"/>
        <v/>
      </c>
    </row>
    <row r="315" spans="1:29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C315" t="str">
        <f t="shared" si="4"/>
        <v/>
      </c>
    </row>
    <row r="316" spans="1:29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C316" t="str">
        <f t="shared" si="4"/>
        <v/>
      </c>
    </row>
    <row r="317" spans="1:29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C317" t="str">
        <f t="shared" si="4"/>
        <v/>
      </c>
    </row>
    <row r="318" spans="1:29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C318" t="str">
        <f t="shared" si="4"/>
        <v/>
      </c>
    </row>
    <row r="319" spans="1:29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C319" t="str">
        <f t="shared" si="4"/>
        <v/>
      </c>
    </row>
    <row r="320" spans="1:29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C320" t="str">
        <f t="shared" si="4"/>
        <v/>
      </c>
    </row>
    <row r="321" spans="1:29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C321" t="str">
        <f t="shared" si="4"/>
        <v/>
      </c>
    </row>
    <row r="322" spans="1:29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C322" t="str">
        <f t="shared" si="4"/>
        <v/>
      </c>
    </row>
    <row r="323" spans="1:29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C323" t="str">
        <f t="shared" ref="AC323:AC386" si="5">IF(ISNUMBER(SEARCH("Successful",F323)),
   "Successful",
   IF(ISNUMBER(SEARCH("Failed",F323)),"Failed",""))</f>
        <v/>
      </c>
    </row>
    <row r="324" spans="1:29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C324" t="str">
        <f t="shared" si="5"/>
        <v/>
      </c>
    </row>
    <row r="325" spans="1:29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C325" t="str">
        <f t="shared" si="5"/>
        <v/>
      </c>
    </row>
    <row r="326" spans="1:29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C326" t="str">
        <f t="shared" si="5"/>
        <v/>
      </c>
    </row>
    <row r="327" spans="1:29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C327" t="str">
        <f t="shared" si="5"/>
        <v/>
      </c>
    </row>
    <row r="328" spans="1:29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C328" t="str">
        <f t="shared" si="5"/>
        <v/>
      </c>
    </row>
    <row r="329" spans="1:29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C329" t="str">
        <f t="shared" si="5"/>
        <v/>
      </c>
    </row>
    <row r="330" spans="1:29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C330" t="str">
        <f t="shared" si="5"/>
        <v/>
      </c>
    </row>
    <row r="331" spans="1:29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C331" t="str">
        <f t="shared" si="5"/>
        <v/>
      </c>
    </row>
    <row r="332" spans="1:29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C332" t="str">
        <f t="shared" si="5"/>
        <v/>
      </c>
    </row>
    <row r="333" spans="1:29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C333" t="str">
        <f t="shared" si="5"/>
        <v/>
      </c>
    </row>
    <row r="334" spans="1:29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C334" t="str">
        <f t="shared" si="5"/>
        <v/>
      </c>
    </row>
    <row r="335" spans="1:29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C335" t="str">
        <f t="shared" si="5"/>
        <v/>
      </c>
    </row>
    <row r="336" spans="1:29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C336" t="str">
        <f t="shared" si="5"/>
        <v/>
      </c>
    </row>
    <row r="337" spans="1:29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C337" t="str">
        <f t="shared" si="5"/>
        <v/>
      </c>
    </row>
    <row r="338" spans="1:29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C338" t="str">
        <f t="shared" si="5"/>
        <v/>
      </c>
    </row>
    <row r="339" spans="1:29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C339" t="str">
        <f t="shared" si="5"/>
        <v/>
      </c>
    </row>
    <row r="340" spans="1:29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C340" t="str">
        <f t="shared" si="5"/>
        <v/>
      </c>
    </row>
    <row r="341" spans="1:29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C341" t="str">
        <f t="shared" si="5"/>
        <v/>
      </c>
    </row>
    <row r="342" spans="1:29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C342" t="str">
        <f t="shared" si="5"/>
        <v/>
      </c>
    </row>
    <row r="343" spans="1:29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C343" t="str">
        <f t="shared" si="5"/>
        <v/>
      </c>
    </row>
    <row r="344" spans="1:29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C344" t="str">
        <f t="shared" si="5"/>
        <v/>
      </c>
    </row>
    <row r="345" spans="1:29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C345" t="str">
        <f t="shared" si="5"/>
        <v/>
      </c>
    </row>
    <row r="346" spans="1:29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C346" t="str">
        <f t="shared" si="5"/>
        <v/>
      </c>
    </row>
    <row r="347" spans="1:29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C347" t="str">
        <f t="shared" si="5"/>
        <v/>
      </c>
    </row>
    <row r="348" spans="1:29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C348" t="str">
        <f t="shared" si="5"/>
        <v/>
      </c>
    </row>
    <row r="349" spans="1:29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C349" t="str">
        <f t="shared" si="5"/>
        <v/>
      </c>
    </row>
    <row r="350" spans="1:29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C350" t="str">
        <f t="shared" si="5"/>
        <v/>
      </c>
    </row>
    <row r="351" spans="1:29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C351" t="str">
        <f t="shared" si="5"/>
        <v/>
      </c>
    </row>
    <row r="352" spans="1:29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C352" t="str">
        <f t="shared" si="5"/>
        <v/>
      </c>
    </row>
    <row r="353" spans="1:29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C353" t="str">
        <f t="shared" si="5"/>
        <v/>
      </c>
    </row>
    <row r="354" spans="1:29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C354" t="str">
        <f t="shared" si="5"/>
        <v/>
      </c>
    </row>
    <row r="355" spans="1:29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C355" t="str">
        <f t="shared" si="5"/>
        <v/>
      </c>
    </row>
    <row r="356" spans="1:29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C356" t="str">
        <f t="shared" si="5"/>
        <v/>
      </c>
    </row>
    <row r="357" spans="1:29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C357" t="str">
        <f t="shared" si="5"/>
        <v/>
      </c>
    </row>
    <row r="358" spans="1:29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C358" t="str">
        <f t="shared" si="5"/>
        <v/>
      </c>
    </row>
    <row r="359" spans="1:29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C359" t="str">
        <f t="shared" si="5"/>
        <v/>
      </c>
    </row>
    <row r="360" spans="1:29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C360" t="str">
        <f t="shared" si="5"/>
        <v/>
      </c>
    </row>
    <row r="361" spans="1:29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C361" t="str">
        <f t="shared" si="5"/>
        <v/>
      </c>
    </row>
    <row r="362" spans="1:29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C362" t="str">
        <f t="shared" si="5"/>
        <v/>
      </c>
    </row>
    <row r="363" spans="1:29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C363" t="str">
        <f t="shared" si="5"/>
        <v/>
      </c>
    </row>
    <row r="364" spans="1:29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C364" t="str">
        <f t="shared" si="5"/>
        <v/>
      </c>
    </row>
    <row r="365" spans="1:29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C365" t="str">
        <f t="shared" si="5"/>
        <v/>
      </c>
    </row>
    <row r="366" spans="1:29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C366" t="str">
        <f t="shared" si="5"/>
        <v/>
      </c>
    </row>
    <row r="367" spans="1:29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C367" t="str">
        <f t="shared" si="5"/>
        <v/>
      </c>
    </row>
    <row r="368" spans="1:29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C368" t="str">
        <f t="shared" si="5"/>
        <v/>
      </c>
    </row>
    <row r="369" spans="1:29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C369" t="str">
        <f t="shared" si="5"/>
        <v/>
      </c>
    </row>
    <row r="370" spans="1:29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C370" t="str">
        <f t="shared" si="5"/>
        <v/>
      </c>
    </row>
    <row r="371" spans="1:29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C371" t="str">
        <f t="shared" si="5"/>
        <v/>
      </c>
    </row>
    <row r="372" spans="1:29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C372" t="str">
        <f t="shared" si="5"/>
        <v/>
      </c>
    </row>
    <row r="373" spans="1:29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C373" t="str">
        <f t="shared" si="5"/>
        <v/>
      </c>
    </row>
    <row r="374" spans="1:29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C374" t="str">
        <f t="shared" si="5"/>
        <v/>
      </c>
    </row>
    <row r="375" spans="1:29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C375" t="str">
        <f t="shared" si="5"/>
        <v/>
      </c>
    </row>
    <row r="376" spans="1:29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C376" t="str">
        <f t="shared" si="5"/>
        <v/>
      </c>
    </row>
    <row r="377" spans="1:29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C377" t="str">
        <f t="shared" si="5"/>
        <v/>
      </c>
    </row>
    <row r="378" spans="1:29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C378" t="str">
        <f t="shared" si="5"/>
        <v/>
      </c>
    </row>
    <row r="379" spans="1:29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C379" t="str">
        <f t="shared" si="5"/>
        <v/>
      </c>
    </row>
    <row r="380" spans="1:29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C380" t="str">
        <f t="shared" si="5"/>
        <v/>
      </c>
    </row>
    <row r="381" spans="1:29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C381" t="str">
        <f t="shared" si="5"/>
        <v/>
      </c>
    </row>
    <row r="382" spans="1:29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C382" t="str">
        <f t="shared" si="5"/>
        <v/>
      </c>
    </row>
    <row r="383" spans="1:29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C383" t="str">
        <f t="shared" si="5"/>
        <v/>
      </c>
    </row>
    <row r="384" spans="1:29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C384" t="str">
        <f t="shared" si="5"/>
        <v/>
      </c>
    </row>
    <row r="385" spans="1:29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C385" t="str">
        <f t="shared" si="5"/>
        <v/>
      </c>
    </row>
    <row r="386" spans="1:29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C386" t="str">
        <f t="shared" si="5"/>
        <v/>
      </c>
    </row>
    <row r="387" spans="1:29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C387" t="str">
        <f t="shared" ref="AC387:AC450" si="6">IF(ISNUMBER(SEARCH("Successful",F387)),
   "Successful",
   IF(ISNUMBER(SEARCH("Failed",F387)),"Failed",""))</f>
        <v/>
      </c>
    </row>
    <row r="388" spans="1:29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C388" t="str">
        <f t="shared" si="6"/>
        <v/>
      </c>
    </row>
    <row r="389" spans="1:29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C389" t="str">
        <f t="shared" si="6"/>
        <v/>
      </c>
    </row>
    <row r="390" spans="1:29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C390" t="str">
        <f t="shared" si="6"/>
        <v/>
      </c>
    </row>
    <row r="391" spans="1:29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C391" t="str">
        <f t="shared" si="6"/>
        <v/>
      </c>
    </row>
    <row r="392" spans="1:29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C392" t="str">
        <f t="shared" si="6"/>
        <v/>
      </c>
    </row>
    <row r="393" spans="1:29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C393" t="str">
        <f t="shared" si="6"/>
        <v/>
      </c>
    </row>
    <row r="394" spans="1:29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C394" t="str">
        <f t="shared" si="6"/>
        <v/>
      </c>
    </row>
    <row r="395" spans="1:29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C395" t="str">
        <f t="shared" si="6"/>
        <v/>
      </c>
    </row>
    <row r="396" spans="1:29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C396" t="str">
        <f t="shared" si="6"/>
        <v/>
      </c>
    </row>
    <row r="397" spans="1:29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C397" t="str">
        <f t="shared" si="6"/>
        <v/>
      </c>
    </row>
    <row r="398" spans="1:29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C398" t="str">
        <f t="shared" si="6"/>
        <v/>
      </c>
    </row>
    <row r="399" spans="1:29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C399" t="str">
        <f t="shared" si="6"/>
        <v/>
      </c>
    </row>
    <row r="400" spans="1:29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C400" t="str">
        <f t="shared" si="6"/>
        <v/>
      </c>
    </row>
    <row r="401" spans="1:29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C401" t="str">
        <f t="shared" si="6"/>
        <v/>
      </c>
    </row>
    <row r="402" spans="1:29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C402" t="str">
        <f t="shared" si="6"/>
        <v/>
      </c>
    </row>
    <row r="403" spans="1:29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C403" t="str">
        <f t="shared" si="6"/>
        <v/>
      </c>
    </row>
    <row r="404" spans="1:29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C404" t="str">
        <f t="shared" si="6"/>
        <v/>
      </c>
    </row>
    <row r="405" spans="1:29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C405" t="str">
        <f t="shared" si="6"/>
        <v/>
      </c>
    </row>
    <row r="406" spans="1:29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C406" t="str">
        <f t="shared" si="6"/>
        <v/>
      </c>
    </row>
    <row r="407" spans="1:29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C407" t="str">
        <f t="shared" si="6"/>
        <v/>
      </c>
    </row>
    <row r="408" spans="1:29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C408" t="str">
        <f t="shared" si="6"/>
        <v/>
      </c>
    </row>
    <row r="409" spans="1:29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C409" t="str">
        <f t="shared" si="6"/>
        <v/>
      </c>
    </row>
    <row r="410" spans="1:29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C410" t="str">
        <f t="shared" si="6"/>
        <v/>
      </c>
    </row>
    <row r="411" spans="1:29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C411" t="str">
        <f t="shared" si="6"/>
        <v/>
      </c>
    </row>
    <row r="412" spans="1:29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C412" t="str">
        <f t="shared" si="6"/>
        <v/>
      </c>
    </row>
    <row r="413" spans="1:29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C413" t="str">
        <f t="shared" si="6"/>
        <v/>
      </c>
    </row>
    <row r="414" spans="1:29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C414" t="str">
        <f t="shared" si="6"/>
        <v/>
      </c>
    </row>
    <row r="415" spans="1:29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C415" t="str">
        <f t="shared" si="6"/>
        <v/>
      </c>
    </row>
    <row r="416" spans="1:29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C416" t="str">
        <f t="shared" si="6"/>
        <v/>
      </c>
    </row>
    <row r="417" spans="1:29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C417" t="str">
        <f t="shared" si="6"/>
        <v/>
      </c>
    </row>
    <row r="418" spans="1:29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C418" t="str">
        <f t="shared" si="6"/>
        <v/>
      </c>
    </row>
    <row r="419" spans="1:29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C419" t="str">
        <f t="shared" si="6"/>
        <v/>
      </c>
    </row>
    <row r="420" spans="1:29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C420" t="str">
        <f t="shared" si="6"/>
        <v/>
      </c>
    </row>
    <row r="421" spans="1:29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C421" t="str">
        <f t="shared" si="6"/>
        <v/>
      </c>
    </row>
    <row r="422" spans="1:29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C422" t="str">
        <f t="shared" si="6"/>
        <v/>
      </c>
    </row>
    <row r="423" spans="1:29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C423" t="str">
        <f t="shared" si="6"/>
        <v/>
      </c>
    </row>
    <row r="424" spans="1:29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C424" t="str">
        <f t="shared" si="6"/>
        <v/>
      </c>
    </row>
    <row r="425" spans="1:29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C425" t="str">
        <f t="shared" si="6"/>
        <v/>
      </c>
    </row>
    <row r="426" spans="1:29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C426" t="str">
        <f t="shared" si="6"/>
        <v/>
      </c>
    </row>
    <row r="427" spans="1:29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C427" t="str">
        <f t="shared" si="6"/>
        <v/>
      </c>
    </row>
    <row r="428" spans="1:29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C428" t="str">
        <f t="shared" si="6"/>
        <v/>
      </c>
    </row>
    <row r="429" spans="1:29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C429" t="str">
        <f t="shared" si="6"/>
        <v/>
      </c>
    </row>
    <row r="430" spans="1:29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C430" t="str">
        <f t="shared" si="6"/>
        <v/>
      </c>
    </row>
    <row r="431" spans="1:29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C431" t="str">
        <f t="shared" si="6"/>
        <v/>
      </c>
    </row>
    <row r="432" spans="1:29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C432" t="str">
        <f t="shared" si="6"/>
        <v/>
      </c>
    </row>
    <row r="433" spans="1:29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C433" t="str">
        <f t="shared" si="6"/>
        <v/>
      </c>
    </row>
    <row r="434" spans="1:29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C434" t="str">
        <f t="shared" si="6"/>
        <v/>
      </c>
    </row>
    <row r="435" spans="1:29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C435" t="str">
        <f t="shared" si="6"/>
        <v/>
      </c>
    </row>
    <row r="436" spans="1:29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C436" t="str">
        <f t="shared" si="6"/>
        <v/>
      </c>
    </row>
    <row r="437" spans="1:29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C437" t="str">
        <f t="shared" si="6"/>
        <v/>
      </c>
    </row>
    <row r="438" spans="1:29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C438" t="str">
        <f t="shared" si="6"/>
        <v/>
      </c>
    </row>
    <row r="439" spans="1:29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C439" t="str">
        <f t="shared" si="6"/>
        <v/>
      </c>
    </row>
    <row r="440" spans="1:29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C440" t="str">
        <f t="shared" si="6"/>
        <v/>
      </c>
    </row>
    <row r="441" spans="1:29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C441" t="str">
        <f t="shared" si="6"/>
        <v/>
      </c>
    </row>
    <row r="442" spans="1:29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C442" t="str">
        <f t="shared" si="6"/>
        <v/>
      </c>
    </row>
    <row r="443" spans="1:29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C443" t="str">
        <f t="shared" si="6"/>
        <v/>
      </c>
    </row>
    <row r="444" spans="1:29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C444" t="str">
        <f t="shared" si="6"/>
        <v/>
      </c>
    </row>
    <row r="445" spans="1:29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C445" t="str">
        <f t="shared" si="6"/>
        <v/>
      </c>
    </row>
    <row r="446" spans="1:29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C446" t="str">
        <f t="shared" si="6"/>
        <v/>
      </c>
    </row>
    <row r="447" spans="1:29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C447" t="str">
        <f t="shared" si="6"/>
        <v/>
      </c>
    </row>
    <row r="448" spans="1:29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C448" t="str">
        <f t="shared" si="6"/>
        <v/>
      </c>
    </row>
    <row r="449" spans="1:29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C449" t="str">
        <f t="shared" si="6"/>
        <v/>
      </c>
    </row>
    <row r="450" spans="1:29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C450" t="str">
        <f t="shared" si="6"/>
        <v/>
      </c>
    </row>
    <row r="451" spans="1:29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C451" t="str">
        <f t="shared" ref="AC451:AC514" si="7">IF(ISNUMBER(SEARCH("Successful",F451)),
   "Successful",
   IF(ISNUMBER(SEARCH("Failed",F451)),"Failed",""))</f>
        <v/>
      </c>
    </row>
    <row r="452" spans="1:29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C452" t="str">
        <f t="shared" si="7"/>
        <v/>
      </c>
    </row>
    <row r="453" spans="1:29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C453" t="str">
        <f t="shared" si="7"/>
        <v/>
      </c>
    </row>
    <row r="454" spans="1:29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C454" t="str">
        <f t="shared" si="7"/>
        <v/>
      </c>
    </row>
    <row r="455" spans="1:29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C455" t="str">
        <f t="shared" si="7"/>
        <v/>
      </c>
    </row>
    <row r="456" spans="1:29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C456" t="str">
        <f t="shared" si="7"/>
        <v/>
      </c>
    </row>
    <row r="457" spans="1:29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C457" t="str">
        <f t="shared" si="7"/>
        <v/>
      </c>
    </row>
    <row r="458" spans="1:29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C458" t="str">
        <f t="shared" si="7"/>
        <v/>
      </c>
    </row>
    <row r="459" spans="1:29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C459" t="str">
        <f t="shared" si="7"/>
        <v/>
      </c>
    </row>
    <row r="460" spans="1:29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C460" t="str">
        <f t="shared" si="7"/>
        <v/>
      </c>
    </row>
    <row r="461" spans="1:29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C461" t="str">
        <f t="shared" si="7"/>
        <v/>
      </c>
    </row>
    <row r="462" spans="1:29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C462" t="str">
        <f t="shared" si="7"/>
        <v/>
      </c>
    </row>
    <row r="463" spans="1:29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C463" t="str">
        <f t="shared" si="7"/>
        <v/>
      </c>
    </row>
    <row r="464" spans="1:29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C464" t="str">
        <f t="shared" si="7"/>
        <v/>
      </c>
    </row>
    <row r="465" spans="1:29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C465" t="str">
        <f t="shared" si="7"/>
        <v/>
      </c>
    </row>
    <row r="466" spans="1:29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C466" t="str">
        <f t="shared" si="7"/>
        <v/>
      </c>
    </row>
    <row r="467" spans="1:29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C467" t="str">
        <f t="shared" si="7"/>
        <v/>
      </c>
    </row>
    <row r="468" spans="1:29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C468" t="str">
        <f t="shared" si="7"/>
        <v/>
      </c>
    </row>
    <row r="469" spans="1:29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C469" t="str">
        <f t="shared" si="7"/>
        <v/>
      </c>
    </row>
    <row r="470" spans="1:29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C470" t="str">
        <f t="shared" si="7"/>
        <v/>
      </c>
    </row>
    <row r="471" spans="1:29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C471" t="str">
        <f t="shared" si="7"/>
        <v/>
      </c>
    </row>
    <row r="472" spans="1:29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C472" t="str">
        <f t="shared" si="7"/>
        <v/>
      </c>
    </row>
    <row r="473" spans="1:29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C473" t="str">
        <f t="shared" si="7"/>
        <v/>
      </c>
    </row>
    <row r="474" spans="1:29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C474" t="str">
        <f t="shared" si="7"/>
        <v/>
      </c>
    </row>
    <row r="475" spans="1:29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C475" t="str">
        <f t="shared" si="7"/>
        <v/>
      </c>
    </row>
    <row r="476" spans="1:29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C476" t="str">
        <f t="shared" si="7"/>
        <v/>
      </c>
    </row>
    <row r="477" spans="1:29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C477" t="str">
        <f t="shared" si="7"/>
        <v/>
      </c>
    </row>
    <row r="478" spans="1:29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C478" t="str">
        <f t="shared" si="7"/>
        <v/>
      </c>
    </row>
    <row r="479" spans="1:29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C479" t="str">
        <f t="shared" si="7"/>
        <v/>
      </c>
    </row>
    <row r="480" spans="1:29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C480" t="str">
        <f t="shared" si="7"/>
        <v/>
      </c>
    </row>
    <row r="481" spans="1:29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C481" t="str">
        <f t="shared" si="7"/>
        <v/>
      </c>
    </row>
    <row r="482" spans="1:29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C482" t="str">
        <f t="shared" si="7"/>
        <v/>
      </c>
    </row>
    <row r="483" spans="1:29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C483" t="str">
        <f t="shared" si="7"/>
        <v/>
      </c>
    </row>
    <row r="484" spans="1:29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C484" t="str">
        <f t="shared" si="7"/>
        <v/>
      </c>
    </row>
    <row r="485" spans="1:29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C485" t="str">
        <f t="shared" si="7"/>
        <v/>
      </c>
    </row>
    <row r="486" spans="1:29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C486" t="str">
        <f t="shared" si="7"/>
        <v/>
      </c>
    </row>
    <row r="487" spans="1:29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C487" t="str">
        <f t="shared" si="7"/>
        <v/>
      </c>
    </row>
    <row r="488" spans="1:29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C488" t="str">
        <f t="shared" si="7"/>
        <v/>
      </c>
    </row>
    <row r="489" spans="1:29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C489" t="str">
        <f t="shared" si="7"/>
        <v/>
      </c>
    </row>
    <row r="490" spans="1:29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C490" t="str">
        <f t="shared" si="7"/>
        <v/>
      </c>
    </row>
    <row r="491" spans="1:29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C491" t="str">
        <f t="shared" si="7"/>
        <v/>
      </c>
    </row>
    <row r="492" spans="1:29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C492" t="str">
        <f t="shared" si="7"/>
        <v/>
      </c>
    </row>
    <row r="493" spans="1:29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C493" t="str">
        <f t="shared" si="7"/>
        <v/>
      </c>
    </row>
    <row r="494" spans="1:29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C494" t="str">
        <f t="shared" si="7"/>
        <v/>
      </c>
    </row>
    <row r="495" spans="1:29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C495" t="str">
        <f t="shared" si="7"/>
        <v/>
      </c>
    </row>
    <row r="496" spans="1:29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C496" t="str">
        <f t="shared" si="7"/>
        <v/>
      </c>
    </row>
    <row r="497" spans="1:29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C497" t="str">
        <f t="shared" si="7"/>
        <v/>
      </c>
    </row>
    <row r="498" spans="1:29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C498" t="str">
        <f t="shared" si="7"/>
        <v/>
      </c>
    </row>
    <row r="499" spans="1:29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C499" t="str">
        <f t="shared" si="7"/>
        <v/>
      </c>
    </row>
    <row r="500" spans="1:29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C500" t="str">
        <f t="shared" si="7"/>
        <v/>
      </c>
    </row>
    <row r="501" spans="1:29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C501" t="str">
        <f t="shared" si="7"/>
        <v/>
      </c>
    </row>
    <row r="502" spans="1:29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C502" t="str">
        <f t="shared" si="7"/>
        <v/>
      </c>
    </row>
    <row r="503" spans="1:29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C503" t="str">
        <f t="shared" si="7"/>
        <v/>
      </c>
    </row>
    <row r="504" spans="1:29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C504" t="str">
        <f t="shared" si="7"/>
        <v/>
      </c>
    </row>
    <row r="505" spans="1:29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C505" t="str">
        <f t="shared" si="7"/>
        <v/>
      </c>
    </row>
    <row r="506" spans="1:29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C506" t="str">
        <f t="shared" si="7"/>
        <v/>
      </c>
    </row>
    <row r="507" spans="1:29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C507" t="str">
        <f t="shared" si="7"/>
        <v/>
      </c>
    </row>
    <row r="508" spans="1:29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C508" t="str">
        <f t="shared" si="7"/>
        <v/>
      </c>
    </row>
    <row r="509" spans="1:29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C509" t="str">
        <f t="shared" si="7"/>
        <v/>
      </c>
    </row>
    <row r="510" spans="1:29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C510" t="str">
        <f t="shared" si="7"/>
        <v/>
      </c>
    </row>
    <row r="511" spans="1:29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C511" t="str">
        <f t="shared" si="7"/>
        <v/>
      </c>
    </row>
    <row r="512" spans="1:29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C512" t="str">
        <f t="shared" si="7"/>
        <v/>
      </c>
    </row>
    <row r="513" spans="1:29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C513" t="str">
        <f t="shared" si="7"/>
        <v/>
      </c>
    </row>
    <row r="514" spans="1:29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C514" t="str">
        <f t="shared" si="7"/>
        <v/>
      </c>
    </row>
    <row r="515" spans="1:29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C515" t="str">
        <f t="shared" ref="AC515:AC578" si="8">IF(ISNUMBER(SEARCH("Successful",F515)),
   "Successful",
   IF(ISNUMBER(SEARCH("Failed",F515)),"Failed",""))</f>
        <v/>
      </c>
    </row>
    <row r="516" spans="1:29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C516" t="str">
        <f t="shared" si="8"/>
        <v/>
      </c>
    </row>
    <row r="517" spans="1:29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C517" t="str">
        <f t="shared" si="8"/>
        <v/>
      </c>
    </row>
    <row r="518" spans="1:29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C518" t="str">
        <f t="shared" si="8"/>
        <v/>
      </c>
    </row>
    <row r="519" spans="1:29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C519" t="str">
        <f t="shared" si="8"/>
        <v/>
      </c>
    </row>
    <row r="520" spans="1:29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C520" t="str">
        <f t="shared" si="8"/>
        <v/>
      </c>
    </row>
    <row r="521" spans="1:29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C521" t="str">
        <f t="shared" si="8"/>
        <v/>
      </c>
    </row>
    <row r="522" spans="1:29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C522" t="str">
        <f t="shared" si="8"/>
        <v/>
      </c>
    </row>
    <row r="523" spans="1:29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C523" t="str">
        <f t="shared" si="8"/>
        <v/>
      </c>
    </row>
    <row r="524" spans="1:29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C524" t="str">
        <f t="shared" si="8"/>
        <v/>
      </c>
    </row>
    <row r="525" spans="1:29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C525" t="str">
        <f t="shared" si="8"/>
        <v/>
      </c>
    </row>
    <row r="526" spans="1:29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C526" t="str">
        <f t="shared" si="8"/>
        <v/>
      </c>
    </row>
    <row r="527" spans="1:29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C527" t="str">
        <f t="shared" si="8"/>
        <v/>
      </c>
    </row>
    <row r="528" spans="1:29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C528" t="str">
        <f t="shared" si="8"/>
        <v/>
      </c>
    </row>
    <row r="529" spans="1:29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C529" t="str">
        <f t="shared" si="8"/>
        <v/>
      </c>
    </row>
    <row r="530" spans="1:29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C530" t="str">
        <f t="shared" si="8"/>
        <v/>
      </c>
    </row>
    <row r="531" spans="1:29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C531" t="str">
        <f t="shared" si="8"/>
        <v/>
      </c>
    </row>
    <row r="532" spans="1:29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C532" t="str">
        <f t="shared" si="8"/>
        <v/>
      </c>
    </row>
    <row r="533" spans="1:29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C533" t="str">
        <f t="shared" si="8"/>
        <v/>
      </c>
    </row>
    <row r="534" spans="1:29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C534" t="str">
        <f t="shared" si="8"/>
        <v/>
      </c>
    </row>
    <row r="535" spans="1:29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C535" t="str">
        <f t="shared" si="8"/>
        <v/>
      </c>
    </row>
    <row r="536" spans="1:29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C536" t="str">
        <f t="shared" si="8"/>
        <v/>
      </c>
    </row>
    <row r="537" spans="1:29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C537" t="str">
        <f t="shared" si="8"/>
        <v/>
      </c>
    </row>
    <row r="538" spans="1:29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C538" t="str">
        <f t="shared" si="8"/>
        <v/>
      </c>
    </row>
    <row r="539" spans="1:29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C539" t="str">
        <f t="shared" si="8"/>
        <v/>
      </c>
    </row>
    <row r="540" spans="1:29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C540" t="str">
        <f t="shared" si="8"/>
        <v/>
      </c>
    </row>
    <row r="541" spans="1:29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C541" t="str">
        <f t="shared" si="8"/>
        <v/>
      </c>
    </row>
    <row r="542" spans="1:29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C542" t="str">
        <f t="shared" si="8"/>
        <v/>
      </c>
    </row>
    <row r="543" spans="1:29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C543" t="str">
        <f t="shared" si="8"/>
        <v/>
      </c>
    </row>
    <row r="544" spans="1:29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C544" t="str">
        <f t="shared" si="8"/>
        <v/>
      </c>
    </row>
    <row r="545" spans="1:29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C545" t="str">
        <f t="shared" si="8"/>
        <v/>
      </c>
    </row>
    <row r="546" spans="1:29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C546" t="str">
        <f t="shared" si="8"/>
        <v/>
      </c>
    </row>
    <row r="547" spans="1:29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C547" t="str">
        <f t="shared" si="8"/>
        <v/>
      </c>
    </row>
    <row r="548" spans="1:29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C548" t="str">
        <f t="shared" si="8"/>
        <v/>
      </c>
    </row>
    <row r="549" spans="1:29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C549" t="str">
        <f t="shared" si="8"/>
        <v/>
      </c>
    </row>
    <row r="550" spans="1:29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C550" t="str">
        <f t="shared" si="8"/>
        <v/>
      </c>
    </row>
    <row r="551" spans="1:29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C551" t="str">
        <f t="shared" si="8"/>
        <v/>
      </c>
    </row>
    <row r="552" spans="1:29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C552" t="str">
        <f t="shared" si="8"/>
        <v/>
      </c>
    </row>
    <row r="553" spans="1:29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C553" t="str">
        <f t="shared" si="8"/>
        <v/>
      </c>
    </row>
    <row r="554" spans="1:29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C554" t="str">
        <f t="shared" si="8"/>
        <v/>
      </c>
    </row>
    <row r="555" spans="1:29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C555" t="str">
        <f t="shared" si="8"/>
        <v/>
      </c>
    </row>
    <row r="556" spans="1:29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C556" t="str">
        <f t="shared" si="8"/>
        <v/>
      </c>
    </row>
    <row r="557" spans="1:29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C557" t="str">
        <f t="shared" si="8"/>
        <v/>
      </c>
    </row>
    <row r="558" spans="1:29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C558" t="str">
        <f t="shared" si="8"/>
        <v/>
      </c>
    </row>
    <row r="559" spans="1:29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C559" t="str">
        <f t="shared" si="8"/>
        <v/>
      </c>
    </row>
    <row r="560" spans="1:29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C560" t="str">
        <f t="shared" si="8"/>
        <v/>
      </c>
    </row>
    <row r="561" spans="1:29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C561" t="str">
        <f t="shared" si="8"/>
        <v/>
      </c>
    </row>
    <row r="562" spans="1:29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C562" t="str">
        <f t="shared" si="8"/>
        <v/>
      </c>
    </row>
    <row r="563" spans="1:29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C563" t="str">
        <f t="shared" si="8"/>
        <v/>
      </c>
    </row>
    <row r="564" spans="1:29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C564" t="str">
        <f t="shared" si="8"/>
        <v/>
      </c>
    </row>
    <row r="565" spans="1:29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C565" t="str">
        <f t="shared" si="8"/>
        <v/>
      </c>
    </row>
    <row r="566" spans="1:29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C566" t="str">
        <f t="shared" si="8"/>
        <v/>
      </c>
    </row>
    <row r="567" spans="1:29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C567" t="str">
        <f t="shared" si="8"/>
        <v/>
      </c>
    </row>
    <row r="568" spans="1:29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C568" t="str">
        <f t="shared" si="8"/>
        <v/>
      </c>
    </row>
    <row r="569" spans="1:29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C569" t="str">
        <f t="shared" si="8"/>
        <v/>
      </c>
    </row>
    <row r="570" spans="1:29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C570" t="str">
        <f t="shared" si="8"/>
        <v/>
      </c>
    </row>
    <row r="571" spans="1:29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C571" t="str">
        <f t="shared" si="8"/>
        <v/>
      </c>
    </row>
    <row r="572" spans="1:29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C572" t="str">
        <f t="shared" si="8"/>
        <v/>
      </c>
    </row>
    <row r="573" spans="1:29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C573" t="str">
        <f t="shared" si="8"/>
        <v/>
      </c>
    </row>
    <row r="574" spans="1:29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C574" t="str">
        <f t="shared" si="8"/>
        <v/>
      </c>
    </row>
    <row r="575" spans="1:29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C575" t="str">
        <f t="shared" si="8"/>
        <v/>
      </c>
    </row>
    <row r="576" spans="1:29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C576" t="str">
        <f t="shared" si="8"/>
        <v/>
      </c>
    </row>
    <row r="577" spans="1:29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C577" t="str">
        <f t="shared" si="8"/>
        <v/>
      </c>
    </row>
    <row r="578" spans="1:29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C578" t="str">
        <f t="shared" si="8"/>
        <v/>
      </c>
    </row>
    <row r="579" spans="1:29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C579" t="str">
        <f t="shared" ref="AC579:AC642" si="9">IF(ISNUMBER(SEARCH("Successful",F579)),
   "Successful",
   IF(ISNUMBER(SEARCH("Failed",F579)),"Failed",""))</f>
        <v/>
      </c>
    </row>
    <row r="580" spans="1:29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C580" t="str">
        <f t="shared" si="9"/>
        <v/>
      </c>
    </row>
    <row r="581" spans="1:29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C581" t="str">
        <f t="shared" si="9"/>
        <v/>
      </c>
    </row>
    <row r="582" spans="1:29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C582" t="str">
        <f t="shared" si="9"/>
        <v/>
      </c>
    </row>
    <row r="583" spans="1:29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C583" t="str">
        <f t="shared" si="9"/>
        <v/>
      </c>
    </row>
    <row r="584" spans="1:29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C584" t="str">
        <f t="shared" si="9"/>
        <v/>
      </c>
    </row>
    <row r="585" spans="1:29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C585" t="str">
        <f t="shared" si="9"/>
        <v/>
      </c>
    </row>
    <row r="586" spans="1:29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C586" t="str">
        <f t="shared" si="9"/>
        <v/>
      </c>
    </row>
    <row r="587" spans="1:29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C587" t="str">
        <f t="shared" si="9"/>
        <v/>
      </c>
    </row>
    <row r="588" spans="1:29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C588" t="str">
        <f t="shared" si="9"/>
        <v/>
      </c>
    </row>
    <row r="589" spans="1:29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C589" t="str">
        <f t="shared" si="9"/>
        <v/>
      </c>
    </row>
    <row r="590" spans="1:29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C590" t="str">
        <f t="shared" si="9"/>
        <v/>
      </c>
    </row>
    <row r="591" spans="1:29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C591" t="str">
        <f t="shared" si="9"/>
        <v/>
      </c>
    </row>
    <row r="592" spans="1:29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C592" t="str">
        <f t="shared" si="9"/>
        <v/>
      </c>
    </row>
    <row r="593" spans="1:29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C593" t="str">
        <f t="shared" si="9"/>
        <v/>
      </c>
    </row>
    <row r="594" spans="1:29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C594" t="str">
        <f t="shared" si="9"/>
        <v/>
      </c>
    </row>
    <row r="595" spans="1:29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C595" t="str">
        <f t="shared" si="9"/>
        <v/>
      </c>
    </row>
    <row r="596" spans="1:29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C596" t="str">
        <f t="shared" si="9"/>
        <v/>
      </c>
    </row>
    <row r="597" spans="1:29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C597" t="str">
        <f t="shared" si="9"/>
        <v/>
      </c>
    </row>
    <row r="598" spans="1:29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C598" t="str">
        <f t="shared" si="9"/>
        <v/>
      </c>
    </row>
    <row r="599" spans="1:29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C599" t="str">
        <f t="shared" si="9"/>
        <v/>
      </c>
    </row>
    <row r="600" spans="1:29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C600" t="str">
        <f t="shared" si="9"/>
        <v/>
      </c>
    </row>
    <row r="601" spans="1:29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C601" t="str">
        <f t="shared" si="9"/>
        <v/>
      </c>
    </row>
    <row r="602" spans="1:29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C602" t="str">
        <f t="shared" si="9"/>
        <v/>
      </c>
    </row>
    <row r="603" spans="1:29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C603" t="str">
        <f t="shared" si="9"/>
        <v/>
      </c>
    </row>
    <row r="604" spans="1:29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C604" t="str">
        <f t="shared" si="9"/>
        <v/>
      </c>
    </row>
    <row r="605" spans="1:29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C605" t="str">
        <f t="shared" si="9"/>
        <v/>
      </c>
    </row>
    <row r="606" spans="1:29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C606" t="str">
        <f t="shared" si="9"/>
        <v/>
      </c>
    </row>
    <row r="607" spans="1:29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C607" t="str">
        <f t="shared" si="9"/>
        <v/>
      </c>
    </row>
    <row r="608" spans="1:29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C608" t="str">
        <f t="shared" si="9"/>
        <v/>
      </c>
    </row>
    <row r="609" spans="1:29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C609" t="str">
        <f t="shared" si="9"/>
        <v/>
      </c>
    </row>
    <row r="610" spans="1:29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C610" t="str">
        <f t="shared" si="9"/>
        <v/>
      </c>
    </row>
    <row r="611" spans="1:29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C611" t="str">
        <f t="shared" si="9"/>
        <v/>
      </c>
    </row>
    <row r="612" spans="1:29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C612" t="str">
        <f t="shared" si="9"/>
        <v/>
      </c>
    </row>
    <row r="613" spans="1:29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C613" t="str">
        <f t="shared" si="9"/>
        <v/>
      </c>
    </row>
    <row r="614" spans="1:29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C614" t="str">
        <f t="shared" si="9"/>
        <v/>
      </c>
    </row>
    <row r="615" spans="1:29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C615" t="str">
        <f t="shared" si="9"/>
        <v/>
      </c>
    </row>
    <row r="616" spans="1:29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C616" t="str">
        <f t="shared" si="9"/>
        <v/>
      </c>
    </row>
    <row r="617" spans="1:29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C617" t="str">
        <f t="shared" si="9"/>
        <v/>
      </c>
    </row>
    <row r="618" spans="1:29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C618" t="str">
        <f t="shared" si="9"/>
        <v/>
      </c>
    </row>
    <row r="619" spans="1:29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C619" t="str">
        <f t="shared" si="9"/>
        <v/>
      </c>
    </row>
    <row r="620" spans="1:29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C620" t="str">
        <f t="shared" si="9"/>
        <v/>
      </c>
    </row>
    <row r="621" spans="1:29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C621" t="str">
        <f t="shared" si="9"/>
        <v/>
      </c>
    </row>
    <row r="622" spans="1:29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C622" t="str">
        <f t="shared" si="9"/>
        <v/>
      </c>
    </row>
    <row r="623" spans="1:29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C623" t="str">
        <f t="shared" si="9"/>
        <v/>
      </c>
    </row>
    <row r="624" spans="1:29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C624" t="str">
        <f t="shared" si="9"/>
        <v/>
      </c>
    </row>
    <row r="625" spans="1:29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C625" t="str">
        <f t="shared" si="9"/>
        <v/>
      </c>
    </row>
    <row r="626" spans="1:29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C626" t="str">
        <f t="shared" si="9"/>
        <v/>
      </c>
    </row>
    <row r="627" spans="1:29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C627" t="str">
        <f t="shared" si="9"/>
        <v/>
      </c>
    </row>
    <row r="628" spans="1:29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C628" t="str">
        <f t="shared" si="9"/>
        <v/>
      </c>
    </row>
    <row r="629" spans="1:29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C629" t="str">
        <f t="shared" si="9"/>
        <v/>
      </c>
    </row>
    <row r="630" spans="1:29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C630" t="str">
        <f t="shared" si="9"/>
        <v/>
      </c>
    </row>
    <row r="631" spans="1:29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C631" t="str">
        <f t="shared" si="9"/>
        <v/>
      </c>
    </row>
    <row r="632" spans="1:29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C632" t="str">
        <f t="shared" si="9"/>
        <v/>
      </c>
    </row>
    <row r="633" spans="1:29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C633" t="str">
        <f t="shared" si="9"/>
        <v/>
      </c>
    </row>
    <row r="634" spans="1:29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C634" t="str">
        <f t="shared" si="9"/>
        <v/>
      </c>
    </row>
    <row r="635" spans="1:29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C635" t="str">
        <f t="shared" si="9"/>
        <v/>
      </c>
    </row>
    <row r="636" spans="1:29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C636" t="str">
        <f t="shared" si="9"/>
        <v/>
      </c>
    </row>
    <row r="637" spans="1:29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C637" t="str">
        <f t="shared" si="9"/>
        <v/>
      </c>
    </row>
    <row r="638" spans="1:29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C638" t="str">
        <f t="shared" si="9"/>
        <v/>
      </c>
    </row>
    <row r="639" spans="1:29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C639" t="str">
        <f t="shared" si="9"/>
        <v/>
      </c>
    </row>
    <row r="640" spans="1:29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C640" t="str">
        <f t="shared" si="9"/>
        <v/>
      </c>
    </row>
    <row r="641" spans="1:29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C641" t="str">
        <f t="shared" si="9"/>
        <v/>
      </c>
    </row>
    <row r="642" spans="1:29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C642" t="str">
        <f t="shared" si="9"/>
        <v/>
      </c>
    </row>
    <row r="643" spans="1:29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C643" t="str">
        <f t="shared" ref="AC643:AC706" si="10">IF(ISNUMBER(SEARCH("Successful",F643)),
   "Successful",
   IF(ISNUMBER(SEARCH("Failed",F643)),"Failed",""))</f>
        <v/>
      </c>
    </row>
    <row r="644" spans="1:29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C644" t="str">
        <f t="shared" si="10"/>
        <v/>
      </c>
    </row>
    <row r="645" spans="1:29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C645" t="str">
        <f t="shared" si="10"/>
        <v/>
      </c>
    </row>
    <row r="646" spans="1:29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C646" t="str">
        <f t="shared" si="10"/>
        <v/>
      </c>
    </row>
    <row r="647" spans="1:29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C647" t="str">
        <f t="shared" si="10"/>
        <v/>
      </c>
    </row>
    <row r="648" spans="1:29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C648" t="str">
        <f t="shared" si="10"/>
        <v/>
      </c>
    </row>
    <row r="649" spans="1:29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C649" t="str">
        <f t="shared" si="10"/>
        <v/>
      </c>
    </row>
    <row r="650" spans="1:29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C650" t="str">
        <f t="shared" si="10"/>
        <v/>
      </c>
    </row>
    <row r="651" spans="1:29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C651" t="str">
        <f t="shared" si="10"/>
        <v/>
      </c>
    </row>
    <row r="652" spans="1:29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C652" t="str">
        <f t="shared" si="10"/>
        <v/>
      </c>
    </row>
    <row r="653" spans="1:29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C653" t="str">
        <f t="shared" si="10"/>
        <v/>
      </c>
    </row>
    <row r="654" spans="1:29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C654" t="str">
        <f t="shared" si="10"/>
        <v/>
      </c>
    </row>
    <row r="655" spans="1:29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C655" t="str">
        <f t="shared" si="10"/>
        <v/>
      </c>
    </row>
    <row r="656" spans="1:29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C656" t="str">
        <f t="shared" si="10"/>
        <v/>
      </c>
    </row>
    <row r="657" spans="1:29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C657" t="str">
        <f t="shared" si="10"/>
        <v/>
      </c>
    </row>
    <row r="658" spans="1:29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C658" t="str">
        <f t="shared" si="10"/>
        <v/>
      </c>
    </row>
    <row r="659" spans="1:29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C659" t="str">
        <f t="shared" si="10"/>
        <v/>
      </c>
    </row>
    <row r="660" spans="1:29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C660" t="str">
        <f t="shared" si="10"/>
        <v/>
      </c>
    </row>
    <row r="661" spans="1:29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C661" t="str">
        <f t="shared" si="10"/>
        <v/>
      </c>
    </row>
    <row r="662" spans="1:29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C662" t="str">
        <f t="shared" si="10"/>
        <v/>
      </c>
    </row>
    <row r="663" spans="1:29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C663" t="str">
        <f t="shared" si="10"/>
        <v/>
      </c>
    </row>
    <row r="664" spans="1:29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C664" t="str">
        <f t="shared" si="10"/>
        <v/>
      </c>
    </row>
    <row r="665" spans="1:29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C665" t="str">
        <f t="shared" si="10"/>
        <v/>
      </c>
    </row>
    <row r="666" spans="1:29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C666" t="str">
        <f t="shared" si="10"/>
        <v/>
      </c>
    </row>
    <row r="667" spans="1:29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C667" t="str">
        <f t="shared" si="10"/>
        <v/>
      </c>
    </row>
    <row r="668" spans="1:29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C668" t="str">
        <f t="shared" si="10"/>
        <v/>
      </c>
    </row>
    <row r="669" spans="1:29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C669" t="str">
        <f t="shared" si="10"/>
        <v/>
      </c>
    </row>
    <row r="670" spans="1:29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C670" t="str">
        <f t="shared" si="10"/>
        <v/>
      </c>
    </row>
    <row r="671" spans="1:29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C671" t="str">
        <f t="shared" si="10"/>
        <v/>
      </c>
    </row>
    <row r="672" spans="1:29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C672" t="str">
        <f t="shared" si="10"/>
        <v/>
      </c>
    </row>
    <row r="673" spans="1:29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C673" t="str">
        <f t="shared" si="10"/>
        <v/>
      </c>
    </row>
    <row r="674" spans="1:29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C674" t="str">
        <f t="shared" si="10"/>
        <v/>
      </c>
    </row>
    <row r="675" spans="1:29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C675" t="str">
        <f t="shared" si="10"/>
        <v/>
      </c>
    </row>
    <row r="676" spans="1:29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C676" t="str">
        <f t="shared" si="10"/>
        <v/>
      </c>
    </row>
    <row r="677" spans="1:29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C677" t="str">
        <f t="shared" si="10"/>
        <v/>
      </c>
    </row>
    <row r="678" spans="1:29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C678" t="str">
        <f t="shared" si="10"/>
        <v/>
      </c>
    </row>
    <row r="679" spans="1:29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C679" t="str">
        <f t="shared" si="10"/>
        <v/>
      </c>
    </row>
    <row r="680" spans="1:29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C680" t="str">
        <f t="shared" si="10"/>
        <v/>
      </c>
    </row>
    <row r="681" spans="1:29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C681" t="str">
        <f t="shared" si="10"/>
        <v/>
      </c>
    </row>
    <row r="682" spans="1:29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C682" t="str">
        <f t="shared" si="10"/>
        <v/>
      </c>
    </row>
    <row r="683" spans="1:29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C683" t="str">
        <f t="shared" si="10"/>
        <v/>
      </c>
    </row>
    <row r="684" spans="1:29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C684" t="str">
        <f t="shared" si="10"/>
        <v/>
      </c>
    </row>
    <row r="685" spans="1:29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C685" t="str">
        <f t="shared" si="10"/>
        <v/>
      </c>
    </row>
    <row r="686" spans="1:29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C686" t="str">
        <f t="shared" si="10"/>
        <v/>
      </c>
    </row>
    <row r="687" spans="1:29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C687" t="str">
        <f t="shared" si="10"/>
        <v/>
      </c>
    </row>
    <row r="688" spans="1:29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C688" t="str">
        <f t="shared" si="10"/>
        <v/>
      </c>
    </row>
    <row r="689" spans="1:29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C689" t="str">
        <f t="shared" si="10"/>
        <v/>
      </c>
    </row>
    <row r="690" spans="1:29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C690" t="str">
        <f t="shared" si="10"/>
        <v/>
      </c>
    </row>
    <row r="691" spans="1:29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C691" t="str">
        <f t="shared" si="10"/>
        <v/>
      </c>
    </row>
    <row r="692" spans="1:29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C692" t="str">
        <f t="shared" si="10"/>
        <v/>
      </c>
    </row>
    <row r="693" spans="1:29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C693" t="str">
        <f t="shared" si="10"/>
        <v/>
      </c>
    </row>
    <row r="694" spans="1:29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C694" t="str">
        <f t="shared" si="10"/>
        <v/>
      </c>
    </row>
    <row r="695" spans="1:29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C695" t="str">
        <f t="shared" si="10"/>
        <v/>
      </c>
    </row>
    <row r="696" spans="1:29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C696" t="str">
        <f t="shared" si="10"/>
        <v/>
      </c>
    </row>
    <row r="697" spans="1:29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C697" t="str">
        <f t="shared" si="10"/>
        <v/>
      </c>
    </row>
    <row r="698" spans="1:29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C698" t="str">
        <f t="shared" si="10"/>
        <v/>
      </c>
    </row>
    <row r="699" spans="1:29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C699" t="str">
        <f t="shared" si="10"/>
        <v/>
      </c>
    </row>
    <row r="700" spans="1:29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C700" t="str">
        <f t="shared" si="10"/>
        <v/>
      </c>
    </row>
    <row r="701" spans="1:29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C701" t="str">
        <f t="shared" si="10"/>
        <v/>
      </c>
    </row>
    <row r="702" spans="1:29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C702" t="str">
        <f t="shared" si="10"/>
        <v/>
      </c>
    </row>
    <row r="703" spans="1:29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C703" t="str">
        <f t="shared" si="10"/>
        <v/>
      </c>
    </row>
    <row r="704" spans="1:29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C704" t="str">
        <f t="shared" si="10"/>
        <v/>
      </c>
    </row>
    <row r="705" spans="1:29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C705" t="str">
        <f t="shared" si="10"/>
        <v/>
      </c>
    </row>
    <row r="706" spans="1:29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C706" t="str">
        <f t="shared" si="10"/>
        <v/>
      </c>
    </row>
    <row r="707" spans="1:29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C707" t="str">
        <f t="shared" ref="AC707:AC770" si="11">IF(ISNUMBER(SEARCH("Successful",F707)),
   "Successful",
   IF(ISNUMBER(SEARCH("Failed",F707)),"Failed",""))</f>
        <v/>
      </c>
    </row>
    <row r="708" spans="1:29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C708" t="str">
        <f t="shared" si="11"/>
        <v/>
      </c>
    </row>
    <row r="709" spans="1:29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C709" t="str">
        <f t="shared" si="11"/>
        <v/>
      </c>
    </row>
    <row r="710" spans="1:29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C710" t="str">
        <f t="shared" si="11"/>
        <v/>
      </c>
    </row>
    <row r="711" spans="1:29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C711" t="str">
        <f t="shared" si="11"/>
        <v/>
      </c>
    </row>
    <row r="712" spans="1:29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C712" t="str">
        <f t="shared" si="11"/>
        <v/>
      </c>
    </row>
    <row r="713" spans="1:29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C713" t="str">
        <f t="shared" si="11"/>
        <v/>
      </c>
    </row>
    <row r="714" spans="1:29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C714" t="str">
        <f t="shared" si="11"/>
        <v/>
      </c>
    </row>
    <row r="715" spans="1:29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C715" t="str">
        <f t="shared" si="11"/>
        <v/>
      </c>
    </row>
    <row r="716" spans="1:29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C716" t="str">
        <f t="shared" si="11"/>
        <v/>
      </c>
    </row>
    <row r="717" spans="1:29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C717" t="str">
        <f t="shared" si="11"/>
        <v/>
      </c>
    </row>
    <row r="718" spans="1:29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C718" t="str">
        <f t="shared" si="11"/>
        <v/>
      </c>
    </row>
    <row r="719" spans="1:29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C719" t="str">
        <f t="shared" si="11"/>
        <v/>
      </c>
    </row>
    <row r="720" spans="1:29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C720" t="str">
        <f t="shared" si="11"/>
        <v/>
      </c>
    </row>
    <row r="721" spans="1:29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C721" t="str">
        <f t="shared" si="11"/>
        <v/>
      </c>
    </row>
    <row r="722" spans="1:29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C722" t="str">
        <f t="shared" si="11"/>
        <v/>
      </c>
    </row>
    <row r="723" spans="1:29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C723" t="str">
        <f t="shared" si="11"/>
        <v/>
      </c>
    </row>
    <row r="724" spans="1:29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C724" t="str">
        <f t="shared" si="11"/>
        <v/>
      </c>
    </row>
    <row r="725" spans="1:29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C725" t="str">
        <f t="shared" si="11"/>
        <v/>
      </c>
    </row>
    <row r="726" spans="1:29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C726" t="str">
        <f t="shared" si="11"/>
        <v/>
      </c>
    </row>
    <row r="727" spans="1:29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C727" t="str">
        <f t="shared" si="11"/>
        <v/>
      </c>
    </row>
    <row r="728" spans="1:29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C728" t="str">
        <f t="shared" si="11"/>
        <v/>
      </c>
    </row>
    <row r="729" spans="1:29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C729" t="str">
        <f t="shared" si="11"/>
        <v/>
      </c>
    </row>
    <row r="730" spans="1:29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C730" t="str">
        <f t="shared" si="11"/>
        <v/>
      </c>
    </row>
    <row r="731" spans="1:29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C731" t="str">
        <f t="shared" si="11"/>
        <v/>
      </c>
    </row>
    <row r="732" spans="1:29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C732" t="str">
        <f t="shared" si="11"/>
        <v/>
      </c>
    </row>
    <row r="733" spans="1:29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C733" t="str">
        <f t="shared" si="11"/>
        <v/>
      </c>
    </row>
    <row r="734" spans="1:29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C734" t="str">
        <f t="shared" si="11"/>
        <v/>
      </c>
    </row>
    <row r="735" spans="1:29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C735" t="str">
        <f t="shared" si="11"/>
        <v/>
      </c>
    </row>
    <row r="736" spans="1:29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C736" t="str">
        <f t="shared" si="11"/>
        <v/>
      </c>
    </row>
    <row r="737" spans="1:29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C737" t="str">
        <f t="shared" si="11"/>
        <v/>
      </c>
    </row>
    <row r="738" spans="1:29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C738" t="str">
        <f t="shared" si="11"/>
        <v/>
      </c>
    </row>
    <row r="739" spans="1:29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C739" t="str">
        <f t="shared" si="11"/>
        <v/>
      </c>
    </row>
    <row r="740" spans="1:29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C740" t="str">
        <f t="shared" si="11"/>
        <v/>
      </c>
    </row>
    <row r="741" spans="1:29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C741" t="str">
        <f t="shared" si="11"/>
        <v/>
      </c>
    </row>
    <row r="742" spans="1:29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C742" t="str">
        <f t="shared" si="11"/>
        <v/>
      </c>
    </row>
    <row r="743" spans="1:29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C743" t="str">
        <f t="shared" si="11"/>
        <v/>
      </c>
    </row>
    <row r="744" spans="1:29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C744" t="str">
        <f t="shared" si="11"/>
        <v/>
      </c>
    </row>
    <row r="745" spans="1:29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C745" t="str">
        <f t="shared" si="11"/>
        <v/>
      </c>
    </row>
    <row r="746" spans="1:29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C746" t="str">
        <f t="shared" si="11"/>
        <v/>
      </c>
    </row>
    <row r="747" spans="1:29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C747" t="str">
        <f t="shared" si="11"/>
        <v/>
      </c>
    </row>
    <row r="748" spans="1:29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C748" t="str">
        <f t="shared" si="11"/>
        <v/>
      </c>
    </row>
    <row r="749" spans="1:29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C749" t="str">
        <f t="shared" si="11"/>
        <v/>
      </c>
    </row>
    <row r="750" spans="1:29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C750" t="str">
        <f t="shared" si="11"/>
        <v/>
      </c>
    </row>
    <row r="751" spans="1:29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C751" t="str">
        <f t="shared" si="11"/>
        <v/>
      </c>
    </row>
    <row r="752" spans="1:29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C752" t="str">
        <f t="shared" si="11"/>
        <v/>
      </c>
    </row>
    <row r="753" spans="1:29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C753" t="str">
        <f t="shared" si="11"/>
        <v/>
      </c>
    </row>
    <row r="754" spans="1:29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C754" t="str">
        <f t="shared" si="11"/>
        <v/>
      </c>
    </row>
    <row r="755" spans="1:29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C755" t="str">
        <f t="shared" si="11"/>
        <v/>
      </c>
    </row>
    <row r="756" spans="1:29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C756" t="str">
        <f t="shared" si="11"/>
        <v/>
      </c>
    </row>
    <row r="757" spans="1:29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C757" t="str">
        <f t="shared" si="11"/>
        <v/>
      </c>
    </row>
    <row r="758" spans="1:29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C758" t="str">
        <f t="shared" si="11"/>
        <v/>
      </c>
    </row>
    <row r="759" spans="1:29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C759" t="str">
        <f t="shared" si="11"/>
        <v/>
      </c>
    </row>
    <row r="760" spans="1:29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C760" t="str">
        <f t="shared" si="11"/>
        <v/>
      </c>
    </row>
    <row r="761" spans="1:29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C761" t="str">
        <f t="shared" si="11"/>
        <v/>
      </c>
    </row>
    <row r="762" spans="1:29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C762" t="str">
        <f t="shared" si="11"/>
        <v/>
      </c>
    </row>
    <row r="763" spans="1:29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C763" t="str">
        <f t="shared" si="11"/>
        <v/>
      </c>
    </row>
    <row r="764" spans="1:29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C764" t="str">
        <f t="shared" si="11"/>
        <v/>
      </c>
    </row>
    <row r="765" spans="1:29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C765" t="str">
        <f t="shared" si="11"/>
        <v/>
      </c>
    </row>
    <row r="766" spans="1:29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C766" t="str">
        <f t="shared" si="11"/>
        <v/>
      </c>
    </row>
    <row r="767" spans="1:29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C767" t="str">
        <f t="shared" si="11"/>
        <v/>
      </c>
    </row>
    <row r="768" spans="1:29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C768" t="str">
        <f t="shared" si="11"/>
        <v/>
      </c>
    </row>
    <row r="769" spans="1:29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C769" t="str">
        <f t="shared" si="11"/>
        <v/>
      </c>
    </row>
    <row r="770" spans="1:29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C770" t="str">
        <f t="shared" si="11"/>
        <v/>
      </c>
    </row>
    <row r="771" spans="1:29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C771" t="str">
        <f t="shared" ref="AC771:AC834" si="12">IF(ISNUMBER(SEARCH("Successful",F771)),
   "Successful",
   IF(ISNUMBER(SEARCH("Failed",F771)),"Failed",""))</f>
        <v/>
      </c>
    </row>
    <row r="772" spans="1:29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C772" t="str">
        <f t="shared" si="12"/>
        <v/>
      </c>
    </row>
    <row r="773" spans="1:29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C773" t="str">
        <f t="shared" si="12"/>
        <v/>
      </c>
    </row>
    <row r="774" spans="1:29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C774" t="str">
        <f t="shared" si="12"/>
        <v/>
      </c>
    </row>
    <row r="775" spans="1:29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C775" t="str">
        <f t="shared" si="12"/>
        <v/>
      </c>
    </row>
    <row r="776" spans="1:29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C776" t="str">
        <f t="shared" si="12"/>
        <v/>
      </c>
    </row>
    <row r="777" spans="1:29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C777" t="str">
        <f t="shared" si="12"/>
        <v/>
      </c>
    </row>
    <row r="778" spans="1:29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C778" t="str">
        <f t="shared" si="12"/>
        <v/>
      </c>
    </row>
    <row r="779" spans="1:29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C779" t="str">
        <f t="shared" si="12"/>
        <v/>
      </c>
    </row>
    <row r="780" spans="1:29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C780" t="str">
        <f t="shared" si="12"/>
        <v/>
      </c>
    </row>
    <row r="781" spans="1:29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C781" t="str">
        <f t="shared" si="12"/>
        <v/>
      </c>
    </row>
    <row r="782" spans="1:29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C782" t="str">
        <f t="shared" si="12"/>
        <v/>
      </c>
    </row>
    <row r="783" spans="1:29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C783" t="str">
        <f t="shared" si="12"/>
        <v/>
      </c>
    </row>
    <row r="784" spans="1:29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C784" t="str">
        <f t="shared" si="12"/>
        <v/>
      </c>
    </row>
    <row r="785" spans="1:29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C785" t="str">
        <f t="shared" si="12"/>
        <v/>
      </c>
    </row>
    <row r="786" spans="1:29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C786" t="str">
        <f t="shared" si="12"/>
        <v/>
      </c>
    </row>
    <row r="787" spans="1:29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C787" t="str">
        <f t="shared" si="12"/>
        <v/>
      </c>
    </row>
    <row r="788" spans="1:29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C788" t="str">
        <f t="shared" si="12"/>
        <v/>
      </c>
    </row>
    <row r="789" spans="1:29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C789" t="str">
        <f t="shared" si="12"/>
        <v/>
      </c>
    </row>
    <row r="790" spans="1:29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C790" t="str">
        <f t="shared" si="12"/>
        <v/>
      </c>
    </row>
    <row r="791" spans="1:29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C791" t="str">
        <f t="shared" si="12"/>
        <v/>
      </c>
    </row>
    <row r="792" spans="1:29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C792" t="str">
        <f t="shared" si="12"/>
        <v/>
      </c>
    </row>
    <row r="793" spans="1:29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C793" t="str">
        <f t="shared" si="12"/>
        <v/>
      </c>
    </row>
    <row r="794" spans="1:29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C794" t="str">
        <f t="shared" si="12"/>
        <v/>
      </c>
    </row>
    <row r="795" spans="1:29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C795" t="str">
        <f t="shared" si="12"/>
        <v/>
      </c>
    </row>
    <row r="796" spans="1:29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C796" t="str">
        <f t="shared" si="12"/>
        <v/>
      </c>
    </row>
    <row r="797" spans="1:29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C797" t="str">
        <f t="shared" si="12"/>
        <v/>
      </c>
    </row>
    <row r="798" spans="1:29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C798" t="str">
        <f t="shared" si="12"/>
        <v/>
      </c>
    </row>
    <row r="799" spans="1:29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C799" t="str">
        <f t="shared" si="12"/>
        <v/>
      </c>
    </row>
    <row r="800" spans="1:29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C800" t="str">
        <f t="shared" si="12"/>
        <v/>
      </c>
    </row>
    <row r="801" spans="1:29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C801" t="str">
        <f t="shared" si="12"/>
        <v/>
      </c>
    </row>
    <row r="802" spans="1:29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C802" t="str">
        <f t="shared" si="12"/>
        <v/>
      </c>
    </row>
    <row r="803" spans="1:29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C803" t="str">
        <f t="shared" si="12"/>
        <v/>
      </c>
    </row>
    <row r="804" spans="1:29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C804" t="str">
        <f t="shared" si="12"/>
        <v/>
      </c>
    </row>
    <row r="805" spans="1:29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C805" t="str">
        <f t="shared" si="12"/>
        <v/>
      </c>
    </row>
    <row r="806" spans="1:29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C806" t="str">
        <f t="shared" si="12"/>
        <v/>
      </c>
    </row>
    <row r="807" spans="1:29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C807" t="str">
        <f t="shared" si="12"/>
        <v/>
      </c>
    </row>
    <row r="808" spans="1:29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C808" t="str">
        <f t="shared" si="12"/>
        <v/>
      </c>
    </row>
    <row r="809" spans="1:29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C809" t="str">
        <f t="shared" si="12"/>
        <v/>
      </c>
    </row>
    <row r="810" spans="1:29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C810" t="str">
        <f t="shared" si="12"/>
        <v/>
      </c>
    </row>
    <row r="811" spans="1:29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C811" t="str">
        <f t="shared" si="12"/>
        <v/>
      </c>
    </row>
    <row r="812" spans="1:29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C812" t="str">
        <f t="shared" si="12"/>
        <v/>
      </c>
    </row>
    <row r="813" spans="1:29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C813" t="str">
        <f t="shared" si="12"/>
        <v/>
      </c>
    </row>
    <row r="814" spans="1:29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C814" t="str">
        <f t="shared" si="12"/>
        <v/>
      </c>
    </row>
    <row r="815" spans="1:29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C815" t="str">
        <f t="shared" si="12"/>
        <v/>
      </c>
    </row>
    <row r="816" spans="1:29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C816" t="str">
        <f t="shared" si="12"/>
        <v/>
      </c>
    </row>
    <row r="817" spans="1:29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C817" t="str">
        <f t="shared" si="12"/>
        <v/>
      </c>
    </row>
    <row r="818" spans="1:29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C818" t="str">
        <f t="shared" si="12"/>
        <v/>
      </c>
    </row>
    <row r="819" spans="1:29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C819" t="str">
        <f t="shared" si="12"/>
        <v/>
      </c>
    </row>
    <row r="820" spans="1:29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C820" t="str">
        <f t="shared" si="12"/>
        <v/>
      </c>
    </row>
    <row r="821" spans="1:29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C821" t="str">
        <f t="shared" si="12"/>
        <v/>
      </c>
    </row>
    <row r="822" spans="1:29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C822" t="str">
        <f t="shared" si="12"/>
        <v/>
      </c>
    </row>
    <row r="823" spans="1:29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C823" t="str">
        <f t="shared" si="12"/>
        <v/>
      </c>
    </row>
    <row r="824" spans="1:29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C824" t="str">
        <f t="shared" si="12"/>
        <v/>
      </c>
    </row>
    <row r="825" spans="1:29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C825" t="str">
        <f t="shared" si="12"/>
        <v/>
      </c>
    </row>
    <row r="826" spans="1:29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C826" t="str">
        <f t="shared" si="12"/>
        <v/>
      </c>
    </row>
    <row r="827" spans="1:29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C827" t="str">
        <f t="shared" si="12"/>
        <v/>
      </c>
    </row>
    <row r="828" spans="1:29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C828" t="str">
        <f t="shared" si="12"/>
        <v/>
      </c>
    </row>
    <row r="829" spans="1:29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C829" t="str">
        <f t="shared" si="12"/>
        <v/>
      </c>
    </row>
    <row r="830" spans="1:29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C830" t="str">
        <f t="shared" si="12"/>
        <v/>
      </c>
    </row>
    <row r="831" spans="1:29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C831" t="str">
        <f t="shared" si="12"/>
        <v/>
      </c>
    </row>
    <row r="832" spans="1:29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C832" t="str">
        <f t="shared" si="12"/>
        <v/>
      </c>
    </row>
    <row r="833" spans="1:29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C833" t="str">
        <f t="shared" si="12"/>
        <v/>
      </c>
    </row>
    <row r="834" spans="1:29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C834" t="str">
        <f t="shared" si="12"/>
        <v/>
      </c>
    </row>
    <row r="835" spans="1:29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C835" t="str">
        <f t="shared" ref="AC835:AC898" si="13">IF(ISNUMBER(SEARCH("Successful",F835)),
   "Successful",
   IF(ISNUMBER(SEARCH("Failed",F835)),"Failed",""))</f>
        <v/>
      </c>
    </row>
    <row r="836" spans="1:29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C836" t="str">
        <f t="shared" si="13"/>
        <v/>
      </c>
    </row>
    <row r="837" spans="1:29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C837" t="str">
        <f t="shared" si="13"/>
        <v/>
      </c>
    </row>
    <row r="838" spans="1:29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C838" t="str">
        <f t="shared" si="13"/>
        <v/>
      </c>
    </row>
    <row r="839" spans="1:29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C839" t="str">
        <f t="shared" si="13"/>
        <v/>
      </c>
    </row>
    <row r="840" spans="1:29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C840" t="str">
        <f t="shared" si="13"/>
        <v/>
      </c>
    </row>
    <row r="841" spans="1:29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C841" t="str">
        <f t="shared" si="13"/>
        <v/>
      </c>
    </row>
    <row r="842" spans="1:29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C842" t="str">
        <f t="shared" si="13"/>
        <v/>
      </c>
    </row>
    <row r="843" spans="1:29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C843" t="str">
        <f t="shared" si="13"/>
        <v/>
      </c>
    </row>
    <row r="844" spans="1:29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C844" t="str">
        <f t="shared" si="13"/>
        <v/>
      </c>
    </row>
    <row r="845" spans="1:29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C845" t="str">
        <f t="shared" si="13"/>
        <v/>
      </c>
    </row>
    <row r="846" spans="1:29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C846" t="str">
        <f t="shared" si="13"/>
        <v/>
      </c>
    </row>
    <row r="847" spans="1:29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C847" t="str">
        <f t="shared" si="13"/>
        <v/>
      </c>
    </row>
    <row r="848" spans="1:29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C848" t="str">
        <f t="shared" si="13"/>
        <v/>
      </c>
    </row>
    <row r="849" spans="1:29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C849" t="str">
        <f t="shared" si="13"/>
        <v/>
      </c>
    </row>
    <row r="850" spans="1:29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C850" t="str">
        <f t="shared" si="13"/>
        <v/>
      </c>
    </row>
    <row r="851" spans="1:29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C851" t="str">
        <f t="shared" si="13"/>
        <v/>
      </c>
    </row>
    <row r="852" spans="1:29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C852" t="str">
        <f t="shared" si="13"/>
        <v/>
      </c>
    </row>
    <row r="853" spans="1:29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C853" t="str">
        <f t="shared" si="13"/>
        <v/>
      </c>
    </row>
    <row r="854" spans="1:29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C854" t="str">
        <f t="shared" si="13"/>
        <v/>
      </c>
    </row>
    <row r="855" spans="1:29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C855" t="str">
        <f t="shared" si="13"/>
        <v/>
      </c>
    </row>
    <row r="856" spans="1:29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C856" t="str">
        <f t="shared" si="13"/>
        <v/>
      </c>
    </row>
    <row r="857" spans="1:29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C857" t="str">
        <f t="shared" si="13"/>
        <v/>
      </c>
    </row>
    <row r="858" spans="1:29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C858" t="str">
        <f t="shared" si="13"/>
        <v/>
      </c>
    </row>
    <row r="859" spans="1:29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C859" t="str">
        <f t="shared" si="13"/>
        <v/>
      </c>
    </row>
    <row r="860" spans="1:29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C860" t="str">
        <f t="shared" si="13"/>
        <v/>
      </c>
    </row>
    <row r="861" spans="1:29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C861" t="str">
        <f t="shared" si="13"/>
        <v/>
      </c>
    </row>
    <row r="862" spans="1:29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C862" t="str">
        <f t="shared" si="13"/>
        <v/>
      </c>
    </row>
    <row r="863" spans="1:29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C863" t="str">
        <f t="shared" si="13"/>
        <v/>
      </c>
    </row>
    <row r="864" spans="1:29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C864" t="str">
        <f t="shared" si="13"/>
        <v/>
      </c>
    </row>
    <row r="865" spans="1:29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C865" t="str">
        <f t="shared" si="13"/>
        <v/>
      </c>
    </row>
    <row r="866" spans="1:29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C866" t="str">
        <f t="shared" si="13"/>
        <v/>
      </c>
    </row>
    <row r="867" spans="1:29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C867" t="str">
        <f t="shared" si="13"/>
        <v/>
      </c>
    </row>
    <row r="868" spans="1:29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C868" t="str">
        <f t="shared" si="13"/>
        <v/>
      </c>
    </row>
    <row r="869" spans="1:29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C869" t="str">
        <f t="shared" si="13"/>
        <v/>
      </c>
    </row>
    <row r="870" spans="1:29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C870" t="str">
        <f t="shared" si="13"/>
        <v/>
      </c>
    </row>
    <row r="871" spans="1:29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C871" t="str">
        <f t="shared" si="13"/>
        <v/>
      </c>
    </row>
    <row r="872" spans="1:29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C872" t="str">
        <f t="shared" si="13"/>
        <v/>
      </c>
    </row>
    <row r="873" spans="1:29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C873" t="str">
        <f t="shared" si="13"/>
        <v/>
      </c>
    </row>
    <row r="874" spans="1:29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C874" t="str">
        <f t="shared" si="13"/>
        <v/>
      </c>
    </row>
    <row r="875" spans="1:29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C875" t="str">
        <f t="shared" si="13"/>
        <v/>
      </c>
    </row>
    <row r="876" spans="1:29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C876" t="str">
        <f t="shared" si="13"/>
        <v/>
      </c>
    </row>
    <row r="877" spans="1:29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C877" t="str">
        <f t="shared" si="13"/>
        <v/>
      </c>
    </row>
    <row r="878" spans="1:29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C878" t="str">
        <f t="shared" si="13"/>
        <v/>
      </c>
    </row>
    <row r="879" spans="1:29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C879" t="str">
        <f t="shared" si="13"/>
        <v/>
      </c>
    </row>
    <row r="880" spans="1:29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C880" t="str">
        <f t="shared" si="13"/>
        <v/>
      </c>
    </row>
    <row r="881" spans="1:29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C881" t="str">
        <f t="shared" si="13"/>
        <v/>
      </c>
    </row>
    <row r="882" spans="1:29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C882" t="str">
        <f t="shared" si="13"/>
        <v/>
      </c>
    </row>
    <row r="883" spans="1:29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C883" t="str">
        <f t="shared" si="13"/>
        <v/>
      </c>
    </row>
    <row r="884" spans="1:29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C884" t="str">
        <f t="shared" si="13"/>
        <v/>
      </c>
    </row>
    <row r="885" spans="1:29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C885" t="str">
        <f t="shared" si="13"/>
        <v/>
      </c>
    </row>
    <row r="886" spans="1:29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C886" t="str">
        <f t="shared" si="13"/>
        <v/>
      </c>
    </row>
    <row r="887" spans="1:29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C887" t="str">
        <f t="shared" si="13"/>
        <v/>
      </c>
    </row>
    <row r="888" spans="1:29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C888" t="str">
        <f t="shared" si="13"/>
        <v/>
      </c>
    </row>
    <row r="889" spans="1:29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C889" t="str">
        <f t="shared" si="13"/>
        <v/>
      </c>
    </row>
    <row r="890" spans="1:29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C890" t="str">
        <f t="shared" si="13"/>
        <v/>
      </c>
    </row>
    <row r="891" spans="1:29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C891" t="str">
        <f t="shared" si="13"/>
        <v/>
      </c>
    </row>
    <row r="892" spans="1:29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C892" t="str">
        <f t="shared" si="13"/>
        <v/>
      </c>
    </row>
    <row r="893" spans="1:29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C893" t="str">
        <f t="shared" si="13"/>
        <v/>
      </c>
    </row>
    <row r="894" spans="1:29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C894" t="str">
        <f t="shared" si="13"/>
        <v/>
      </c>
    </row>
    <row r="895" spans="1:29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C895" t="str">
        <f t="shared" si="13"/>
        <v/>
      </c>
    </row>
    <row r="896" spans="1:29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C896" t="str">
        <f t="shared" si="13"/>
        <v/>
      </c>
    </row>
    <row r="897" spans="1:29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C897" t="str">
        <f t="shared" si="13"/>
        <v/>
      </c>
    </row>
    <row r="898" spans="1:29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C898" t="str">
        <f t="shared" si="13"/>
        <v/>
      </c>
    </row>
    <row r="899" spans="1:29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C899" t="str">
        <f t="shared" ref="AC899:AC962" si="14">IF(ISNUMBER(SEARCH("Successful",F899)),
   "Successful",
   IF(ISNUMBER(SEARCH("Failed",F899)),"Failed",""))</f>
        <v/>
      </c>
    </row>
    <row r="900" spans="1:29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C900" t="str">
        <f t="shared" si="14"/>
        <v/>
      </c>
    </row>
    <row r="901" spans="1:29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C901" t="str">
        <f t="shared" si="14"/>
        <v/>
      </c>
    </row>
    <row r="902" spans="1:29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C902" t="str">
        <f t="shared" si="14"/>
        <v/>
      </c>
    </row>
    <row r="903" spans="1:29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C903" t="str">
        <f t="shared" si="14"/>
        <v/>
      </c>
    </row>
    <row r="904" spans="1:29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C904" t="str">
        <f t="shared" si="14"/>
        <v/>
      </c>
    </row>
    <row r="905" spans="1:29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C905" t="str">
        <f t="shared" si="14"/>
        <v/>
      </c>
    </row>
    <row r="906" spans="1:29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C906" t="str">
        <f t="shared" si="14"/>
        <v/>
      </c>
    </row>
    <row r="907" spans="1:29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C907" t="str">
        <f t="shared" si="14"/>
        <v/>
      </c>
    </row>
    <row r="908" spans="1:29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C908" t="str">
        <f t="shared" si="14"/>
        <v/>
      </c>
    </row>
    <row r="909" spans="1:29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C909" t="str">
        <f t="shared" si="14"/>
        <v/>
      </c>
    </row>
    <row r="910" spans="1:29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C910" t="str">
        <f t="shared" si="14"/>
        <v/>
      </c>
    </row>
    <row r="911" spans="1:29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C911" t="str">
        <f t="shared" si="14"/>
        <v/>
      </c>
    </row>
    <row r="912" spans="1:29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C912" t="str">
        <f t="shared" si="14"/>
        <v/>
      </c>
    </row>
    <row r="913" spans="1:29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C913" t="str">
        <f t="shared" si="14"/>
        <v/>
      </c>
    </row>
    <row r="914" spans="1:29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C914" t="str">
        <f t="shared" si="14"/>
        <v/>
      </c>
    </row>
    <row r="915" spans="1:29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C915" t="str">
        <f t="shared" si="14"/>
        <v/>
      </c>
    </row>
    <row r="916" spans="1:29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C916" t="str">
        <f t="shared" si="14"/>
        <v/>
      </c>
    </row>
    <row r="917" spans="1:29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C917" t="str">
        <f t="shared" si="14"/>
        <v/>
      </c>
    </row>
    <row r="918" spans="1:29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C918" t="str">
        <f t="shared" si="14"/>
        <v/>
      </c>
    </row>
    <row r="919" spans="1:29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C919" t="str">
        <f t="shared" si="14"/>
        <v/>
      </c>
    </row>
    <row r="920" spans="1:29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C920" t="str">
        <f t="shared" si="14"/>
        <v/>
      </c>
    </row>
    <row r="921" spans="1:29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C921" t="str">
        <f t="shared" si="14"/>
        <v/>
      </c>
    </row>
    <row r="922" spans="1:29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C922" t="str">
        <f t="shared" si="14"/>
        <v/>
      </c>
    </row>
    <row r="923" spans="1:29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C923" t="str">
        <f t="shared" si="14"/>
        <v/>
      </c>
    </row>
    <row r="924" spans="1:29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C924" t="str">
        <f t="shared" si="14"/>
        <v/>
      </c>
    </row>
    <row r="925" spans="1:29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C925" t="str">
        <f t="shared" si="14"/>
        <v/>
      </c>
    </row>
    <row r="926" spans="1:29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C926" t="str">
        <f t="shared" si="14"/>
        <v/>
      </c>
    </row>
    <row r="927" spans="1:29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C927" t="str">
        <f t="shared" si="14"/>
        <v/>
      </c>
    </row>
    <row r="928" spans="1:29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C928" t="str">
        <f t="shared" si="14"/>
        <v/>
      </c>
    </row>
    <row r="929" spans="1:29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C929" t="str">
        <f t="shared" si="14"/>
        <v/>
      </c>
    </row>
    <row r="930" spans="1:29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C930" t="str">
        <f t="shared" si="14"/>
        <v/>
      </c>
    </row>
    <row r="931" spans="1:29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C931" t="str">
        <f t="shared" si="14"/>
        <v/>
      </c>
    </row>
    <row r="932" spans="1:29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C932" t="str">
        <f t="shared" si="14"/>
        <v/>
      </c>
    </row>
    <row r="933" spans="1:29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C933" t="str">
        <f t="shared" si="14"/>
        <v/>
      </c>
    </row>
    <row r="934" spans="1:29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C934" t="str">
        <f t="shared" si="14"/>
        <v/>
      </c>
    </row>
    <row r="935" spans="1:29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C935" t="str">
        <f t="shared" si="14"/>
        <v/>
      </c>
    </row>
    <row r="936" spans="1:29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C936" t="str">
        <f t="shared" si="14"/>
        <v/>
      </c>
    </row>
    <row r="937" spans="1:29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C937" t="str">
        <f t="shared" si="14"/>
        <v/>
      </c>
    </row>
    <row r="938" spans="1:29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C938" t="str">
        <f t="shared" si="14"/>
        <v/>
      </c>
    </row>
    <row r="939" spans="1:29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C939" t="str">
        <f t="shared" si="14"/>
        <v/>
      </c>
    </row>
    <row r="940" spans="1:29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C940" t="str">
        <f t="shared" si="14"/>
        <v/>
      </c>
    </row>
    <row r="941" spans="1:29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C941" t="str">
        <f t="shared" si="14"/>
        <v/>
      </c>
    </row>
    <row r="942" spans="1:29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C942" t="str">
        <f t="shared" si="14"/>
        <v/>
      </c>
    </row>
    <row r="943" spans="1:29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C943" t="str">
        <f t="shared" si="14"/>
        <v/>
      </c>
    </row>
    <row r="944" spans="1:29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C944" t="str">
        <f t="shared" si="14"/>
        <v/>
      </c>
    </row>
    <row r="945" spans="1:29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C945" t="str">
        <f t="shared" si="14"/>
        <v/>
      </c>
    </row>
    <row r="946" spans="1:29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C946" t="str">
        <f t="shared" si="14"/>
        <v/>
      </c>
    </row>
    <row r="947" spans="1:29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C947" t="str">
        <f t="shared" si="14"/>
        <v/>
      </c>
    </row>
    <row r="948" spans="1:29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C948" t="str">
        <f t="shared" si="14"/>
        <v/>
      </c>
    </row>
    <row r="949" spans="1:29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C949" t="str">
        <f t="shared" si="14"/>
        <v/>
      </c>
    </row>
    <row r="950" spans="1:29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C950" t="str">
        <f t="shared" si="14"/>
        <v/>
      </c>
    </row>
    <row r="951" spans="1:29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C951" t="str">
        <f t="shared" si="14"/>
        <v/>
      </c>
    </row>
    <row r="952" spans="1:29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C952" t="str">
        <f t="shared" si="14"/>
        <v/>
      </c>
    </row>
    <row r="953" spans="1:29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C953" t="str">
        <f t="shared" si="14"/>
        <v/>
      </c>
    </row>
    <row r="954" spans="1:29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C954" t="str">
        <f t="shared" si="14"/>
        <v/>
      </c>
    </row>
    <row r="955" spans="1:29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C955" t="str">
        <f t="shared" si="14"/>
        <v/>
      </c>
    </row>
    <row r="956" spans="1:29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C956" t="str">
        <f t="shared" si="14"/>
        <v/>
      </c>
    </row>
    <row r="957" spans="1:29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C957" t="str">
        <f t="shared" si="14"/>
        <v/>
      </c>
    </row>
    <row r="958" spans="1:29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C958" t="str">
        <f t="shared" si="14"/>
        <v/>
      </c>
    </row>
    <row r="959" spans="1:29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C959" t="str">
        <f t="shared" si="14"/>
        <v/>
      </c>
    </row>
    <row r="960" spans="1:29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C960" t="str">
        <f t="shared" si="14"/>
        <v/>
      </c>
    </row>
    <row r="961" spans="1:29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C961" t="str">
        <f t="shared" si="14"/>
        <v/>
      </c>
    </row>
    <row r="962" spans="1:29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C962" t="str">
        <f t="shared" si="14"/>
        <v/>
      </c>
    </row>
    <row r="963" spans="1:29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C963" t="str">
        <f t="shared" ref="AC963:AC996" si="15">IF(ISNUMBER(SEARCH("Successful",F963)),
   "Successful",
   IF(ISNUMBER(SEARCH("Failed",F963)),"Failed",""))</f>
        <v/>
      </c>
    </row>
    <row r="964" spans="1:29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C964" t="str">
        <f t="shared" si="15"/>
        <v/>
      </c>
    </row>
    <row r="965" spans="1:29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C965" t="str">
        <f t="shared" si="15"/>
        <v/>
      </c>
    </row>
    <row r="966" spans="1:29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C966" t="str">
        <f t="shared" si="15"/>
        <v/>
      </c>
    </row>
    <row r="967" spans="1:29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C967" t="str">
        <f t="shared" si="15"/>
        <v/>
      </c>
    </row>
    <row r="968" spans="1:29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C968" t="str">
        <f t="shared" si="15"/>
        <v/>
      </c>
    </row>
    <row r="969" spans="1:29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C969" t="str">
        <f t="shared" si="15"/>
        <v/>
      </c>
    </row>
    <row r="970" spans="1:29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C970" t="str">
        <f t="shared" si="15"/>
        <v/>
      </c>
    </row>
    <row r="971" spans="1:29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C971" t="str">
        <f t="shared" si="15"/>
        <v/>
      </c>
    </row>
    <row r="972" spans="1:29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C972" t="str">
        <f t="shared" si="15"/>
        <v/>
      </c>
    </row>
    <row r="973" spans="1:29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C973" t="str">
        <f t="shared" si="15"/>
        <v/>
      </c>
    </row>
    <row r="974" spans="1:29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C974" t="str">
        <f t="shared" si="15"/>
        <v/>
      </c>
    </row>
    <row r="975" spans="1:29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C975" t="str">
        <f t="shared" si="15"/>
        <v/>
      </c>
    </row>
    <row r="976" spans="1:29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C976" t="str">
        <f t="shared" si="15"/>
        <v/>
      </c>
    </row>
    <row r="977" spans="1:29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C977" t="str">
        <f t="shared" si="15"/>
        <v/>
      </c>
    </row>
    <row r="978" spans="1:29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C978" t="str">
        <f t="shared" si="15"/>
        <v/>
      </c>
    </row>
    <row r="979" spans="1:29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C979" t="str">
        <f t="shared" si="15"/>
        <v/>
      </c>
    </row>
    <row r="980" spans="1:29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C980" t="str">
        <f t="shared" si="15"/>
        <v/>
      </c>
    </row>
    <row r="981" spans="1:29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C981" t="str">
        <f t="shared" si="15"/>
        <v/>
      </c>
    </row>
    <row r="982" spans="1:29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C982" t="str">
        <f t="shared" si="15"/>
        <v/>
      </c>
    </row>
    <row r="983" spans="1:29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C983" t="str">
        <f t="shared" si="15"/>
        <v/>
      </c>
    </row>
    <row r="984" spans="1:29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C984" t="str">
        <f t="shared" si="15"/>
        <v/>
      </c>
    </row>
    <row r="985" spans="1:29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C985" t="str">
        <f t="shared" si="15"/>
        <v/>
      </c>
    </row>
    <row r="986" spans="1:29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C986" t="str">
        <f t="shared" si="15"/>
        <v/>
      </c>
    </row>
    <row r="987" spans="1:29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C987" t="str">
        <f t="shared" si="15"/>
        <v/>
      </c>
    </row>
    <row r="988" spans="1:29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C988" t="str">
        <f t="shared" si="15"/>
        <v/>
      </c>
    </row>
    <row r="989" spans="1:29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C989" t="str">
        <f t="shared" si="15"/>
        <v/>
      </c>
    </row>
    <row r="990" spans="1:29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C990" t="str">
        <f t="shared" si="15"/>
        <v/>
      </c>
    </row>
    <row r="991" spans="1:29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C991" t="str">
        <f t="shared" si="15"/>
        <v/>
      </c>
    </row>
    <row r="992" spans="1:29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C992" t="str">
        <f t="shared" si="15"/>
        <v/>
      </c>
    </row>
    <row r="993" spans="1:29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C993" t="str">
        <f t="shared" si="15"/>
        <v/>
      </c>
    </row>
    <row r="994" spans="1:29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C994" t="str">
        <f t="shared" si="15"/>
        <v/>
      </c>
    </row>
    <row r="995" spans="1:29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C995" t="str">
        <f t="shared" si="15"/>
        <v/>
      </c>
    </row>
    <row r="996" spans="1:29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C996" t="str">
        <f t="shared" si="15"/>
        <v/>
      </c>
    </row>
    <row r="997" spans="1:29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9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9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C999" t="s">
        <v>542</v>
      </c>
    </row>
    <row r="1000" spans="1:29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C1000" t="s">
        <v>510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243"/>
  <sheetViews>
    <sheetView workbookViewId="0">
      <selection activeCell="M218" sqref="M218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59</v>
      </c>
      <c r="C1" t="s">
        <v>2</v>
      </c>
      <c r="D1" t="s">
        <v>5</v>
      </c>
      <c r="E1" t="s">
        <v>6</v>
      </c>
      <c r="F1" t="s">
        <v>9</v>
      </c>
      <c r="G1" t="s">
        <v>60</v>
      </c>
      <c r="H1" t="s">
        <v>11</v>
      </c>
      <c r="I1" t="s">
        <v>61</v>
      </c>
      <c r="J1" t="s">
        <v>62</v>
      </c>
      <c r="K1" t="s">
        <v>63</v>
      </c>
      <c r="L1" t="s">
        <v>64</v>
      </c>
      <c r="M1" s="14" t="s">
        <v>65</v>
      </c>
      <c r="N1" t="s">
        <v>66</v>
      </c>
      <c r="O1" t="s">
        <v>67</v>
      </c>
      <c r="P1" t="s">
        <v>13</v>
      </c>
      <c r="Q1" t="s">
        <v>68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  <row r="35" spans="1:17">
      <c r="A35" t="str" cm="1">
        <f t="array" ref="A35">IFERROR(_xlfn.TEXTSPLIT(Input!A36,"*"),"")</f>
        <v/>
      </c>
    </row>
    <row r="36" spans="1:17">
      <c r="A36" t="str" cm="1">
        <f t="array" ref="A36">IFERROR(_xlfn.TEXTSPLIT(Input!A37,"*"),"")</f>
        <v/>
      </c>
    </row>
    <row r="37" spans="1:17">
      <c r="A37" t="str" cm="1">
        <f t="array" ref="A37">IFERROR(_xlfn.TEXTSPLIT(Input!A38,"*"),"")</f>
        <v/>
      </c>
    </row>
    <row r="38" spans="1:17">
      <c r="A38" t="str" cm="1">
        <f t="array" ref="A38">IFERROR(_xlfn.TEXTSPLIT(Input!A39,"*"),"")</f>
        <v/>
      </c>
    </row>
    <row r="39" spans="1:17">
      <c r="A39" t="str" cm="1">
        <f t="array" ref="A39">IFERROR(_xlfn.TEXTSPLIT(Input!A40,"*"),"")</f>
        <v/>
      </c>
    </row>
    <row r="40" spans="1:17">
      <c r="A40" t="str" cm="1">
        <f t="array" ref="A40">IFERROR(_xlfn.TEXTSPLIT(Input!A41,"*"),"")</f>
        <v/>
      </c>
    </row>
    <row r="41" spans="1:17">
      <c r="A41" t="str" cm="1">
        <f t="array" ref="A41">IFERROR(_xlfn.TEXTSPLIT(Input!A42,"*"),"")</f>
        <v/>
      </c>
    </row>
    <row r="42" spans="1:17">
      <c r="A42" t="str" cm="1">
        <f t="array" ref="A42">IFERROR(_xlfn.TEXTSPLIT(Input!A43,"*"),"")</f>
        <v/>
      </c>
    </row>
    <row r="43" spans="1:17">
      <c r="A43" t="str" cm="1">
        <f t="array" ref="A43">IFERROR(_xlfn.TEXTSPLIT(Input!A44,"*"),"")</f>
        <v/>
      </c>
    </row>
    <row r="44" spans="1:17">
      <c r="A44" t="str" cm="1">
        <f t="array" ref="A44">IFERROR(_xlfn.TEXTSPLIT(Input!A45,"*"),"")</f>
        <v/>
      </c>
    </row>
    <row r="45" spans="1:17">
      <c r="A45" t="str" cm="1">
        <f t="array" ref="A45">IFERROR(_xlfn.TEXTSPLIT(Input!A46,"*"),"")</f>
        <v/>
      </c>
    </row>
    <row r="46" spans="1:17">
      <c r="A46" t="str" cm="1">
        <f t="array" ref="A46">IFERROR(_xlfn.TEXTSPLIT(Input!A47,"*"),"")</f>
        <v/>
      </c>
    </row>
    <row r="47" spans="1:17">
      <c r="A47" t="str" cm="1">
        <f t="array" ref="A47">IFERROR(_xlfn.TEXTSPLIT(Input!A48,"*"),"")</f>
        <v/>
      </c>
    </row>
    <row r="48" spans="1:17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K260"/>
  <sheetViews>
    <sheetView topLeftCell="L1" zoomScaleNormal="100" workbookViewId="0">
      <pane ySplit="1" topLeftCell="A2" activePane="bottomLeft" state="frozen"/>
      <selection activeCell="E1" sqref="E1"/>
      <selection pane="bottomLeft" activeCell="AB6" sqref="AB6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2" width="15.140625" style="13" customWidth="1"/>
    <col min="23" max="23" width="24.28515625" style="13" customWidth="1"/>
    <col min="24" max="28" width="15.140625" style="13" customWidth="1"/>
    <col min="29" max="29" width="46.5703125" customWidth="1"/>
    <col min="30" max="30" width="17.28515625" bestFit="1" customWidth="1"/>
    <col min="31" max="31" width="15.85546875" bestFit="1" customWidth="1"/>
    <col min="32" max="32" width="18" bestFit="1" customWidth="1"/>
    <col min="33" max="33" width="17.140625" bestFit="1" customWidth="1"/>
    <col min="34" max="34" width="26.7109375" bestFit="1" customWidth="1"/>
    <col min="35" max="36" width="12.5703125" bestFit="1" customWidth="1"/>
    <col min="37" max="37" width="11.28515625" bestFit="1" customWidth="1"/>
  </cols>
  <sheetData>
    <row r="1" spans="1:37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288</v>
      </c>
      <c r="N1" s="12" t="s">
        <v>289</v>
      </c>
      <c r="O1" s="12" t="s">
        <v>290</v>
      </c>
      <c r="P1" s="1" t="s">
        <v>10</v>
      </c>
      <c r="Q1" s="1" t="s">
        <v>11</v>
      </c>
      <c r="R1" s="1" t="s">
        <v>12</v>
      </c>
      <c r="S1" s="12" t="s">
        <v>301</v>
      </c>
      <c r="T1" s="12" t="s">
        <v>300</v>
      </c>
      <c r="U1" s="42" t="s">
        <v>19</v>
      </c>
      <c r="V1" s="42"/>
      <c r="W1" s="42"/>
      <c r="X1" s="42"/>
      <c r="Y1" s="42"/>
      <c r="Z1" s="42"/>
      <c r="AA1" s="12"/>
      <c r="AB1" s="12"/>
      <c r="AC1" s="1" t="s">
        <v>13</v>
      </c>
      <c r="AD1" s="1" t="s">
        <v>14</v>
      </c>
      <c r="AE1" s="1" t="s">
        <v>15</v>
      </c>
      <c r="AF1" s="1" t="s">
        <v>16</v>
      </c>
      <c r="AG1" s="1" t="s">
        <v>17</v>
      </c>
      <c r="AH1" s="1" t="s">
        <v>18</v>
      </c>
      <c r="AI1" s="1" t="s">
        <v>19</v>
      </c>
      <c r="AJ1" s="1" t="s">
        <v>20</v>
      </c>
      <c r="AK1" s="1" t="s">
        <v>21</v>
      </c>
    </row>
    <row r="2" spans="1:37" ht="15.75" thickTop="1">
      <c r="A2" t="str">
        <f>_xlfn.TEXTJOIN("",TRUE,_xlfn.XLOOKUP(B2,Input!J:J,Input!G:G,"",0,1),_xlfn.XLOOKUP(B2,Input!J:J,Input!H:H,"",0,1))</f>
        <v/>
      </c>
      <c r="B2" cm="1">
        <f t="array" ref="B2">_xlfn.UNIQUE(_xlfn._xlws.FILTER(Input!J2:J500,ISNA(MATCH(Input!J2:J500,MacReports!B:B,0))))</f>
        <v>0</v>
      </c>
      <c r="C2" s="13" t="e">
        <f>_xlfn.XLOOKUP(B2,Input!J:J,Input!F:F)</f>
        <v>#N/A</v>
      </c>
      <c r="D2" t="e">
        <f>_xlfn.XLOOKUP(C2,Models!H:H,Models!G:G,C2)</f>
        <v>#N/A</v>
      </c>
      <c r="F2" t="e">
        <f>_xlfn.XLOOKUP(H2,Models!B:B,Models!F:F,"")</f>
        <v>#N/A</v>
      </c>
      <c r="G2" t="e">
        <f>_xlfn.XLOOKUP(B2,Input!J:J,Input!E:E)</f>
        <v>#N/A</v>
      </c>
      <c r="H2" t="e">
        <f>IF(G2="LENOVO",_xlfn.XLOOKUP(B2,Input!J:J,Input!K:K),_xlfn.XLOOKUP(B2,Input!J:J,Input!L:L))</f>
        <v>#N/A</v>
      </c>
      <c r="K2" t="str">
        <f>_xlfn.XLOOKUP(B2,CPU_Formula!A:A,CPU_Formula!I:I)</f>
        <v/>
      </c>
      <c r="L2" s="13" t="e">
        <f>INDEX(Input!$D$2:$AC$500,
       MATCH(B2, Input!$J$2:$J$500, 0),
       MATCH("Memory Capacity", Input!$D$1:$AC$1, 0))</f>
        <v>#N/A</v>
      </c>
      <c r="M2" s="13" t="e">
        <f>INDEX(Input!$D$2:$AC$500,
       MATCH(B2, Input!$J$2:$J$500, 0),
       MATCH("Memory Type", Input!$D$1:$AC$1, 0))</f>
        <v>#N/A</v>
      </c>
      <c r="N2" s="13" t="e">
        <f>IF(ISNUMBER(L2), L2, SUBSTITUTE(SUBSTITUTE(SUBSTITUTE(L2,"GiB","")," ",""),"/","+"))</f>
        <v>#N/A</v>
      </c>
      <c r="O2" s="13" t="str" cm="1">
        <f t="array" ref="O2">IFERROR(_xlfn.FILTERXML("&lt;t&gt;&lt;s&gt;" &amp; SUBSTITUTE(M2," / ","&lt;/s&gt;&lt;s&gt;") &amp; "&lt;/s&gt;&lt;/t&gt;","(//s[contains(.,'DDR')])[1]"),"")</f>
        <v/>
      </c>
      <c r="P2" t="e">
        <f>_xlfn.TEXTJOIN(" ",TRUE,N2,"GB",O2)</f>
        <v>#N/A</v>
      </c>
      <c r="Q2" t="e">
        <f>INDEX(Input!$D$2:$AC$500,
       MATCH(B2, Input!$J$2:$J$500, 0),
       MATCH("Disk Capacity", Input!$D$1:$AC$1, 0))</f>
        <v>#N/A</v>
      </c>
      <c r="S2" s="13" t="e">
        <f>_xlfn.LET(_xlpm.Result,INDEX(Input!$D$2:$AC$500,
       MATCH(B2, Input!$J$2:$J$500, 0),
       MATCH("Capacity", Input!$D$1:$AC$1, 0)),IF(_xlpm.Result="","",_xlpm.Result))</f>
        <v>#N/A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">IFERROR(IF(_xlfn.XLOOKUP(B2,Input!J:J,Input!N:U)=0,"",
          _xlfn.XLOOKUP(B2,Input!J:J,Input!N:U)),"")</f>
        <v/>
      </c>
      <c r="AC2" t="str">
        <f>_xlfn.TEXTJOIN(", ",TRUE,T2,U2,V2,W2,X2,Y2,Z2)</f>
        <v/>
      </c>
      <c r="AD2" t="str">
        <f>_xlfn.XLOOKUP(B:B,Disk_Pivot!G:G,Disk_Pivot!I:I)</f>
        <v>Yes</v>
      </c>
      <c r="AE2" t="str">
        <f>_xlfn.XLOOKUP(B2,Disk_Pivot!G:G,Disk_Pivot!N:N)</f>
        <v>Fail</v>
      </c>
    </row>
    <row r="3" spans="1:37">
      <c r="A3" t="str">
        <f>_xlfn.TEXTJOIN("",TRUE,_xlfn.XLOOKUP(B3,Input!J:J,Input!G:G,"",0,1),_xlfn.XLOOKUP(B3,Input!J:J,Input!H:H,"",0,1))</f>
        <v/>
      </c>
      <c r="C3" s="13">
        <f>_xlfn.XLOOKUP(B3,Input!J:J,Input!F:F)</f>
        <v>0</v>
      </c>
      <c r="D3">
        <f>_xlfn.XLOOKUP(C3,Models!H:H,Models!G:G,C3)</f>
        <v>0</v>
      </c>
      <c r="F3" t="str">
        <f>_xlfn.XLOOKUP(H3,Models!B:B,Models!F:F,"")</f>
        <v/>
      </c>
      <c r="G3">
        <f>_xlfn.XLOOKUP(B3,Input!J:J,Input!E:E)</f>
        <v>0</v>
      </c>
      <c r="H3">
        <f>IF(G3="LENOVO",_xlfn.XLOOKUP(B3,Input!J:J,Input!K:K),_xlfn.XLOOKUP(B3,Input!J:J,Input!L:L))</f>
        <v>0</v>
      </c>
      <c r="K3">
        <f>_xlfn.XLOOKUP(B3,CPU_Formula!A:A,CPU_Formula!I:I)</f>
        <v>0</v>
      </c>
      <c r="L3" s="13" t="e">
        <f>INDEX(Input!$D$2:$AC$500,
       MATCH(B3, Input!$J$2:$J$500, 0),
       MATCH("Memory Capacity", Input!$D$1:$AC$1, 0))</f>
        <v>#N/A</v>
      </c>
      <c r="M3" s="13" t="e">
        <f>INDEX(Input!$D$2:$AC$500,
       MATCH(B3, Input!$J$2:$J$500, 0),
       MATCH("Memory Type", Input!$D$1:$AC$1, 0))</f>
        <v>#N/A</v>
      </c>
      <c r="N3" s="13" t="e">
        <f t="shared" ref="N3:N66" si="0">IF(ISNUMBER(L3), L3, SUBSTITUTE(SUBSTITUTE(SUBSTITUTE(L3,"GiB","")," ",""),"/","+"))</f>
        <v>#N/A</v>
      </c>
      <c r="O3" s="13" t="str" cm="1">
        <f t="array" ref="O3">IFERROR(_xlfn.FILTERXML("&lt;t&gt;&lt;s&gt;" &amp; SUBSTITUTE(M3," / ","&lt;/s&gt;&lt;s&gt;") &amp; "&lt;/s&gt;&lt;/t&gt;","(//s[contains(.,'DDR')])[1]"),"")</f>
        <v/>
      </c>
      <c r="P3" t="e">
        <f t="shared" ref="P3:P66" si="1">_xlfn.TEXTJOIN(" ",TRUE,N3,"GB",O3)</f>
        <v>#N/A</v>
      </c>
      <c r="Q3" t="e">
        <f>INDEX(Input!$D$2:$AC$500,
       MATCH(B3, Input!$J$2:$J$500, 0),
       MATCH("Disk Capacity", Input!$D$1:$AC$1, 0))</f>
        <v>#N/A</v>
      </c>
      <c r="S3" s="13" t="e">
        <f>_xlfn.LET(_xlpm.Result,INDEX(Input!$D$2:$AC$500,
       MATCH(B3, Input!$J$2:$J$500, 0),
       MATCH("Capacity", Input!$D$1:$AC$1, 0)),IF(_xlpm.Result="","",_xlpm.Result))</f>
        <v>#N/A</v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AB3">IFERROR(IF(_xlfn.XLOOKUP(B3,Input!J:J,Input!N:U)=0,"",
          _xlfn.XLOOKUP(B3,Input!J:J,Input!N:U)),"")</f>
        <v/>
      </c>
      <c r="V3" s="13" t="str">
        <v/>
      </c>
      <c r="W3" s="13" t="str">
        <v/>
      </c>
      <c r="X3" s="13" t="str">
        <v/>
      </c>
      <c r="Y3" s="13" t="str">
        <v/>
      </c>
      <c r="Z3" s="13" t="str">
        <v/>
      </c>
      <c r="AA3" s="13" t="str">
        <v/>
      </c>
      <c r="AB3" s="13" t="str">
        <v/>
      </c>
      <c r="AC3" t="str">
        <f t="shared" ref="AC3:AC66" si="2">_xlfn.TEXTJOIN(", ",TRUE,T3,U3,V3,W3,X3,Y3,Z3)</f>
        <v/>
      </c>
      <c r="AD3" t="str">
        <f>_xlfn.XLOOKUP(B:B,Disk_Pivot!G:G,Disk_Pivot!I:I)</f>
        <v>Yes</v>
      </c>
      <c r="AE3" t="str">
        <f>_xlfn.XLOOKUP(B3,Disk_Pivot!G:G,Disk_Pivot!N:N)</f>
        <v>Fail</v>
      </c>
    </row>
    <row r="4" spans="1:37">
      <c r="A4" t="str">
        <f>_xlfn.TEXTJOIN("",TRUE,_xlfn.XLOOKUP(B4,Input!J:J,Input!G:G,"",0,1),_xlfn.XLOOKUP(B4,Input!J:J,Input!H:H,"",0,1))</f>
        <v/>
      </c>
      <c r="C4" s="13">
        <f>_xlfn.XLOOKUP(B4,Input!J:J,Input!F:F)</f>
        <v>0</v>
      </c>
      <c r="D4">
        <f>_xlfn.XLOOKUP(C4,Models!H:H,Models!G:G,C4)</f>
        <v>0</v>
      </c>
      <c r="F4" t="str">
        <f>_xlfn.XLOOKUP(H4,Models!B:B,Models!F:F,"")</f>
        <v/>
      </c>
      <c r="G4">
        <f>_xlfn.XLOOKUP(B4,Input!J:J,Input!E:E)</f>
        <v>0</v>
      </c>
      <c r="H4">
        <f>IF(G4="LENOVO",_xlfn.XLOOKUP(B4,Input!J:J,Input!K:K),_xlfn.XLOOKUP(B4,Input!J:J,Input!L:L))</f>
        <v>0</v>
      </c>
      <c r="K4">
        <f>_xlfn.XLOOKUP(B4,CPU_Formula!A:A,CPU_Formula!I:I)</f>
        <v>0</v>
      </c>
      <c r="L4" s="13" t="e">
        <f>INDEX(Input!$D$2:$AC$500,
       MATCH(B4, Input!$J$2:$J$500, 0),
       MATCH("Memory Capacity", Input!$D$1:$AC$1, 0))</f>
        <v>#N/A</v>
      </c>
      <c r="M4" s="13" t="e">
        <f>INDEX(Input!$D$2:$AC$500,
       MATCH(B4, Input!$J$2:$J$500, 0),
       MATCH("Memory Type", Input!$D$1:$AC$1, 0))</f>
        <v>#N/A</v>
      </c>
      <c r="N4" s="13" t="e">
        <f t="shared" si="0"/>
        <v>#N/A</v>
      </c>
      <c r="O4" s="13" t="str" cm="1">
        <f t="array" ref="O4">IFERROR(_xlfn.FILTERXML("&lt;t&gt;&lt;s&gt;" &amp; SUBSTITUTE(M4," / ","&lt;/s&gt;&lt;s&gt;") &amp; "&lt;/s&gt;&lt;/t&gt;","(//s[contains(.,'DDR')])[1]"),"")</f>
        <v/>
      </c>
      <c r="P4" t="e">
        <f t="shared" si="1"/>
        <v>#N/A</v>
      </c>
      <c r="Q4" t="e">
        <f>INDEX(Input!$D$2:$AC$500,
       MATCH(B4, Input!$J$2:$J$500, 0),
       MATCH("Disk Capacity", Input!$D$1:$AC$1, 0))</f>
        <v>#N/A</v>
      </c>
      <c r="S4" s="13" t="e">
        <f>_xlfn.LET(_xlpm.Result,INDEX(Input!$D$2:$AC$500,
       MATCH(B4, Input!$J$2:$J$500, 0),
       MATCH("Capacity", Input!$D$1:$AC$1, 0)),IF(_xlpm.Result="","",_xlpm.Result))</f>
        <v>#N/A</v>
      </c>
      <c r="T4" s="13" t="str" cm="1">
        <f t="array" ref="T4">IFERROR(_xlfn.IFS(
   --S4&lt;55,"Battery Defect",
  -- S4&lt;=69,"Battery D",
  --S4&lt;=80,"Battery C",
 --S4&gt;80,""
),"")</f>
        <v/>
      </c>
      <c r="U4" s="13" t="str" cm="1">
        <f t="array" ref="U4:AB4">IFERROR(IF(_xlfn.XLOOKUP(B4,Input!J:J,Input!N:U)=0,"",
          _xlfn.XLOOKUP(B4,Input!J:J,Input!N:U)),"")</f>
        <v/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s="13" t="str">
        <v/>
      </c>
      <c r="AB4" s="13" t="str">
        <v/>
      </c>
      <c r="AC4" t="str">
        <f t="shared" si="2"/>
        <v/>
      </c>
      <c r="AD4" t="str">
        <f>_xlfn.XLOOKUP(B:B,Disk_Pivot!G:G,Disk_Pivot!I:I)</f>
        <v>Yes</v>
      </c>
      <c r="AE4" t="str">
        <f>_xlfn.XLOOKUP(B4,Disk_Pivot!G:G,Disk_Pivot!N:N)</f>
        <v>Fail</v>
      </c>
    </row>
    <row r="5" spans="1:37">
      <c r="A5" t="str">
        <f>_xlfn.TEXTJOIN("",TRUE,_xlfn.XLOOKUP(B5,Input!J:J,Input!G:G,"",0,1),_xlfn.XLOOKUP(B5,Input!J:J,Input!H:H,"",0,1))</f>
        <v/>
      </c>
      <c r="C5" s="13">
        <f>_xlfn.XLOOKUP(B5,Input!J:J,Input!F:F)</f>
        <v>0</v>
      </c>
      <c r="D5">
        <f>_xlfn.XLOOKUP(C5,Models!H:H,Models!G:G,C5)</f>
        <v>0</v>
      </c>
      <c r="F5" t="str">
        <f>_xlfn.XLOOKUP(H5,Models!B:B,Models!F:F,"")</f>
        <v/>
      </c>
      <c r="G5">
        <f>_xlfn.XLOOKUP(B5,Input!J:J,Input!E:E)</f>
        <v>0</v>
      </c>
      <c r="H5">
        <f>IF(G5="LENOVO",_xlfn.XLOOKUP(B5,Input!J:J,Input!K:K),_xlfn.XLOOKUP(B5,Input!J:J,Input!L:L))</f>
        <v>0</v>
      </c>
      <c r="K5">
        <f>_xlfn.XLOOKUP(B5,CPU_Formula!A:A,CPU_Formula!I:I)</f>
        <v>0</v>
      </c>
      <c r="L5" s="13" t="e">
        <f>INDEX(Input!$D$2:$AC$500,
       MATCH(B5, Input!$J$2:$J$500, 0),
       MATCH("Memory Capacity", Input!$D$1:$AC$1, 0))</f>
        <v>#N/A</v>
      </c>
      <c r="M5" s="13" t="e">
        <f>INDEX(Input!$D$2:$AC$500,
       MATCH(B5, Input!$J$2:$J$500, 0),
       MATCH("Memory Type", Input!$D$1:$AC$1, 0))</f>
        <v>#N/A</v>
      </c>
      <c r="N5" s="13" t="e">
        <f t="shared" si="0"/>
        <v>#N/A</v>
      </c>
      <c r="O5" s="13" t="str" cm="1">
        <f t="array" ref="O5">IFERROR(_xlfn.FILTERXML("&lt;t&gt;&lt;s&gt;" &amp; SUBSTITUTE(M5," / ","&lt;/s&gt;&lt;s&gt;") &amp; "&lt;/s&gt;&lt;/t&gt;","(//s[contains(.,'DDR')])[1]"),"")</f>
        <v/>
      </c>
      <c r="P5" t="e">
        <f t="shared" si="1"/>
        <v>#N/A</v>
      </c>
      <c r="Q5" t="e">
        <f>INDEX(Input!$D$2:$AC$500,
       MATCH(B5, Input!$J$2:$J$500, 0),
       MATCH("Disk Capacity", Input!$D$1:$AC$1, 0))</f>
        <v>#N/A</v>
      </c>
      <c r="S5" s="13" t="e">
        <f>_xlfn.LET(_xlpm.Result,INDEX(Input!$D$2:$AC$500,
       MATCH(B5, Input!$J$2:$J$500, 0),
       MATCH("Capacity", Input!$D$1:$AC$1, 0)),IF(_xlpm.Result="","",_xlpm.Result))</f>
        <v>#N/A</v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AB5">IFERROR(IF(_xlfn.XLOOKUP(B5,Input!J:J,Input!N:U)=0,"",
          _xlfn.XLOOKUP(B5,Input!J:J,Input!N:U)),"")</f>
        <v/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s="13" t="str">
        <v/>
      </c>
      <c r="AB5" s="13" t="str">
        <v/>
      </c>
      <c r="AC5" t="str">
        <f t="shared" si="2"/>
        <v/>
      </c>
      <c r="AD5" t="str">
        <f>_xlfn.XLOOKUP(B:B,Disk_Pivot!G:G,Disk_Pivot!I:I)</f>
        <v>Yes</v>
      </c>
      <c r="AE5" t="str">
        <f>_xlfn.XLOOKUP(B5,Disk_Pivot!G:G,Disk_Pivot!N:N)</f>
        <v>Fail</v>
      </c>
    </row>
    <row r="6" spans="1:37">
      <c r="A6" t="str">
        <f>_xlfn.TEXTJOIN("",TRUE,_xlfn.XLOOKUP(B6,Input!J:J,Input!G:G,"",0,1),_xlfn.XLOOKUP(B6,Input!J:J,Input!H:H,"",0,1))</f>
        <v/>
      </c>
      <c r="C6" s="13">
        <f>_xlfn.XLOOKUP(B6,Input!J:J,Input!F:F)</f>
        <v>0</v>
      </c>
      <c r="D6">
        <f>_xlfn.XLOOKUP(C6,Models!H:H,Models!G:G,C6)</f>
        <v>0</v>
      </c>
      <c r="F6" t="str">
        <f>_xlfn.XLOOKUP(H6,Models!B:B,Models!F:F,"")</f>
        <v/>
      </c>
      <c r="G6">
        <f>_xlfn.XLOOKUP(B6,Input!J:J,Input!E:E)</f>
        <v>0</v>
      </c>
      <c r="H6">
        <f>IF(G6="LENOVO",_xlfn.XLOOKUP(B6,Input!J:J,Input!K:K),_xlfn.XLOOKUP(B6,Input!J:J,Input!L:L))</f>
        <v>0</v>
      </c>
      <c r="K6">
        <f>_xlfn.XLOOKUP(B6,CPU_Formula!A:A,CPU_Formula!I:I)</f>
        <v>0</v>
      </c>
      <c r="L6" s="13" t="e">
        <f>INDEX(Input!$D$2:$AC$500,
       MATCH(B6, Input!$J$2:$J$500, 0),
       MATCH("Memory Capacity", Input!$D$1:$AC$1, 0))</f>
        <v>#N/A</v>
      </c>
      <c r="M6" s="13" t="e">
        <f>INDEX(Input!$D$2:$AC$500,
       MATCH(B6, Input!$J$2:$J$500, 0),
       MATCH("Memory Type", Input!$D$1:$AC$1, 0))</f>
        <v>#N/A</v>
      </c>
      <c r="N6" s="13" t="e">
        <f t="shared" si="0"/>
        <v>#N/A</v>
      </c>
      <c r="O6" s="13" t="str" cm="1">
        <f t="array" ref="O6">IFERROR(_xlfn.FILTERXML("&lt;t&gt;&lt;s&gt;" &amp; SUBSTITUTE(M6," / ","&lt;/s&gt;&lt;s&gt;") &amp; "&lt;/s&gt;&lt;/t&gt;","(//s[contains(.,'DDR')])[1]"),"")</f>
        <v/>
      </c>
      <c r="P6" t="e">
        <f t="shared" si="1"/>
        <v>#N/A</v>
      </c>
      <c r="Q6" t="e">
        <f>INDEX(Input!$D$2:$AC$500,
       MATCH(B6, Input!$J$2:$J$500, 0),
       MATCH("Disk Capacity", Input!$D$1:$AC$1, 0))</f>
        <v>#N/A</v>
      </c>
      <c r="S6" s="13" t="e">
        <f>_xlfn.LET(_xlpm.Result,INDEX(Input!$D$2:$AC$500,
       MATCH(B6, Input!$J$2:$J$500, 0),
       MATCH("Capacity", Input!$D$1:$AC$1, 0)),IF(_xlpm.Result="","",_xlpm.Result))</f>
        <v>#N/A</v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AB6">IFERROR(IF(_xlfn.XLOOKUP(B6,Input!J:J,Input!N:U)=0,"",
          _xlfn.XLOOKUP(B6,Input!J:J,Input!N:U)),"")</f>
        <v/>
      </c>
      <c r="V6" s="13" t="str">
        <v/>
      </c>
      <c r="W6" s="13" t="str">
        <v/>
      </c>
      <c r="X6" s="13" t="str">
        <v/>
      </c>
      <c r="Y6" s="13" t="str">
        <v/>
      </c>
      <c r="Z6" s="13" t="str">
        <v/>
      </c>
      <c r="AA6" s="13" t="str">
        <v/>
      </c>
      <c r="AB6" s="13" t="str">
        <v/>
      </c>
      <c r="AC6" t="str">
        <f t="shared" si="2"/>
        <v/>
      </c>
      <c r="AD6" t="str">
        <f>_xlfn.XLOOKUP(B:B,Disk_Pivot!G:G,Disk_Pivot!I:I)</f>
        <v>Yes</v>
      </c>
      <c r="AE6" t="str">
        <f>_xlfn.XLOOKUP(B6,Disk_Pivot!G:G,Disk_Pivot!N:N)</f>
        <v>Fail</v>
      </c>
    </row>
    <row r="7" spans="1:37">
      <c r="A7" t="str">
        <f>_xlfn.TEXTJOIN("",TRUE,_xlfn.XLOOKUP(B7,Input!J:J,Input!G:G,"",0,1),_xlfn.XLOOKUP(B7,Input!J:J,Input!H:H,"",0,1))</f>
        <v/>
      </c>
      <c r="C7" s="13">
        <f>_xlfn.XLOOKUP(B7,Input!J:J,Input!F:F)</f>
        <v>0</v>
      </c>
      <c r="D7">
        <f>_xlfn.XLOOKUP(C7,Models!H:H,Models!G:G,C7)</f>
        <v>0</v>
      </c>
      <c r="F7" t="str">
        <f>_xlfn.XLOOKUP(H7,Models!B:B,Models!F:F,"")</f>
        <v/>
      </c>
      <c r="G7">
        <f>_xlfn.XLOOKUP(B7,Input!J:J,Input!E:E)</f>
        <v>0</v>
      </c>
      <c r="H7">
        <f>IF(G7="LENOVO",_xlfn.XLOOKUP(B7,Input!J:J,Input!K:K),_xlfn.XLOOKUP(B7,Input!J:J,Input!L:L))</f>
        <v>0</v>
      </c>
      <c r="K7">
        <f>_xlfn.XLOOKUP(B7,CPU_Formula!A:A,CPU_Formula!I:I)</f>
        <v>0</v>
      </c>
      <c r="L7" s="13" t="e">
        <f>INDEX(Input!$D$2:$AC$500,
       MATCH(B7, Input!$J$2:$J$500, 0),
       MATCH("Memory Capacity", Input!$D$1:$AC$1, 0))</f>
        <v>#N/A</v>
      </c>
      <c r="M7" s="13" t="e">
        <f>INDEX(Input!$D$2:$AC$500,
       MATCH(B7, Input!$J$2:$J$500, 0),
       MATCH("Memory Type", Input!$D$1:$AC$1, 0))</f>
        <v>#N/A</v>
      </c>
      <c r="N7" s="13" t="e">
        <f t="shared" si="0"/>
        <v>#N/A</v>
      </c>
      <c r="O7" s="13" t="str" cm="1">
        <f t="array" ref="O7">IFERROR(_xlfn.FILTERXML("&lt;t&gt;&lt;s&gt;" &amp; SUBSTITUTE(M7," / ","&lt;/s&gt;&lt;s&gt;") &amp; "&lt;/s&gt;&lt;/t&gt;","(//s[contains(.,'DDR')])[1]"),"")</f>
        <v/>
      </c>
      <c r="P7" t="e">
        <f t="shared" si="1"/>
        <v>#N/A</v>
      </c>
      <c r="Q7" t="e">
        <f>INDEX(Input!$D$2:$AC$500,
       MATCH(B7, Input!$J$2:$J$500, 0),
       MATCH("Disk Capacity", Input!$D$1:$AC$1, 0))</f>
        <v>#N/A</v>
      </c>
      <c r="S7" s="13" t="e">
        <f>_xlfn.LET(_xlpm.Result,INDEX(Input!$D$2:$AC$500,
       MATCH(B7, Input!$J$2:$J$500, 0),
       MATCH("Capacity", Input!$D$1:$AC$1, 0)),IF(_xlpm.Result="","",_xlpm.Result))</f>
        <v>#N/A</v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AB7">IFERROR(IF(_xlfn.XLOOKUP(B7,Input!J:J,Input!N:U)=0,"",
          _xlfn.XLOOKUP(B7,Input!J:J,Input!N:U)),"")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/>
      </c>
      <c r="AA7" s="13" t="str">
        <v/>
      </c>
      <c r="AB7" s="13" t="str">
        <v/>
      </c>
      <c r="AC7" t="str">
        <f t="shared" si="2"/>
        <v/>
      </c>
      <c r="AD7" t="str">
        <f>_xlfn.XLOOKUP(B:B,Disk_Pivot!G:G,Disk_Pivot!I:I)</f>
        <v>Yes</v>
      </c>
      <c r="AE7" t="str">
        <f>_xlfn.XLOOKUP(B7,Disk_Pivot!G:G,Disk_Pivot!N:N)</f>
        <v>Fail</v>
      </c>
    </row>
    <row r="8" spans="1:37">
      <c r="A8" t="str">
        <f>_xlfn.TEXTJOIN("",TRUE,_xlfn.XLOOKUP(B8,Input!J:J,Input!G:G,"",0,1),_xlfn.XLOOKUP(B8,Input!J:J,Input!H:H,"",0,1))</f>
        <v/>
      </c>
      <c r="C8" s="13">
        <f>_xlfn.XLOOKUP(B8,Input!J:J,Input!F:F)</f>
        <v>0</v>
      </c>
      <c r="D8">
        <f>_xlfn.XLOOKUP(C8,Models!H:H,Models!G:G,C8)</f>
        <v>0</v>
      </c>
      <c r="F8" t="str">
        <f>_xlfn.XLOOKUP(H8,Models!B:B,Models!F:F,"")</f>
        <v/>
      </c>
      <c r="G8">
        <f>_xlfn.XLOOKUP(B8,Input!J:J,Input!E:E)</f>
        <v>0</v>
      </c>
      <c r="H8">
        <f>IF(G8="LENOVO",_xlfn.XLOOKUP(B8,Input!J:J,Input!K:K),_xlfn.XLOOKUP(B8,Input!J:J,Input!L:L))</f>
        <v>0</v>
      </c>
      <c r="K8">
        <f>_xlfn.XLOOKUP(B8,CPU_Formula!A:A,CPU_Formula!I:I)</f>
        <v>0</v>
      </c>
      <c r="L8" s="13" t="e">
        <f>INDEX(Input!$D$2:$AC$500,
       MATCH(B8, Input!$J$2:$J$500, 0),
       MATCH("Memory Capacity", Input!$D$1:$AC$1, 0))</f>
        <v>#N/A</v>
      </c>
      <c r="M8" s="13" t="e">
        <f>INDEX(Input!$D$2:$AC$500,
       MATCH(B8, Input!$J$2:$J$500, 0),
       MATCH("Memory Type", Input!$D$1:$AC$1,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e">
        <f>INDEX(Input!$D$2:$AC$500,
       MATCH(B8, Input!$J$2:$J$500, 0),
       MATCH("Disk Capacity", Input!$D$1:$AC$1, 0))</f>
        <v>#N/A</v>
      </c>
      <c r="S8" s="13" t="e">
        <f>_xlfn.LET(_xlpm.Result,INDEX(Input!$D$2:$AC$500,
       MATCH(B8, Input!$J$2:$J$500, 0),
       MATCH("Capacity", Input!$D$1:$AC$1, 0)),IF(_xlpm.Result="","",_xlpm.Result))</f>
        <v>#N/A</v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:AB8">IFERROR(IF(_xlfn.XLOOKUP(B8,Input!J:J,Input!N:U)=0,"",
          _xlfn.XLOOKUP(B8,Input!J:J,Input!N:U)),"")</f>
        <v/>
      </c>
      <c r="V8" s="13" t="str">
        <v/>
      </c>
      <c r="W8" s="13" t="str">
        <v/>
      </c>
      <c r="X8" s="13" t="str">
        <v/>
      </c>
      <c r="Y8" s="13" t="str">
        <v/>
      </c>
      <c r="Z8" s="13" t="str">
        <v/>
      </c>
      <c r="AA8" s="13" t="str">
        <v/>
      </c>
      <c r="AB8" s="13" t="str">
        <v/>
      </c>
      <c r="AC8" t="str">
        <f t="shared" si="2"/>
        <v/>
      </c>
      <c r="AD8" t="str">
        <f>_xlfn.XLOOKUP(B:B,Disk_Pivot!G:G,Disk_Pivot!I:I)</f>
        <v>Yes</v>
      </c>
      <c r="AE8" t="str">
        <f>_xlfn.XLOOKUP(B8,Disk_Pivot!G:G,Disk_Pivot!N:N)</f>
        <v>Fail</v>
      </c>
    </row>
    <row r="9" spans="1:37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str">
        <f>_xlfn.XLOOKUP(H9,Models!B:B,Models!F:F,"")</f>
        <v/>
      </c>
      <c r="G9">
        <f>_xlfn.XLOOKUP(B9,Input!J:J,Input!E:E)</f>
        <v>0</v>
      </c>
      <c r="H9">
        <f>IF(G9="LENOVO",_xlfn.XLOOKUP(B9,Input!J:J,Input!K:K),_xlfn.XLOOKUP(B9,Input!J:J,Input!L:L))</f>
        <v>0</v>
      </c>
      <c r="K9">
        <f>_xlfn.XLOOKUP(B9,CPU_Formula!A:A,CPU_Formula!I:I)</f>
        <v>0</v>
      </c>
      <c r="L9" s="13" t="e">
        <f>INDEX(Input!$D$2:$AC$500,
       MATCH(B9, Input!$J$2:$J$500, 0),
       MATCH("Memory Capacity", Input!$D$1:$AC$1, 0))</f>
        <v>#N/A</v>
      </c>
      <c r="M9" s="13" t="e">
        <f>INDEX(Input!$D$2:$AC$500,
       MATCH(B9, Input!$J$2:$J$500, 0),
       MATCH("Memory Type", Input!$D$1:$AC$1,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e">
        <f>INDEX(Input!$D$2:$AC$500,
       MATCH(B9, Input!$J$2:$J$500, 0),
       MATCH("Disk Capacity", Input!$D$1:$AC$1, 0))</f>
        <v>#N/A</v>
      </c>
      <c r="S9" s="13" t="e">
        <f>_xlfn.LET(_xlpm.Result,INDEX(Input!$D$2:$AC$500,
       MATCH(B9, Input!$J$2:$J$500, 0),
       MATCH("Capacity", Input!$D$1:$AC$1, 0)),IF(_xlpm.Result="","",_xlpm.Result))</f>
        <v>#N/A</v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AB9">IFERROR(IF(_xlfn.XLOOKUP(B9,Input!J:J,Input!N:U)=0,"",
          _xlfn.XLOOKUP(B9,Input!J:J,Input!N:U)),"")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s="13" t="str">
        <v/>
      </c>
      <c r="AB9" s="13" t="str">
        <v/>
      </c>
      <c r="AC9" t="str">
        <f t="shared" si="2"/>
        <v/>
      </c>
      <c r="AD9" t="str">
        <f>_xlfn.XLOOKUP(B:B,Disk_Pivot!G:G,Disk_Pivot!I:I)</f>
        <v>Yes</v>
      </c>
      <c r="AE9" t="str">
        <f>_xlfn.XLOOKUP(B9,Disk_Pivot!G:G,Disk_Pivot!N:N)</f>
        <v>Fail</v>
      </c>
    </row>
    <row r="10" spans="1:37">
      <c r="A10" t="str">
        <f>_xlfn.TEXTJOIN("",TRUE,_xlfn.XLOOKUP(B10,Input!J:J,Input!G:G,"",0,1),_xlfn.XLOOKUP(B10,Input!J:J,Input!H:H,"",0,1))</f>
        <v/>
      </c>
      <c r="C10" s="13">
        <f>_xlfn.XLOOKUP(B10,Input!J:J,Input!F:F)</f>
        <v>0</v>
      </c>
      <c r="D10">
        <f>_xlfn.XLOOKUP(C10,Models!H:H,Models!G:G,C10)</f>
        <v>0</v>
      </c>
      <c r="F10" t="str">
        <f>_xlfn.XLOOKUP(H10,Models!B:B,Models!F:F,"")</f>
        <v/>
      </c>
      <c r="G10">
        <f>_xlfn.XLOOKUP(B10,Input!J:J,Input!E:E)</f>
        <v>0</v>
      </c>
      <c r="H10">
        <f>IF(G10="LENOVO",_xlfn.XLOOKUP(B10,Input!J:J,Input!K:K),_xlfn.XLOOKUP(B10,Input!J:J,Input!L:L))</f>
        <v>0</v>
      </c>
      <c r="K10">
        <f>_xlfn.XLOOKUP(B10,CPU_Formula!A:A,CPU_Formula!I:I)</f>
        <v>0</v>
      </c>
      <c r="L10" s="13" t="e">
        <f>INDEX(Input!$D$2:$AC$500,
       MATCH(B10, Input!$J$2:$J$500, 0),
       MATCH("Memory Capacity", Input!$D$1:$AC$1, 0))</f>
        <v>#N/A</v>
      </c>
      <c r="M10" s="13" t="e">
        <f>INDEX(Input!$D$2:$AC$500,
       MATCH(B10, Input!$J$2:$J$500, 0),
       MATCH("Memory Type", Input!$D$1:$AC$1,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e">
        <f>INDEX(Input!$D$2:$AC$500,
       MATCH(B10, Input!$J$2:$J$500, 0),
       MATCH("Disk Capacity", Input!$D$1:$AC$1, 0))</f>
        <v>#N/A</v>
      </c>
      <c r="S10" s="13" t="e">
        <f>_xlfn.LET(_xlpm.Result,INDEX(Input!$D$2:$AC$500,
       MATCH(B10, Input!$J$2:$J$500, 0),
       MATCH("Capacity", Input!$D$1:$AC$1, 0)),IF(_xlpm.Result="","",_xlpm.Result))</f>
        <v>#N/A</v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AB10">IFERROR(IF(_xlfn.XLOOKUP(B10,Input!J:J,Input!N:U)=0,"",
          _xlfn.XLOOKUP(B10,Input!J:J,Input!N:U)),"")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s="13" t="str">
        <v/>
      </c>
      <c r="AB10" s="13" t="str">
        <v/>
      </c>
      <c r="AC10" t="str">
        <f t="shared" si="2"/>
        <v/>
      </c>
      <c r="AD10" t="str">
        <f>_xlfn.XLOOKUP(B:B,Disk_Pivot!G:G,Disk_Pivot!I:I)</f>
        <v>Yes</v>
      </c>
      <c r="AE10" t="str">
        <f>_xlfn.XLOOKUP(B10,Disk_Pivot!G:G,Disk_Pivot!N:N)</f>
        <v>Fail</v>
      </c>
    </row>
    <row r="11" spans="1:37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INDEX(Input!$D$2:$AC$500,
       MATCH(B11, Input!$J$2:$J$500, 0),
       MATCH("Memory Capacity", Input!$D$1:$AC$1, 0))</f>
        <v>#N/A</v>
      </c>
      <c r="M11" s="13" t="e">
        <f>INDEX(Input!$D$2:$AC$500,
       MATCH(B11, Input!$J$2:$J$500, 0),
       MATCH("Memory Type", Input!$D$1:$AC$1,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e">
        <f>INDEX(Input!$D$2:$AC$500,
       MATCH(B11, Input!$J$2:$J$500, 0),
       MATCH("Disk Capacity", Input!$D$1:$AC$1, 0))</f>
        <v>#N/A</v>
      </c>
      <c r="S11" s="13" t="e">
        <f>_xlfn.LET(_xlpm.Result,INDEX(Input!$D$2:$AC$500,
       MATCH(B11, Input!$J$2:$J$500, 0),
       MATCH("Capacity", Input!$D$1:$AC$1, 0)),IF(_xlpm.Result="","",_xlpm.Result))</f>
        <v>#N/A</v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AB11">IFERROR(IF(_xlfn.XLOOKUP(B11,Input!J:J,Input!N:U)=0,"",
          _xlfn.XLOOKUP(B11,Input!J:J,Input!N:U)),"")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s="13" t="str">
        <v/>
      </c>
      <c r="AB11" s="13" t="str">
        <v/>
      </c>
      <c r="AC11" t="str">
        <f t="shared" si="2"/>
        <v/>
      </c>
      <c r="AD11" t="str">
        <f>_xlfn.XLOOKUP(B:B,Disk_Pivot!G:G,Disk_Pivot!I:I)</f>
        <v>Yes</v>
      </c>
      <c r="AE11" t="str">
        <f>_xlfn.XLOOKUP(B11,Disk_Pivot!G:G,Disk_Pivot!N:N)</f>
        <v>Fail</v>
      </c>
    </row>
    <row r="12" spans="1:37">
      <c r="A12" t="str">
        <f>_xlfn.TEXTJOIN("",TRUE,_xlfn.XLOOKUP(B12,Input!J:J,Input!G:G,"",0,1),_xlfn.XLOOKUP(B12,Input!J:J,Input!H:H,"",0,1))</f>
        <v/>
      </c>
      <c r="C12" s="13">
        <f>_xlfn.XLOOKUP(B12,Input!J:J,Input!F:F)</f>
        <v>0</v>
      </c>
      <c r="D12">
        <f>_xlfn.XLOOKUP(C12,Models!H:H,Models!G:G,C12)</f>
        <v>0</v>
      </c>
      <c r="F12" t="str">
        <f>_xlfn.XLOOKUP(H12,Models!B:B,Models!F:F,"")</f>
        <v/>
      </c>
      <c r="G12">
        <f>_xlfn.XLOOKUP(B12,Input!J:J,Input!E:E)</f>
        <v>0</v>
      </c>
      <c r="H12">
        <f>IF(G12="LENOVO",_xlfn.XLOOKUP(B12,Input!J:J,Input!K:K),_xlfn.XLOOKUP(B12,Input!J:J,Input!L:L))</f>
        <v>0</v>
      </c>
      <c r="K12">
        <f>_xlfn.XLOOKUP(B12,CPU_Formula!A:A,CPU_Formula!I:I)</f>
        <v>0</v>
      </c>
      <c r="L12" s="13" t="e">
        <f>INDEX(Input!$D$2:$AC$500,
       MATCH(B12, Input!$J$2:$J$500, 0),
       MATCH("Memory Capacity", Input!$D$1:$AC$1, 0))</f>
        <v>#N/A</v>
      </c>
      <c r="M12" s="13" t="e">
        <f>INDEX(Input!$D$2:$AC$500,
       MATCH(B12, Input!$J$2:$J$500, 0),
       MATCH("Memory Type", Input!$D$1:$AC$1,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e">
        <f>INDEX(Input!$D$2:$AC$500,
       MATCH(B12, Input!$J$2:$J$500, 0),
       MATCH("Disk Capacity", Input!$D$1:$AC$1, 0))</f>
        <v>#N/A</v>
      </c>
      <c r="S12" s="13" t="e">
        <f>_xlfn.LET(_xlpm.Result,INDEX(Input!$D$2:$AC$500,
       MATCH(B12, Input!$J$2:$J$500, 0),
       MATCH("Capacity", Input!$D$1:$AC$1, 0)),IF(_xlpm.Result="","",_xlpm.Result))</f>
        <v>#N/A</v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AB12">IFERROR(IF(_xlfn.XLOOKUP(B12,Input!J:J,Input!N:U)=0,"",
          _xlfn.XLOOKUP(B12,Input!J:J,Input!N:U)),"")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s="13" t="str">
        <v/>
      </c>
      <c r="AB12" s="13" t="str">
        <v/>
      </c>
      <c r="AC12" t="str">
        <f t="shared" si="2"/>
        <v/>
      </c>
      <c r="AD12" t="str">
        <f>_xlfn.XLOOKUP(B:B,Disk_Pivot!G:G,Disk_Pivot!I:I)</f>
        <v>Yes</v>
      </c>
      <c r="AE12" t="str">
        <f>_xlfn.XLOOKUP(B12,Disk_Pivot!G:G,Disk_Pivot!N:N)</f>
        <v>Fail</v>
      </c>
    </row>
    <row r="13" spans="1:37">
      <c r="A13" t="str">
        <f>_xlfn.TEXTJOIN("",TRUE,_xlfn.XLOOKUP(B13,Input!J:J,Input!G:G,"",0,1),_xlfn.XLOOKUP(B13,Input!J:J,Input!H:H,"",0,1))</f>
        <v/>
      </c>
      <c r="C13" s="13">
        <f>_xlfn.XLOOKUP(B13,Input!J:J,Input!F:F)</f>
        <v>0</v>
      </c>
      <c r="D13">
        <f>_xlfn.XLOOKUP(C13,Models!H:H,Models!G:G,C13)</f>
        <v>0</v>
      </c>
      <c r="F13" t="str">
        <f>_xlfn.XLOOKUP(H13,Models!B:B,Models!F:F,"")</f>
        <v/>
      </c>
      <c r="G13">
        <f>_xlfn.XLOOKUP(B13,Input!J:J,Input!E:E)</f>
        <v>0</v>
      </c>
      <c r="H13">
        <f>IF(G13="LENOVO",_xlfn.XLOOKUP(B13,Input!J:J,Input!K:K),_xlfn.XLOOKUP(B13,Input!J:J,Input!L:L))</f>
        <v>0</v>
      </c>
      <c r="K13">
        <f>_xlfn.XLOOKUP(B13,CPU_Formula!A:A,CPU_Formula!I:I)</f>
        <v>0</v>
      </c>
      <c r="L13" s="13" t="e">
        <f>INDEX(Input!$D$2:$AC$500,
       MATCH(B13, Input!$J$2:$J$500, 0),
       MATCH("Memory Capacity", Input!$D$1:$AC$1, 0))</f>
        <v>#N/A</v>
      </c>
      <c r="M13" s="13" t="e">
        <f>INDEX(Input!$D$2:$AC$500,
       MATCH(B13, Input!$J$2:$J$500, 0),
       MATCH("Memory Type", Input!$D$1:$AC$1,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e">
        <f>INDEX(Input!$D$2:$AC$500,
       MATCH(B13, Input!$J$2:$J$500, 0),
       MATCH("Disk Capacity", Input!$D$1:$AC$1, 0))</f>
        <v>#N/A</v>
      </c>
      <c r="S13" s="13" t="e">
        <f>_xlfn.LET(_xlpm.Result,INDEX(Input!$D$2:$AC$500,
       MATCH(B13, Input!$J$2:$J$500, 0),
       MATCH("Capacity", Input!$D$1:$AC$1, 0)),IF(_xlpm.Result="","",_xlpm.Result))</f>
        <v>#N/A</v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AB13">IFERROR(IF(_xlfn.XLOOKUP(B13,Input!J:J,Input!N:U)=0,"",
          _xlfn.XLOOKUP(B13,Input!J:J,Input!N:U)),"")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s="13" t="str">
        <v/>
      </c>
      <c r="AB13" s="13" t="str">
        <v/>
      </c>
      <c r="AC13" t="str">
        <f t="shared" si="2"/>
        <v/>
      </c>
      <c r="AD13" t="str">
        <f>_xlfn.XLOOKUP(B:B,Disk_Pivot!G:G,Disk_Pivot!I:I)</f>
        <v>Yes</v>
      </c>
      <c r="AE13" t="str">
        <f>_xlfn.XLOOKUP(B13,Disk_Pivot!G:G,Disk_Pivot!N:N)</f>
        <v>Fail</v>
      </c>
    </row>
    <row r="14" spans="1:37">
      <c r="A14" t="str">
        <f>_xlfn.TEXTJOIN("",TRUE,_xlfn.XLOOKUP(B14,Input!J:J,Input!G:G,"",0,1),_xlfn.XLOOKUP(B14,Input!J:J,Input!H:H,"",0,1))</f>
        <v/>
      </c>
      <c r="C14" s="13">
        <f>_xlfn.XLOOKUP(B14,Input!J:J,Input!F:F)</f>
        <v>0</v>
      </c>
      <c r="D14">
        <f>_xlfn.XLOOKUP(C14,Models!H:H,Models!G:G,C14)</f>
        <v>0</v>
      </c>
      <c r="F14" t="str">
        <f>_xlfn.XLOOKUP(H14,Models!B:B,Models!F:F,"")</f>
        <v/>
      </c>
      <c r="G14">
        <f>_xlfn.XLOOKUP(B14,Input!J:J,Input!E:E)</f>
        <v>0</v>
      </c>
      <c r="H14">
        <f>IF(G14="LENOVO",_xlfn.XLOOKUP(B14,Input!J:J,Input!K:K),_xlfn.XLOOKUP(B14,Input!J:J,Input!L:L))</f>
        <v>0</v>
      </c>
      <c r="K14">
        <f>_xlfn.XLOOKUP(B14,CPU_Formula!A:A,CPU_Formula!I:I)</f>
        <v>0</v>
      </c>
      <c r="L14" s="13" t="e">
        <f>INDEX(Input!$D$2:$AC$500,
       MATCH(B14, Input!$J$2:$J$500, 0),
       MATCH("Memory Capacity", Input!$D$1:$AC$1, 0))</f>
        <v>#N/A</v>
      </c>
      <c r="M14" s="13" t="e">
        <f>INDEX(Input!$D$2:$AC$500,
       MATCH(B14, Input!$J$2:$J$500, 0),
       MATCH("Memory Type", Input!$D$1:$AC$1,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e">
        <f>INDEX(Input!$D$2:$AC$500,
       MATCH(B14, Input!$J$2:$J$500, 0),
       MATCH("Disk Capacity", Input!$D$1:$AC$1, 0))</f>
        <v>#N/A</v>
      </c>
      <c r="S14" s="13" t="e">
        <f>_xlfn.LET(_xlpm.Result,INDEX(Input!$D$2:$AC$500,
       MATCH(B14, Input!$J$2:$J$500, 0),
       MATCH("Capacity", Input!$D$1:$AC$1, 0)),IF(_xlpm.Result="","",_xlpm.Result))</f>
        <v>#N/A</v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AB14">IFERROR(IF(_xlfn.XLOOKUP(B14,Input!J:J,Input!N:U)=0,"",
          _xlfn.XLOOKUP(B14,Input!J:J,Input!N:U)),"")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s="13" t="str">
        <v/>
      </c>
      <c r="AB14" s="13" t="str">
        <v/>
      </c>
      <c r="AC14" t="str">
        <f t="shared" si="2"/>
        <v/>
      </c>
      <c r="AD14" t="str">
        <f>_xlfn.XLOOKUP(B:B,Disk_Pivot!G:G,Disk_Pivot!I:I)</f>
        <v>Yes</v>
      </c>
      <c r="AE14" t="str">
        <f>_xlfn.XLOOKUP(B14,Disk_Pivot!G:G,Disk_Pivot!N:N)</f>
        <v>Fail</v>
      </c>
    </row>
    <row r="15" spans="1:37">
      <c r="A15" t="str">
        <f>_xlfn.TEXTJOIN("",TRUE,_xlfn.XLOOKUP(B15,Input!J:J,Input!G:G,"",0,1),_xlfn.XLOOKUP(B15,Input!J:J,Input!H:H,"",0,1))</f>
        <v/>
      </c>
      <c r="C15" s="13">
        <f>_xlfn.XLOOKUP(B15,Input!J:J,Input!F:F)</f>
        <v>0</v>
      </c>
      <c r="D15">
        <f>_xlfn.XLOOKUP(C15,Models!H:H,Models!G:G,C15)</f>
        <v>0</v>
      </c>
      <c r="F15" t="str">
        <f>_xlfn.XLOOKUP(H15,Models!B:B,Models!F:F,"")</f>
        <v/>
      </c>
      <c r="G15">
        <f>_xlfn.XLOOKUP(B15,Input!J:J,Input!E:E)</f>
        <v>0</v>
      </c>
      <c r="H15">
        <f>IF(G15="LENOVO",_xlfn.XLOOKUP(B15,Input!J:J,Input!K:K),_xlfn.XLOOKUP(B15,Input!J:J,Input!L:L))</f>
        <v>0</v>
      </c>
      <c r="K15">
        <f>_xlfn.XLOOKUP(B15,CPU_Formula!A:A,CPU_Formula!I:I)</f>
        <v>0</v>
      </c>
      <c r="L15" s="13" t="e">
        <f>INDEX(Input!$D$2:$AC$500,
       MATCH(B15, Input!$J$2:$J$500, 0),
       MATCH("Memory Capacity", Input!$D$1:$AC$1, 0))</f>
        <v>#N/A</v>
      </c>
      <c r="M15" s="13" t="e">
        <f>INDEX(Input!$D$2:$AC$500,
       MATCH(B15, Input!$J$2:$J$500, 0),
       MATCH("Memory Type", Input!$D$1:$AC$1,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e">
        <f>INDEX(Input!$D$2:$AC$500,
       MATCH(B15, Input!$J$2:$J$500, 0),
       MATCH("Disk Capacity", Input!$D$1:$AC$1, 0))</f>
        <v>#N/A</v>
      </c>
      <c r="S15" s="13" t="e">
        <f>_xlfn.LET(_xlpm.Result,INDEX(Input!$D$2:$AC$500,
       MATCH(B15, Input!$J$2:$J$500, 0),
       MATCH("Capacity", Input!$D$1:$AC$1, 0)),IF(_xlpm.Result="","",_xlpm.Result))</f>
        <v>#N/A</v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AB15">IFERROR(IF(_xlfn.XLOOKUP(B15,Input!J:J,Input!N:U)=0,"",
          _xlfn.XLOOKUP(B15,Input!J:J,Input!N:U)),"")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s="13" t="str">
        <v/>
      </c>
      <c r="AB15" s="13" t="str">
        <v/>
      </c>
      <c r="AC15" t="str">
        <f t="shared" si="2"/>
        <v/>
      </c>
      <c r="AD15" t="str">
        <f>_xlfn.XLOOKUP(B:B,Disk_Pivot!G:G,Disk_Pivot!I:I)</f>
        <v>Yes</v>
      </c>
      <c r="AE15" t="str">
        <f>_xlfn.XLOOKUP(B15,Disk_Pivot!G:G,Disk_Pivot!N:N)</f>
        <v>Fail</v>
      </c>
    </row>
    <row r="16" spans="1:37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INDEX(Input!$D$2:$AC$500,
       MATCH(B16, Input!$J$2:$J$500, 0),
       MATCH("Memory Capacity", Input!$D$1:$AC$1, 0))</f>
        <v>#N/A</v>
      </c>
      <c r="M16" s="13" t="e">
        <f>INDEX(Input!$D$2:$AC$500,
       MATCH(B16, Input!$J$2:$J$500, 0),
       MATCH("Memory Type", Input!$D$1:$AC$1,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e">
        <f>INDEX(Input!$D$2:$AC$500,
       MATCH(B16, Input!$J$2:$J$500, 0),
       MATCH("Disk Capacity", Input!$D$1:$AC$1, 0))</f>
        <v>#N/A</v>
      </c>
      <c r="S16" s="13" t="e">
        <f>_xlfn.LET(_xlpm.Result,INDEX(Input!$D$2:$AC$500,
       MATCH(B16, Input!$J$2:$J$500, 0),
       MATCH("Capacity", Input!$D$1:$AC$1, 0)),IF(_xlpm.Result="","",_xlpm.Result))</f>
        <v>#N/A</v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AB16">IFERROR(IF(_xlfn.XLOOKUP(B16,Input!J:J,Input!N:U)=0,"",
          _xlfn.XLOOKUP(B16,Input!J:J,Input!N:U)),"")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s="13" t="str">
        <v/>
      </c>
      <c r="AB16" s="13" t="str">
        <v/>
      </c>
      <c r="AC16" t="str">
        <f t="shared" si="2"/>
        <v/>
      </c>
      <c r="AD16" t="str">
        <f>_xlfn.XLOOKUP(B:B,Disk_Pivot!G:G,Disk_Pivot!I:I)</f>
        <v>Yes</v>
      </c>
      <c r="AE16" t="str">
        <f>_xlfn.XLOOKUP(B16,Disk_Pivot!G:G,Disk_Pivot!N:N)</f>
        <v>Fail</v>
      </c>
    </row>
    <row r="17" spans="1:31">
      <c r="A17" t="str">
        <f>_xlfn.TEXTJOIN("",TRUE,_xlfn.XLOOKUP(B17,Input!J:J,Input!G:G,"",0,1),_xlfn.XLOOKUP(B17,Input!J:J,Input!H:H,"",0,1))</f>
        <v/>
      </c>
      <c r="C17" s="13">
        <f>_xlfn.XLOOKUP(B17,Input!J:J,Input!F:F)</f>
        <v>0</v>
      </c>
      <c r="D17">
        <f>_xlfn.XLOOKUP(C17,Models!H:H,Models!G:G,C17)</f>
        <v>0</v>
      </c>
      <c r="F17" t="str">
        <f>_xlfn.XLOOKUP(H17,Models!B:B,Models!F:F,"")</f>
        <v/>
      </c>
      <c r="G17">
        <f>_xlfn.XLOOKUP(B17,Input!J:J,Input!E:E)</f>
        <v>0</v>
      </c>
      <c r="H17">
        <f>IF(G17="LENOVO",_xlfn.XLOOKUP(B17,Input!J:J,Input!K:K),_xlfn.XLOOKUP(B17,Input!J:J,Input!L:L))</f>
        <v>0</v>
      </c>
      <c r="K17">
        <f>_xlfn.XLOOKUP(B17,CPU_Formula!A:A,CPU_Formula!I:I)</f>
        <v>0</v>
      </c>
      <c r="L17" s="13" t="e">
        <f>INDEX(Input!$D$2:$AC$500,
       MATCH(B17, Input!$J$2:$J$500, 0),
       MATCH("Memory Capacity", Input!$D$1:$AC$1, 0))</f>
        <v>#N/A</v>
      </c>
      <c r="M17" s="13" t="e">
        <f>INDEX(Input!$D$2:$AC$500,
       MATCH(B17, Input!$J$2:$J$500, 0),
       MATCH("Memory Type", Input!$D$1:$AC$1,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e">
        <f>INDEX(Input!$D$2:$AC$500,
       MATCH(B17, Input!$J$2:$J$500, 0),
       MATCH("Disk Capacity", Input!$D$1:$AC$1, 0))</f>
        <v>#N/A</v>
      </c>
      <c r="S17" s="13" t="e">
        <f>_xlfn.LET(_xlpm.Result,INDEX(Input!$D$2:$AC$500,
       MATCH(B17, Input!$J$2:$J$500, 0),
       MATCH("Capacity", Input!$D$1:$AC$1, 0)),IF(_xlpm.Result="","",_xlpm.Result))</f>
        <v>#N/A</v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AB17">IFERROR(IF(_xlfn.XLOOKUP(B17,Input!J:J,Input!N:U)=0,"",
          _xlfn.XLOOKUP(B17,Input!J:J,Input!N:U)),"")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s="13" t="str">
        <v/>
      </c>
      <c r="AB17" s="13" t="str">
        <v/>
      </c>
      <c r="AC17" t="str">
        <f t="shared" si="2"/>
        <v/>
      </c>
      <c r="AD17" t="str">
        <f>_xlfn.XLOOKUP(B:B,Disk_Pivot!G:G,Disk_Pivot!I:I)</f>
        <v>Yes</v>
      </c>
      <c r="AE17" t="str">
        <f>_xlfn.XLOOKUP(B17,Disk_Pivot!G:G,Disk_Pivot!N:N)</f>
        <v>Fail</v>
      </c>
    </row>
    <row r="18" spans="1:31">
      <c r="A18" t="str">
        <f>_xlfn.TEXTJOIN("",TRUE,_xlfn.XLOOKUP(B18,Input!J:J,Input!G:G,"",0,1),_xlfn.XLOOKUP(B18,Input!J:J,Input!H:H,"",0,1))</f>
        <v/>
      </c>
      <c r="C18" s="13">
        <f>_xlfn.XLOOKUP(B18,Input!J:J,Input!F:F)</f>
        <v>0</v>
      </c>
      <c r="D18">
        <f>_xlfn.XLOOKUP(C18,Models!H:H,Models!G:G,C18)</f>
        <v>0</v>
      </c>
      <c r="F18" t="str">
        <f>_xlfn.XLOOKUP(H18,Models!B:B,Models!F:F,"")</f>
        <v/>
      </c>
      <c r="G18">
        <f>_xlfn.XLOOKUP(B18,Input!J:J,Input!E:E)</f>
        <v>0</v>
      </c>
      <c r="H18">
        <f>IF(G18="LENOVO",_xlfn.XLOOKUP(B18,Input!J:J,Input!K:K),_xlfn.XLOOKUP(B18,Input!J:J,Input!L:L))</f>
        <v>0</v>
      </c>
      <c r="K18">
        <f>_xlfn.XLOOKUP(B18,CPU_Formula!A:A,CPU_Formula!I:I)</f>
        <v>0</v>
      </c>
      <c r="L18" s="13" t="e">
        <f>INDEX(Input!$D$2:$AC$500,
       MATCH(B18, Input!$J$2:$J$500, 0),
       MATCH("Memory Capacity", Input!$D$1:$AC$1, 0))</f>
        <v>#N/A</v>
      </c>
      <c r="M18" s="13" t="e">
        <f>INDEX(Input!$D$2:$AC$500,
       MATCH(B18, Input!$J$2:$J$500, 0),
       MATCH("Memory Type", Input!$D$1:$AC$1,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e">
        <f>INDEX(Input!$D$2:$AC$500,
       MATCH(B18, Input!$J$2:$J$500, 0),
       MATCH("Disk Capacity", Input!$D$1:$AC$1, 0))</f>
        <v>#N/A</v>
      </c>
      <c r="S18" s="13" t="e">
        <f>_xlfn.LET(_xlpm.Result,INDEX(Input!$D$2:$AC$500,
       MATCH(B18, Input!$J$2:$J$500, 0),
       MATCH("Capacity", Input!$D$1:$AC$1, 0)),IF(_xlpm.Result="","",_xlpm.Result))</f>
        <v>#N/A</v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AB18">IFERROR(IF(_xlfn.XLOOKUP(B18,Input!J:J,Input!N:U)=0,"",
          _xlfn.XLOOKUP(B18,Input!J:J,Input!N:U)),"")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s="13" t="str">
        <v/>
      </c>
      <c r="AB18" s="13" t="str">
        <v/>
      </c>
      <c r="AC18" t="str">
        <f t="shared" si="2"/>
        <v/>
      </c>
      <c r="AD18" t="str">
        <f>_xlfn.XLOOKUP(B:B,Disk_Pivot!G:G,Disk_Pivot!I:I)</f>
        <v>Yes</v>
      </c>
      <c r="AE18" t="str">
        <f>_xlfn.XLOOKUP(B18,Disk_Pivot!G:G,Disk_Pivot!N:N)</f>
        <v>Fail</v>
      </c>
    </row>
    <row r="19" spans="1:31">
      <c r="A19" t="str">
        <f>_xlfn.TEXTJOIN("",TRUE,_xlfn.XLOOKUP(B19,Input!J:J,Input!G:G,"",0,1),_xlfn.XLOOKUP(B19,Input!J:J,Input!H:H,"",0,1))</f>
        <v/>
      </c>
      <c r="C19" s="13">
        <f>_xlfn.XLOOKUP(B19,Input!J:J,Input!F:F)</f>
        <v>0</v>
      </c>
      <c r="D19">
        <f>_xlfn.XLOOKUP(C19,Models!H:H,Models!G:G,C19)</f>
        <v>0</v>
      </c>
      <c r="F19" t="str">
        <f>_xlfn.XLOOKUP(H19,Models!B:B,Models!F:F,"")</f>
        <v/>
      </c>
      <c r="G19">
        <f>_xlfn.XLOOKUP(B19,Input!J:J,Input!E:E)</f>
        <v>0</v>
      </c>
      <c r="H19">
        <f>IF(G19="LENOVO",_xlfn.XLOOKUP(B19,Input!J:J,Input!K:K),_xlfn.XLOOKUP(B19,Input!J:J,Input!L:L))</f>
        <v>0</v>
      </c>
      <c r="K19">
        <f>_xlfn.XLOOKUP(B19,CPU_Formula!A:A,CPU_Formula!I:I)</f>
        <v>0</v>
      </c>
      <c r="L19" s="13" t="e">
        <f>INDEX(Input!$D$2:$AC$500,
       MATCH(B19, Input!$J$2:$J$500, 0),
       MATCH("Memory Capacity", Input!$D$1:$AC$1, 0))</f>
        <v>#N/A</v>
      </c>
      <c r="M19" s="13" t="e">
        <f>INDEX(Input!$D$2:$AC$500,
       MATCH(B19, Input!$J$2:$J$500, 0),
       MATCH("Memory Type", Input!$D$1:$AC$1,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e">
        <f>INDEX(Input!$D$2:$AC$500,
       MATCH(B19, Input!$J$2:$J$500, 0),
       MATCH("Disk Capacity", Input!$D$1:$AC$1, 0))</f>
        <v>#N/A</v>
      </c>
      <c r="S19" s="13" t="e">
        <f>_xlfn.LET(_xlpm.Result,INDEX(Input!$D$2:$AC$500,
       MATCH(B19, Input!$J$2:$J$500, 0),
       MATCH("Capacity", Input!$D$1:$AC$1, 0)),IF(_xlpm.Result="","",_xlpm.Result))</f>
        <v>#N/A</v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AB19">IFERROR(IF(_xlfn.XLOOKUP(B19,Input!J:J,Input!N:U)=0,"",
          _xlfn.XLOOKUP(B19,Input!J:J,Input!N:U)),"")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s="13" t="str">
        <v/>
      </c>
      <c r="AB19" s="13" t="str">
        <v/>
      </c>
      <c r="AC19" t="str">
        <f t="shared" si="2"/>
        <v/>
      </c>
      <c r="AD19" t="str">
        <f>_xlfn.XLOOKUP(B:B,Disk_Pivot!G:G,Disk_Pivot!I:I)</f>
        <v>Yes</v>
      </c>
      <c r="AE19" t="str">
        <f>_xlfn.XLOOKUP(B19,Disk_Pivot!G:G,Disk_Pivot!N:N)</f>
        <v>Fail</v>
      </c>
    </row>
    <row r="20" spans="1:31">
      <c r="A20" t="str">
        <f>_xlfn.TEXTJOIN("",TRUE,_xlfn.XLOOKUP(B20,Input!J:J,Input!G:G,"",0,1),_xlfn.XLOOKUP(B20,Input!J:J,Input!H:H,"",0,1))</f>
        <v/>
      </c>
      <c r="C20" s="13">
        <f>_xlfn.XLOOKUP(B20,Input!J:J,Input!F:F)</f>
        <v>0</v>
      </c>
      <c r="D20">
        <f>_xlfn.XLOOKUP(C20,Models!H:H,Models!G:G,C20)</f>
        <v>0</v>
      </c>
      <c r="F20" t="str">
        <f>_xlfn.XLOOKUP(H20,Models!B:B,Models!F:F,"")</f>
        <v/>
      </c>
      <c r="G20">
        <f>_xlfn.XLOOKUP(B20,Input!J:J,Input!E:E)</f>
        <v>0</v>
      </c>
      <c r="H20">
        <f>IF(G20="LENOVO",_xlfn.XLOOKUP(B20,Input!J:J,Input!K:K),_xlfn.XLOOKUP(B20,Input!J:J,Input!L:L))</f>
        <v>0</v>
      </c>
      <c r="K20">
        <f>_xlfn.XLOOKUP(B20,CPU_Formula!A:A,CPU_Formula!I:I)</f>
        <v>0</v>
      </c>
      <c r="L20" s="13" t="e">
        <f>INDEX(Input!$D$2:$AC$500,
       MATCH(B20, Input!$J$2:$J$500, 0),
       MATCH("Memory Capacity", Input!$D$1:$AC$1, 0))</f>
        <v>#N/A</v>
      </c>
      <c r="M20" s="13" t="e">
        <f>INDEX(Input!$D$2:$AC$500,
       MATCH(B20, Input!$J$2:$J$500, 0),
       MATCH("Memory Type", Input!$D$1:$AC$1,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e">
        <f>INDEX(Input!$D$2:$AC$500,
       MATCH(B20, Input!$J$2:$J$500, 0),
       MATCH("Disk Capacity", Input!$D$1:$AC$1, 0))</f>
        <v>#N/A</v>
      </c>
      <c r="S20" s="13" t="e">
        <f>_xlfn.LET(_xlpm.Result,INDEX(Input!$D$2:$AC$500,
       MATCH(B20, Input!$J$2:$J$500, 0),
       MATCH("Capacity", Input!$D$1:$AC$1, 0)),IF(_xlpm.Result="","",_xlpm.Result))</f>
        <v>#N/A</v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AB20">IFERROR(IF(_xlfn.XLOOKUP(B20,Input!J:J,Input!N:U)=0,"",
          _xlfn.XLOOKUP(B20,Input!J:J,Input!N:U)),"")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s="13" t="str">
        <v/>
      </c>
      <c r="AB20" s="13" t="str">
        <v/>
      </c>
      <c r="AC20" t="str">
        <f t="shared" si="2"/>
        <v/>
      </c>
      <c r="AD20" t="str">
        <f>_xlfn.XLOOKUP(B:B,Disk_Pivot!G:G,Disk_Pivot!I:I)</f>
        <v>Yes</v>
      </c>
      <c r="AE20" t="str">
        <f>_xlfn.XLOOKUP(B20,Disk_Pivot!G:G,Disk_Pivot!N:N)</f>
        <v>Fail</v>
      </c>
    </row>
    <row r="21" spans="1:31">
      <c r="A21" t="str">
        <f>_xlfn.TEXTJOIN("",TRUE,_xlfn.XLOOKUP(B21,Input!J:J,Input!G:G,"",0,1),_xlfn.XLOOKUP(B21,Input!J:J,Input!H:H,"",0,1))</f>
        <v/>
      </c>
      <c r="C21" s="13">
        <f>_xlfn.XLOOKUP(B21,Input!J:J,Input!F:F)</f>
        <v>0</v>
      </c>
      <c r="D21">
        <f>_xlfn.XLOOKUP(C21,Models!H:H,Models!G:G,C21)</f>
        <v>0</v>
      </c>
      <c r="F21" t="str">
        <f>_xlfn.XLOOKUP(H21,Models!B:B,Models!F:F,"")</f>
        <v/>
      </c>
      <c r="G21">
        <f>_xlfn.XLOOKUP(B21,Input!J:J,Input!E:E)</f>
        <v>0</v>
      </c>
      <c r="H21">
        <f>IF(G21="LENOVO",_xlfn.XLOOKUP(B21,Input!J:J,Input!K:K),_xlfn.XLOOKUP(B21,Input!J:J,Input!L:L))</f>
        <v>0</v>
      </c>
      <c r="K21">
        <f>_xlfn.XLOOKUP(B21,CPU_Formula!A:A,CPU_Formula!I:I)</f>
        <v>0</v>
      </c>
      <c r="L21" s="13" t="e">
        <f>INDEX(Input!$D$2:$AC$500,
       MATCH(B21, Input!$J$2:$J$500, 0),
       MATCH("Memory Capacity", Input!$D$1:$AC$1, 0))</f>
        <v>#N/A</v>
      </c>
      <c r="M21" s="13" t="e">
        <f>INDEX(Input!$D$2:$AC$500,
       MATCH(B21, Input!$J$2:$J$500, 0),
       MATCH("Memory Type", Input!$D$1:$AC$1,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e">
        <f>INDEX(Input!$D$2:$AC$500,
       MATCH(B21, Input!$J$2:$J$500, 0),
       MATCH("Disk Capacity", Input!$D$1:$AC$1, 0))</f>
        <v>#N/A</v>
      </c>
      <c r="S21" s="13" t="e">
        <f>_xlfn.LET(_xlpm.Result,INDEX(Input!$D$2:$AC$500,
       MATCH(B21, Input!$J$2:$J$500, 0),
       MATCH("Capacity", Input!$D$1:$AC$1, 0)),IF(_xlpm.Result="","",_xlpm.Result))</f>
        <v>#N/A</v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AB21">IFERROR(IF(_xlfn.XLOOKUP(B21,Input!J:J,Input!N:U)=0,"",
          _xlfn.XLOOKUP(B21,Input!J:J,Input!N:U)),"")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s="13" t="str">
        <v/>
      </c>
      <c r="AB21" s="13" t="str">
        <v/>
      </c>
      <c r="AC21" t="str">
        <f t="shared" si="2"/>
        <v/>
      </c>
      <c r="AD21" t="str">
        <f>_xlfn.XLOOKUP(B:B,Disk_Pivot!G:G,Disk_Pivot!I:I)</f>
        <v>Yes</v>
      </c>
      <c r="AE21" t="str">
        <f>_xlfn.XLOOKUP(B21,Disk_Pivot!G:G,Disk_Pivot!N:N)</f>
        <v>Fail</v>
      </c>
    </row>
    <row r="22" spans="1:31">
      <c r="A22" t="str">
        <f>_xlfn.TEXTJOIN("",TRUE,_xlfn.XLOOKUP(B22,Input!J:J,Input!G:G,"",0,1),_xlfn.XLOOKUP(B22,Input!J:J,Input!H:H,"",0,1))</f>
        <v/>
      </c>
      <c r="C22" s="13">
        <f>_xlfn.XLOOKUP(B22,Input!J:J,Input!F:F)</f>
        <v>0</v>
      </c>
      <c r="D22">
        <f>_xlfn.XLOOKUP(C22,Models!H:H,Models!G:G,C22)</f>
        <v>0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INDEX(Input!$D$2:$AC$500,
       MATCH(B22, Input!$J$2:$J$500, 0),
       MATCH("Memory Capacity", Input!$D$1:$AC$1, 0))</f>
        <v>#N/A</v>
      </c>
      <c r="M22" s="13" t="e">
        <f>INDEX(Input!$D$2:$AC$500,
       MATCH(B22, Input!$J$2:$J$500, 0),
       MATCH("Memory Type", Input!$D$1:$AC$1,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e">
        <f>INDEX(Input!$D$2:$AC$500,
       MATCH(B22, Input!$J$2:$J$500, 0),
       MATCH("Disk Capacity", Input!$D$1:$AC$1, 0))</f>
        <v>#N/A</v>
      </c>
      <c r="S22" s="13" t="e">
        <f>_xlfn.LET(_xlpm.Result,INDEX(Input!$D$2:$AC$500,
       MATCH(B22, Input!$J$2:$J$500, 0),
       MATCH("Capacity", Input!$D$1:$AC$1, 0)),IF(_xlpm.Result="","",_xlpm.Result))</f>
        <v>#N/A</v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AB22">IFERROR(IF(_xlfn.XLOOKUP(B22,Input!J:J,Input!N:U)=0,"",
          _xlfn.XLOOKUP(B22,Input!J:J,Input!N:U)),"")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s="13" t="str">
        <v/>
      </c>
      <c r="AB22" s="13" t="str">
        <v/>
      </c>
      <c r="AC22" t="str">
        <f t="shared" si="2"/>
        <v/>
      </c>
      <c r="AD22" t="str">
        <f>_xlfn.XLOOKUP(B:B,Disk_Pivot!G:G,Disk_Pivot!I:I)</f>
        <v>Yes</v>
      </c>
      <c r="AE22" t="str">
        <f>_xlfn.XLOOKUP(B22,Disk_Pivot!G:G,Disk_Pivot!N:N)</f>
        <v>Fail</v>
      </c>
    </row>
    <row r="23" spans="1:31">
      <c r="A23" t="str">
        <f>_xlfn.TEXTJOIN("",TRUE,_xlfn.XLOOKUP(B23,Input!J:J,Input!G:G,"",0,1),_xlfn.XLOOKUP(B23,Input!J:J,Input!H:H,"",0,1))</f>
        <v/>
      </c>
      <c r="C23" s="13">
        <f>_xlfn.XLOOKUP(B23,Input!J:J,Input!F:F)</f>
        <v>0</v>
      </c>
      <c r="D23">
        <f>_xlfn.XLOOKUP(C23,Models!H:H,Models!G:G,C23)</f>
        <v>0</v>
      </c>
      <c r="F23" t="str">
        <f>_xlfn.XLOOKUP(H23,Models!B:B,Models!F:F,"")</f>
        <v/>
      </c>
      <c r="G23">
        <f>_xlfn.XLOOKUP(B23,Input!J:J,Input!E:E)</f>
        <v>0</v>
      </c>
      <c r="H23">
        <f>IF(G23="LENOVO",_xlfn.XLOOKUP(B23,Input!J:J,Input!K:K),_xlfn.XLOOKUP(B23,Input!J:J,Input!L:L))</f>
        <v>0</v>
      </c>
      <c r="K23">
        <f>_xlfn.XLOOKUP(B23,CPU_Formula!A:A,CPU_Formula!I:I)</f>
        <v>0</v>
      </c>
      <c r="L23" s="13" t="e">
        <f>INDEX(Input!$D$2:$AC$500,
       MATCH(B23, Input!$J$2:$J$500, 0),
       MATCH("Memory Capacity", Input!$D$1:$AC$1, 0))</f>
        <v>#N/A</v>
      </c>
      <c r="M23" s="13" t="e">
        <f>INDEX(Input!$D$2:$AC$500,
       MATCH(B23, Input!$J$2:$J$500, 0),
       MATCH("Memory Type", Input!$D$1:$AC$1,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e">
        <f>INDEX(Input!$D$2:$AC$500,
       MATCH(B23, Input!$J$2:$J$500, 0),
       MATCH("Disk Capacity", Input!$D$1:$AC$1, 0))</f>
        <v>#N/A</v>
      </c>
      <c r="S23" s="13" t="e">
        <f>_xlfn.LET(_xlpm.Result,INDEX(Input!$D$2:$AC$500,
       MATCH(B23, Input!$J$2:$J$500, 0),
       MATCH("Capacity", Input!$D$1:$AC$1, 0)),IF(_xlpm.Result="","",_xlpm.Result))</f>
        <v>#N/A</v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AB23">IFERROR(IF(_xlfn.XLOOKUP(B23,Input!J:J,Input!N:U)=0,"",
          _xlfn.XLOOKUP(B23,Input!J:J,Input!N:U)),"")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s="13" t="str">
        <v/>
      </c>
      <c r="AB23" s="13" t="str">
        <v/>
      </c>
      <c r="AC23" t="str">
        <f t="shared" si="2"/>
        <v/>
      </c>
      <c r="AD23" t="str">
        <f>_xlfn.XLOOKUP(B:B,Disk_Pivot!G:G,Disk_Pivot!I:I)</f>
        <v>Yes</v>
      </c>
      <c r="AE23" t="str">
        <f>_xlfn.XLOOKUP(B23,Disk_Pivot!G:G,Disk_Pivot!N:N)</f>
        <v>Fail</v>
      </c>
    </row>
    <row r="24" spans="1:31">
      <c r="A24" t="str">
        <f>_xlfn.TEXTJOIN("",TRUE,_xlfn.XLOOKUP(B24,Input!J:J,Input!G:G,"",0,1),_xlfn.XLOOKUP(B24,Input!J:J,Input!H:H,"",0,1))</f>
        <v/>
      </c>
      <c r="C24" s="13">
        <f>_xlfn.XLOOKUP(B24,Input!J:J,Input!F:F)</f>
        <v>0</v>
      </c>
      <c r="D24">
        <f>_xlfn.XLOOKUP(C24,Models!H:H,Models!G:G,C24)</f>
        <v>0</v>
      </c>
      <c r="F24" t="str">
        <f>_xlfn.XLOOKUP(H24,Models!B:B,Models!F:F,"")</f>
        <v/>
      </c>
      <c r="G24">
        <f>_xlfn.XLOOKUP(B24,Input!J:J,Input!E:E)</f>
        <v>0</v>
      </c>
      <c r="H24">
        <f>IF(G24="LENOVO",_xlfn.XLOOKUP(B24,Input!J:J,Input!K:K),_xlfn.XLOOKUP(B24,Input!J:J,Input!L:L))</f>
        <v>0</v>
      </c>
      <c r="K24">
        <f>_xlfn.XLOOKUP(B24,CPU_Formula!A:A,CPU_Formula!I:I)</f>
        <v>0</v>
      </c>
      <c r="L24" s="13" t="e">
        <f>INDEX(Input!$D$2:$AC$500,
       MATCH(B24, Input!$J$2:$J$500, 0),
       MATCH("Memory Capacity", Input!$D$1:$AC$1, 0))</f>
        <v>#N/A</v>
      </c>
      <c r="M24" s="13" t="e">
        <f>INDEX(Input!$D$2:$AC$500,
       MATCH(B24, Input!$J$2:$J$500, 0),
       MATCH("Memory Type", Input!$D$1:$AC$1,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e">
        <f>INDEX(Input!$D$2:$AC$500,
       MATCH(B24, Input!$J$2:$J$500, 0),
       MATCH("Disk Capacity", Input!$D$1:$AC$1, 0))</f>
        <v>#N/A</v>
      </c>
      <c r="S24" s="13" t="e">
        <f>_xlfn.LET(_xlpm.Result,INDEX(Input!$D$2:$AC$500,
       MATCH(B24, Input!$J$2:$J$500, 0),
       MATCH("Capacity", Input!$D$1:$AC$1, 0)),IF(_xlpm.Result="","",_xlpm.Result))</f>
        <v>#N/A</v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AB24">IFERROR(IF(_xlfn.XLOOKUP(B24,Input!J:J,Input!N:U)=0,"",
          _xlfn.XLOOKUP(B24,Input!J:J,Input!N:U)),"")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s="13" t="str">
        <v/>
      </c>
      <c r="AB24" s="13" t="str">
        <v/>
      </c>
      <c r="AC24" t="str">
        <f t="shared" si="2"/>
        <v/>
      </c>
      <c r="AD24" t="str">
        <f>_xlfn.XLOOKUP(B:B,Disk_Pivot!G:G,Disk_Pivot!I:I)</f>
        <v>Yes</v>
      </c>
      <c r="AE24" t="str">
        <f>_xlfn.XLOOKUP(B24,Disk_Pivot!G:G,Disk_Pivot!N:N)</f>
        <v>Fail</v>
      </c>
    </row>
    <row r="25" spans="1:31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str">
        <f>_xlfn.XLOOKUP(H25,Models!B:B,Models!F:F,"")</f>
        <v/>
      </c>
      <c r="G25">
        <f>_xlfn.XLOOKUP(B25,Input!J:J,Input!E:E)</f>
        <v>0</v>
      </c>
      <c r="H25">
        <f>IF(G25="LENOVO",_xlfn.XLOOKUP(B25,Input!J:J,Input!K:K),_xlfn.XLOOKUP(B25,Input!J:J,Input!L:L))</f>
        <v>0</v>
      </c>
      <c r="K25">
        <f>_xlfn.XLOOKUP(B25,CPU_Formula!A:A,CPU_Formula!I:I)</f>
        <v>0</v>
      </c>
      <c r="L25" s="13" t="e">
        <f>INDEX(Input!$D$2:$AC$500,
       MATCH(B25, Input!$J$2:$J$500, 0),
       MATCH("Memory Capacity", Input!$D$1:$AC$1, 0))</f>
        <v>#N/A</v>
      </c>
      <c r="M25" s="13" t="e">
        <f>INDEX(Input!$D$2:$AC$500,
       MATCH(B25, Input!$J$2:$J$500, 0),
       MATCH("Memory Type", Input!$D$1:$AC$1,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e">
        <f>INDEX(Input!$D$2:$AC$500,
       MATCH(B25, Input!$J$2:$J$500, 0),
       MATCH("Disk Capacity", Input!$D$1:$AC$1, 0))</f>
        <v>#N/A</v>
      </c>
      <c r="S25" s="13" t="e">
        <f>_xlfn.LET(_xlpm.Result,INDEX(Input!$D$2:$AC$500,
       MATCH(B25, Input!$J$2:$J$500, 0),
       MATCH("Capacity", Input!$D$1:$AC$1, 0)),IF(_xlpm.Result="","",_xlpm.Result))</f>
        <v>#N/A</v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AB25">IFERROR(IF(_xlfn.XLOOKUP(B25,Input!J:J,Input!N:U)=0,"",
          _xlfn.XLOOKUP(B25,Input!J:J,Input!N:U)),"")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s="13" t="str">
        <v/>
      </c>
      <c r="AB25" s="13" t="str">
        <v/>
      </c>
      <c r="AC25" t="str">
        <f t="shared" si="2"/>
        <v/>
      </c>
      <c r="AD25" t="str">
        <f>_xlfn.XLOOKUP(B:B,Disk_Pivot!G:G,Disk_Pivot!I:I)</f>
        <v>Yes</v>
      </c>
      <c r="AE25" t="str">
        <f>_xlfn.XLOOKUP(B25,Disk_Pivot!G:G,Disk_Pivot!N:N)</f>
        <v>Fail</v>
      </c>
    </row>
    <row r="26" spans="1:31">
      <c r="A26" t="str">
        <f>_xlfn.TEXTJOIN("",TRUE,_xlfn.XLOOKUP(B26,Input!J:J,Input!G:G,"",0,1),_xlfn.XLOOKUP(B26,Input!J:J,Input!H:H,"",0,1))</f>
        <v/>
      </c>
      <c r="C26" s="13">
        <f>_xlfn.XLOOKUP(B26,Input!J:J,Input!F:F)</f>
        <v>0</v>
      </c>
      <c r="D26">
        <f>_xlfn.XLOOKUP(C26,Models!H:H,Models!G:G,C26)</f>
        <v>0</v>
      </c>
      <c r="F26" t="str">
        <f>_xlfn.XLOOKUP(H26,Models!B:B,Models!F:F,"")</f>
        <v/>
      </c>
      <c r="G26">
        <f>_xlfn.XLOOKUP(B26,Input!J:J,Input!E:E)</f>
        <v>0</v>
      </c>
      <c r="H26">
        <f>IF(G26="LENOVO",_xlfn.XLOOKUP(B26,Input!J:J,Input!K:K),_xlfn.XLOOKUP(B26,Input!J:J,Input!L:L))</f>
        <v>0</v>
      </c>
      <c r="K26">
        <f>_xlfn.XLOOKUP(B26,CPU_Formula!A:A,CPU_Formula!I:I)</f>
        <v>0</v>
      </c>
      <c r="L26" s="13" t="e">
        <f>INDEX(Input!$D$2:$AC$500,
       MATCH(B26, Input!$J$2:$J$500, 0),
       MATCH("Memory Capacity", Input!$D$1:$AC$1, 0))</f>
        <v>#N/A</v>
      </c>
      <c r="M26" s="13" t="e">
        <f>INDEX(Input!$D$2:$AC$500,
       MATCH(B26, Input!$J$2:$J$500, 0),
       MATCH("Memory Type", Input!$D$1:$AC$1,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e">
        <f>INDEX(Input!$D$2:$AC$500,
       MATCH(B26, Input!$J$2:$J$500, 0),
       MATCH("Disk Capacity", Input!$D$1:$AC$1, 0))</f>
        <v>#N/A</v>
      </c>
      <c r="S26" s="13" t="e">
        <f>_xlfn.LET(_xlpm.Result,INDEX(Input!$D$2:$AC$500,
       MATCH(B26, Input!$J$2:$J$500, 0),
       MATCH("Capacity", Input!$D$1:$AC$1, 0)),IF(_xlpm.Result="","",_xlpm.Result))</f>
        <v>#N/A</v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AB26">IFERROR(IF(_xlfn.XLOOKUP(B26,Input!J:J,Input!N:U)=0,"",
          _xlfn.XLOOKUP(B26,Input!J:J,Input!N:U)),"")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s="13" t="str">
        <v/>
      </c>
      <c r="AB26" s="13" t="str">
        <v/>
      </c>
      <c r="AC26" t="str">
        <f t="shared" si="2"/>
        <v/>
      </c>
      <c r="AD26" t="str">
        <f>_xlfn.XLOOKUP(B:B,Disk_Pivot!G:G,Disk_Pivot!I:I)</f>
        <v>Yes</v>
      </c>
      <c r="AE26" t="str">
        <f>_xlfn.XLOOKUP(B26,Disk_Pivot!G:G,Disk_Pivot!N:N)</f>
        <v>Fail</v>
      </c>
    </row>
    <row r="27" spans="1:31">
      <c r="A27" t="str">
        <f>_xlfn.TEXTJOIN("",TRUE,_xlfn.XLOOKUP(B27,Input!J:J,Input!G:G,"",0,1),_xlfn.XLOOKUP(B27,Input!J:J,Input!H:H,"",0,1))</f>
        <v/>
      </c>
      <c r="C27" s="13">
        <f>_xlfn.XLOOKUP(B27,Input!J:J,Input!F:F)</f>
        <v>0</v>
      </c>
      <c r="D27">
        <f>_xlfn.XLOOKUP(C27,Models!H:H,Models!G:G,C27)</f>
        <v>0</v>
      </c>
      <c r="F27" t="str">
        <f>_xlfn.XLOOKUP(H27,Models!B:B,Models!F:F,"")</f>
        <v/>
      </c>
      <c r="G27">
        <f>_xlfn.XLOOKUP(B27,Input!J:J,Input!E:E)</f>
        <v>0</v>
      </c>
      <c r="H27">
        <f>IF(G27="LENOVO",_xlfn.XLOOKUP(B27,Input!J:J,Input!K:K),_xlfn.XLOOKUP(B27,Input!J:J,Input!L:L))</f>
        <v>0</v>
      </c>
      <c r="K27">
        <f>_xlfn.XLOOKUP(B27,CPU_Formula!A:A,CPU_Formula!I:I)</f>
        <v>0</v>
      </c>
      <c r="L27" s="13" t="e">
        <f>INDEX(Input!$D$2:$AC$500,
       MATCH(B27, Input!$J$2:$J$500, 0),
       MATCH("Memory Capacity", Input!$D$1:$AC$1, 0))</f>
        <v>#N/A</v>
      </c>
      <c r="M27" s="13" t="e">
        <f>INDEX(Input!$D$2:$AC$500,
       MATCH(B27, Input!$J$2:$J$500, 0),
       MATCH("Memory Type", Input!$D$1:$AC$1,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e">
        <f>INDEX(Input!$D$2:$AC$500,
       MATCH(B27, Input!$J$2:$J$500, 0),
       MATCH("Disk Capacity", Input!$D$1:$AC$1, 0))</f>
        <v>#N/A</v>
      </c>
      <c r="S27" s="13" t="e">
        <f>_xlfn.LET(_xlpm.Result,INDEX(Input!$D$2:$AC$500,
       MATCH(B27, Input!$J$2:$J$500, 0),
       MATCH("Capacity", Input!$D$1:$AC$1, 0)),IF(_xlpm.Result="","",_xlpm.Result))</f>
        <v>#N/A</v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AB27">IFERROR(IF(_xlfn.XLOOKUP(B27,Input!J:J,Input!N:U)=0,"",
          _xlfn.XLOOKUP(B27,Input!J:J,Input!N:U)),"")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s="13" t="str">
        <v/>
      </c>
      <c r="AB27" s="13" t="str">
        <v/>
      </c>
      <c r="AC27" t="str">
        <f t="shared" si="2"/>
        <v/>
      </c>
      <c r="AD27" t="str">
        <f>_xlfn.XLOOKUP(B:B,Disk_Pivot!G:G,Disk_Pivot!I:I)</f>
        <v>Yes</v>
      </c>
      <c r="AE27" t="str">
        <f>_xlfn.XLOOKUP(B27,Disk_Pivot!G:G,Disk_Pivot!N:N)</f>
        <v>Fail</v>
      </c>
    </row>
    <row r="28" spans="1:31">
      <c r="A28" t="str">
        <f>_xlfn.TEXTJOIN("",TRUE,_xlfn.XLOOKUP(B28,Input!J:J,Input!G:G,"",0,1),_xlfn.XLOOKUP(B28,Input!J:J,Input!H:H,"",0,1))</f>
        <v/>
      </c>
      <c r="C28" s="13">
        <f>_xlfn.XLOOKUP(B28,Input!J:J,Input!F:F)</f>
        <v>0</v>
      </c>
      <c r="D28">
        <f>_xlfn.XLOOKUP(C28,Models!H:H,Models!G:G,C28)</f>
        <v>0</v>
      </c>
      <c r="F28" t="str">
        <f>_xlfn.XLOOKUP(H28,Models!B:B,Models!F:F,"")</f>
        <v/>
      </c>
      <c r="G28">
        <f>_xlfn.XLOOKUP(B28,Input!J:J,Input!E:E)</f>
        <v>0</v>
      </c>
      <c r="H28">
        <f>IF(G28="LENOVO",_xlfn.XLOOKUP(B28,Input!J:J,Input!K:K),_xlfn.XLOOKUP(B28,Input!J:J,Input!L:L))</f>
        <v>0</v>
      </c>
      <c r="K28">
        <f>_xlfn.XLOOKUP(B28,CPU_Formula!A:A,CPU_Formula!I:I)</f>
        <v>0</v>
      </c>
      <c r="L28" s="13" t="e">
        <f>INDEX(Input!$D$2:$AC$500,
       MATCH(B28, Input!$J$2:$J$500, 0),
       MATCH("Memory Capacity", Input!$D$1:$AC$1, 0))</f>
        <v>#N/A</v>
      </c>
      <c r="M28" s="13" t="e">
        <f>INDEX(Input!$D$2:$AC$500,
       MATCH(B28, Input!$J$2:$J$500, 0),
       MATCH("Memory Type", Input!$D$1:$AC$1,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e">
        <f>INDEX(Input!$D$2:$AC$500,
       MATCH(B28, Input!$J$2:$J$500, 0),
       MATCH("Disk Capacity", Input!$D$1:$AC$1, 0))</f>
        <v>#N/A</v>
      </c>
      <c r="S28" s="13" t="e">
        <f>_xlfn.LET(_xlpm.Result,INDEX(Input!$D$2:$AC$500,
       MATCH(B28, Input!$J$2:$J$500, 0),
       MATCH("Capacity", Input!$D$1:$AC$1, 0)),IF(_xlpm.Result="","",_xlpm.Result))</f>
        <v>#N/A</v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AB28">IFERROR(IF(_xlfn.XLOOKUP(B28,Input!J:J,Input!N:U)=0,"",
          _xlfn.XLOOKUP(B28,Input!J:J,Input!N:U)),"")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s="13" t="str">
        <v/>
      </c>
      <c r="AB28" s="13" t="str">
        <v/>
      </c>
      <c r="AC28" t="str">
        <f t="shared" si="2"/>
        <v/>
      </c>
      <c r="AD28" t="str">
        <f>_xlfn.XLOOKUP(B:B,Disk_Pivot!G:G,Disk_Pivot!I:I)</f>
        <v>Yes</v>
      </c>
      <c r="AE28" t="str">
        <f>_xlfn.XLOOKUP(B28,Disk_Pivot!G:G,Disk_Pivot!N:N)</f>
        <v>Fail</v>
      </c>
    </row>
    <row r="29" spans="1:31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INDEX(Input!$D$2:$AC$500,
       MATCH(B29, Input!$J$2:$J$500, 0),
       MATCH("Memory Capacity", Input!$D$1:$AC$1, 0))</f>
        <v>#N/A</v>
      </c>
      <c r="M29" s="13" t="e">
        <f>INDEX(Input!$D$2:$AC$500,
       MATCH(B29, Input!$J$2:$J$500, 0),
       MATCH("Memory Type", Input!$D$1:$AC$1,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e">
        <f>INDEX(Input!$D$2:$AC$500,
       MATCH(B29, Input!$J$2:$J$500, 0),
       MATCH("Disk Capacity", Input!$D$1:$AC$1, 0))</f>
        <v>#N/A</v>
      </c>
      <c r="S29" s="13" t="e">
        <f>_xlfn.LET(_xlpm.Result,INDEX(Input!$D$2:$AC$500,
       MATCH(B29, Input!$J$2:$J$500, 0),
       MATCH("Capacity", Input!$D$1:$AC$1, 0)),IF(_xlpm.Result="","",_xlpm.Result))</f>
        <v>#N/A</v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AB29">IFERROR(IF(_xlfn.XLOOKUP(B29,Input!J:J,Input!N:U)=0,"",
          _xlfn.XLOOKUP(B29,Input!J:J,Input!N:U)),"")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s="13" t="str">
        <v/>
      </c>
      <c r="AB29" s="13" t="str">
        <v/>
      </c>
      <c r="AC29" t="str">
        <f t="shared" si="2"/>
        <v/>
      </c>
      <c r="AD29" t="str">
        <f>_xlfn.XLOOKUP(B:B,Disk_Pivot!G:G,Disk_Pivot!I:I)</f>
        <v>Yes</v>
      </c>
      <c r="AE29" t="str">
        <f>_xlfn.XLOOKUP(B29,Disk_Pivot!G:G,Disk_Pivot!N:N)</f>
        <v>Fail</v>
      </c>
    </row>
    <row r="30" spans="1:31">
      <c r="A30" t="str">
        <f>_xlfn.TEXTJOIN("",TRUE,_xlfn.XLOOKUP(B30,Input!J:J,Input!G:G,"",0,1),_xlfn.XLOOKUP(B30,Input!J:J,Input!H:H,"",0,1))</f>
        <v/>
      </c>
      <c r="C30" s="13">
        <f>_xlfn.XLOOKUP(B30,Input!J:J,Input!F:F)</f>
        <v>0</v>
      </c>
      <c r="D30">
        <f>_xlfn.XLOOKUP(C30,Models!H:H,Models!G:G,C30)</f>
        <v>0</v>
      </c>
      <c r="F30" t="str">
        <f>_xlfn.XLOOKUP(H30,Models!B:B,Models!F:F,"")</f>
        <v/>
      </c>
      <c r="G30">
        <f>_xlfn.XLOOKUP(B30,Input!J:J,Input!E:E)</f>
        <v>0</v>
      </c>
      <c r="H30">
        <f>IF(G30="LENOVO",_xlfn.XLOOKUP(B30,Input!J:J,Input!K:K),_xlfn.XLOOKUP(B30,Input!J:J,Input!L:L))</f>
        <v>0</v>
      </c>
      <c r="K30">
        <f>_xlfn.XLOOKUP(B30,CPU_Formula!A:A,CPU_Formula!I:I)</f>
        <v>0</v>
      </c>
      <c r="L30" s="13" t="e">
        <f>INDEX(Input!$D$2:$AC$500,
       MATCH(B30, Input!$J$2:$J$500, 0),
       MATCH("Memory Capacity", Input!$D$1:$AC$1, 0))</f>
        <v>#N/A</v>
      </c>
      <c r="M30" s="13" t="e">
        <f>INDEX(Input!$D$2:$AC$500,
       MATCH(B30, Input!$J$2:$J$500, 0),
       MATCH("Memory Type", Input!$D$1:$AC$1,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e">
        <f>INDEX(Input!$D$2:$AC$500,
       MATCH(B30, Input!$J$2:$J$500, 0),
       MATCH("Disk Capacity", Input!$D$1:$AC$1, 0))</f>
        <v>#N/A</v>
      </c>
      <c r="S30" s="13" t="e">
        <f>_xlfn.LET(_xlpm.Result,INDEX(Input!$D$2:$AC$500,
       MATCH(B30, Input!$J$2:$J$500, 0),
       MATCH("Capacity", Input!$D$1:$AC$1, 0)),IF(_xlpm.Result="","",_xlpm.Result))</f>
        <v>#N/A</v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AB30">IFERROR(IF(_xlfn.XLOOKUP(B30,Input!J:J,Input!N:U)=0,"",
          _xlfn.XLOOKUP(B30,Input!J:J,Input!N:U)),"")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s="13" t="str">
        <v/>
      </c>
      <c r="AB30" s="13" t="str">
        <v/>
      </c>
      <c r="AC30" t="str">
        <f t="shared" si="2"/>
        <v/>
      </c>
      <c r="AD30" t="str">
        <f>_xlfn.XLOOKUP(B:B,Disk_Pivot!G:G,Disk_Pivot!I:I)</f>
        <v>Yes</v>
      </c>
      <c r="AE30" t="str">
        <f>_xlfn.XLOOKUP(B30,Disk_Pivot!G:G,Disk_Pivot!N:N)</f>
        <v>Fail</v>
      </c>
    </row>
    <row r="31" spans="1:31">
      <c r="A31" t="str">
        <f>_xlfn.TEXTJOIN("",TRUE,_xlfn.XLOOKUP(B31,Input!J:J,Input!G:G,"",0,1),_xlfn.XLOOKUP(B31,Input!J:J,Input!H:H,"",0,1))</f>
        <v/>
      </c>
      <c r="C31" s="13">
        <f>_xlfn.XLOOKUP(B31,Input!J:J,Input!F:F)</f>
        <v>0</v>
      </c>
      <c r="D31">
        <f>_xlfn.XLOOKUP(C31,Models!H:H,Models!G:G,C31)</f>
        <v>0</v>
      </c>
      <c r="F31" t="str">
        <f>_xlfn.XLOOKUP(H31,Models!B:B,Models!F:F,"")</f>
        <v/>
      </c>
      <c r="G31">
        <f>_xlfn.XLOOKUP(B31,Input!J:J,Input!E:E)</f>
        <v>0</v>
      </c>
      <c r="H31">
        <f>IF(G31="LENOVO",_xlfn.XLOOKUP(B31,Input!J:J,Input!K:K),_xlfn.XLOOKUP(B31,Input!J:J,Input!L:L))</f>
        <v>0</v>
      </c>
      <c r="K31">
        <f>_xlfn.XLOOKUP(B31,CPU_Formula!A:A,CPU_Formula!I:I)</f>
        <v>0</v>
      </c>
      <c r="L31" s="13" t="e">
        <f>INDEX(Input!$D$2:$AC$500,
       MATCH(B31, Input!$J$2:$J$500, 0),
       MATCH("Memory Capacity", Input!$D$1:$AC$1, 0))</f>
        <v>#N/A</v>
      </c>
      <c r="M31" s="13" t="e">
        <f>INDEX(Input!$D$2:$AC$500,
       MATCH(B31, Input!$J$2:$J$500, 0),
       MATCH("Memory Type", Input!$D$1:$AC$1,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e">
        <f>INDEX(Input!$D$2:$AC$500,
       MATCH(B31, Input!$J$2:$J$500, 0),
       MATCH("Disk Capacity", Input!$D$1:$AC$1, 0))</f>
        <v>#N/A</v>
      </c>
      <c r="S31" s="13" t="e">
        <f>_xlfn.LET(_xlpm.Result,INDEX(Input!$D$2:$AC$500,
       MATCH(B31, Input!$J$2:$J$500, 0),
       MATCH("Capacity", Input!$D$1:$AC$1, 0)),IF(_xlpm.Result="","",_xlpm.Result))</f>
        <v>#N/A</v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AB31">IFERROR(IF(_xlfn.XLOOKUP(B31,Input!J:J,Input!N:U)=0,"",
          _xlfn.XLOOKUP(B31,Input!J:J,Input!N:U)),"")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s="13" t="str">
        <v/>
      </c>
      <c r="AB31" s="13" t="str">
        <v/>
      </c>
      <c r="AC31" t="str">
        <f t="shared" si="2"/>
        <v/>
      </c>
      <c r="AD31" t="str">
        <f>_xlfn.XLOOKUP(B:B,Disk_Pivot!G:G,Disk_Pivot!I:I)</f>
        <v>Yes</v>
      </c>
      <c r="AE31" t="str">
        <f>_xlfn.XLOOKUP(B31,Disk_Pivot!G:G,Disk_Pivot!N:N)</f>
        <v>Fail</v>
      </c>
    </row>
    <row r="32" spans="1:31">
      <c r="A32" t="str">
        <f>_xlfn.TEXTJOIN("",TRUE,_xlfn.XLOOKUP(B32,Input!J:J,Input!G:G,"",0,1),_xlfn.XLOOKUP(B32,Input!J:J,Input!H:H,"",0,1))</f>
        <v/>
      </c>
      <c r="C32" s="13">
        <f>_xlfn.XLOOKUP(B32,Input!J:J,Input!F:F)</f>
        <v>0</v>
      </c>
      <c r="D32">
        <f>_xlfn.XLOOKUP(C32,Models!H:H,Models!G:G,C32)</f>
        <v>0</v>
      </c>
      <c r="F32" t="str">
        <f>_xlfn.XLOOKUP(H32,Models!B:B,Models!F:F,"")</f>
        <v/>
      </c>
      <c r="G32">
        <f>_xlfn.XLOOKUP(B32,Input!J:J,Input!E:E)</f>
        <v>0</v>
      </c>
      <c r="H32">
        <f>IF(G32="LENOVO",_xlfn.XLOOKUP(B32,Input!J:J,Input!K:K),_xlfn.XLOOKUP(B32,Input!J:J,Input!L:L))</f>
        <v>0</v>
      </c>
      <c r="K32">
        <f>_xlfn.XLOOKUP(B32,CPU_Formula!A:A,CPU_Formula!I:I)</f>
        <v>0</v>
      </c>
      <c r="L32" s="13" t="e">
        <f>INDEX(Input!$D$2:$AC$500,
       MATCH(B32, Input!$J$2:$J$500, 0),
       MATCH("Memory Capacity", Input!$D$1:$AC$1, 0))</f>
        <v>#N/A</v>
      </c>
      <c r="M32" s="13" t="e">
        <f>INDEX(Input!$D$2:$AC$500,
       MATCH(B32, Input!$J$2:$J$500, 0),
       MATCH("Memory Type", Input!$D$1:$AC$1,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e">
        <f>INDEX(Input!$D$2:$AC$500,
       MATCH(B32, Input!$J$2:$J$500, 0),
       MATCH("Disk Capacity", Input!$D$1:$AC$1, 0))</f>
        <v>#N/A</v>
      </c>
      <c r="S32" s="13" t="e">
        <f>_xlfn.LET(_xlpm.Result,INDEX(Input!$D$2:$AC$500,
       MATCH(B32, Input!$J$2:$J$500, 0),
       MATCH("Capacity", Input!$D$1:$AC$1, 0)),IF(_xlpm.Result="","",_xlpm.Result))</f>
        <v>#N/A</v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AB32">IFERROR(IF(_xlfn.XLOOKUP(B32,Input!J:J,Input!N:U)=0,"",
          _xlfn.XLOOKUP(B32,Input!J:J,Input!N:U)),"")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s="13" t="str">
        <v/>
      </c>
      <c r="AB32" s="13" t="str">
        <v/>
      </c>
      <c r="AC32" t="str">
        <f t="shared" si="2"/>
        <v/>
      </c>
      <c r="AD32" t="str">
        <f>_xlfn.XLOOKUP(B:B,Disk_Pivot!G:G,Disk_Pivot!I:I)</f>
        <v>Yes</v>
      </c>
      <c r="AE32" t="str">
        <f>_xlfn.XLOOKUP(B32,Disk_Pivot!G:G,Disk_Pivot!N:N)</f>
        <v>Fail</v>
      </c>
    </row>
    <row r="33" spans="1:31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str">
        <f>_xlfn.XLOOKUP(H33,Models!B:B,Models!F:F,"")</f>
        <v/>
      </c>
      <c r="G33">
        <f>_xlfn.XLOOKUP(B33,Input!J:J,Input!E:E)</f>
        <v>0</v>
      </c>
      <c r="H33">
        <f>IF(G33="LENOVO",_xlfn.XLOOKUP(B33,Input!J:J,Input!K:K),_xlfn.XLOOKUP(B33,Input!J:J,Input!L:L))</f>
        <v>0</v>
      </c>
      <c r="K33">
        <f>_xlfn.XLOOKUP(B33,CPU_Formula!A:A,CPU_Formula!I:I)</f>
        <v>0</v>
      </c>
      <c r="L33" s="13" t="e">
        <f>INDEX(Input!$D$2:$AC$500,
       MATCH(B33, Input!$J$2:$J$500, 0),
       MATCH("Memory Capacity", Input!$D$1:$AC$1, 0))</f>
        <v>#N/A</v>
      </c>
      <c r="M33" s="13" t="e">
        <f>INDEX(Input!$D$2:$AC$500,
       MATCH(B33, Input!$J$2:$J$500, 0),
       MATCH("Memory Type", Input!$D$1:$AC$1,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e">
        <f>INDEX(Input!$D$2:$AC$500,
       MATCH(B33, Input!$J$2:$J$500, 0),
       MATCH("Disk Capacity", Input!$D$1:$AC$1, 0))</f>
        <v>#N/A</v>
      </c>
      <c r="S33" s="13" t="e">
        <f>_xlfn.LET(_xlpm.Result,INDEX(Input!$D$2:$AC$500,
       MATCH(B33, Input!$J$2:$J$500, 0),
       MATCH("Capacity", Input!$D$1:$AC$1, 0)),IF(_xlpm.Result="","",_xlpm.Result))</f>
        <v>#N/A</v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AB33">IFERROR(IF(_xlfn.XLOOKUP(B33,Input!J:J,Input!N:U)=0,"",
          _xlfn.XLOOKUP(B33,Input!J:J,Input!N:U)),"")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s="13" t="str">
        <v/>
      </c>
      <c r="AB33" s="13" t="str">
        <v/>
      </c>
      <c r="AC33" t="str">
        <f t="shared" si="2"/>
        <v/>
      </c>
      <c r="AD33" t="str">
        <f>_xlfn.XLOOKUP(B:B,Disk_Pivot!G:G,Disk_Pivot!I:I)</f>
        <v>Yes</v>
      </c>
      <c r="AE33" t="str">
        <f>_xlfn.XLOOKUP(B33,Disk_Pivot!G:G,Disk_Pivot!N:N)</f>
        <v>Fail</v>
      </c>
    </row>
    <row r="34" spans="1:31">
      <c r="A34" t="str">
        <f>_xlfn.TEXTJOIN("",TRUE,_xlfn.XLOOKUP(B34,Input!J:J,Input!G:G,"",0,1),_xlfn.XLOOKUP(B34,Input!J:J,Input!H:H,"",0,1))</f>
        <v/>
      </c>
      <c r="C34" s="13">
        <f>_xlfn.XLOOKUP(B34,Input!J:J,Input!F:F)</f>
        <v>0</v>
      </c>
      <c r="D34">
        <f>_xlfn.XLOOKUP(C34,Models!H:H,Models!G:G,C34)</f>
        <v>0</v>
      </c>
      <c r="F34" t="str">
        <f>_xlfn.XLOOKUP(H34,Models!B:B,Models!F:F,"")</f>
        <v/>
      </c>
      <c r="G34">
        <f>_xlfn.XLOOKUP(B34,Input!J:J,Input!E:E)</f>
        <v>0</v>
      </c>
      <c r="H34">
        <f>IF(G34="LENOVO",_xlfn.XLOOKUP(B34,Input!J:J,Input!K:K),_xlfn.XLOOKUP(B34,Input!J:J,Input!L:L))</f>
        <v>0</v>
      </c>
      <c r="K34">
        <f>_xlfn.XLOOKUP(B34,CPU_Formula!A:A,CPU_Formula!I:I)</f>
        <v>0</v>
      </c>
      <c r="L34" s="13" t="e">
        <f>INDEX(Input!$D$2:$AC$500,
       MATCH(B34, Input!$J$2:$J$500, 0),
       MATCH("Memory Capacity", Input!$D$1:$AC$1, 0))</f>
        <v>#N/A</v>
      </c>
      <c r="M34" s="13" t="e">
        <f>INDEX(Input!$D$2:$AC$500,
       MATCH(B34, Input!$J$2:$J$500, 0),
       MATCH("Memory Type", Input!$D$1:$AC$1,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e">
        <f>INDEX(Input!$D$2:$AC$500,
       MATCH(B34, Input!$J$2:$J$500, 0),
       MATCH("Disk Capacity", Input!$D$1:$AC$1, 0))</f>
        <v>#N/A</v>
      </c>
      <c r="S34" s="13" t="e">
        <f>_xlfn.LET(_xlpm.Result,INDEX(Input!$D$2:$AC$500,
       MATCH(B34, Input!$J$2:$J$500, 0),
       MATCH("Capacity", Input!$D$1:$AC$1, 0)),IF(_xlpm.Result="","",_xlpm.Result))</f>
        <v>#N/A</v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AB34">IFERROR(IF(_xlfn.XLOOKUP(B34,Input!J:J,Input!N:U)=0,"",
          _xlfn.XLOOKUP(B34,Input!J:J,Input!N:U)),"")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s="13" t="str">
        <v/>
      </c>
      <c r="AB34" s="13" t="str">
        <v/>
      </c>
      <c r="AC34" t="str">
        <f t="shared" si="2"/>
        <v/>
      </c>
      <c r="AD34" t="str">
        <f>_xlfn.XLOOKUP(B:B,Disk_Pivot!G:G,Disk_Pivot!I:I)</f>
        <v>Yes</v>
      </c>
      <c r="AE34" t="str">
        <f>_xlfn.XLOOKUP(B34,Disk_Pivot!G:G,Disk_Pivot!N:N)</f>
        <v>Fail</v>
      </c>
    </row>
    <row r="35" spans="1:31">
      <c r="A35" t="str">
        <f>_xlfn.TEXTJOIN("",TRUE,_xlfn.XLOOKUP(B35,Input!J:J,Input!G:G,"",0,1),_xlfn.XLOOKUP(B35,Input!J:J,Input!H:H,"",0,1))</f>
        <v/>
      </c>
      <c r="C35" s="13">
        <f>_xlfn.XLOOKUP(B35,Input!J:J,Input!F:F)</f>
        <v>0</v>
      </c>
      <c r="D35">
        <f>_xlfn.XLOOKUP(C35,Models!H:H,Models!G:G,C35)</f>
        <v>0</v>
      </c>
      <c r="F35" t="str">
        <f>_xlfn.XLOOKUP(H35,Models!B:B,Models!F:F,"")</f>
        <v/>
      </c>
      <c r="G35">
        <f>_xlfn.XLOOKUP(B35,Input!J:J,Input!E:E)</f>
        <v>0</v>
      </c>
      <c r="H35">
        <f>IF(G35="LENOVO",_xlfn.XLOOKUP(B35,Input!J:J,Input!K:K),_xlfn.XLOOKUP(B35,Input!J:J,Input!L:L))</f>
        <v>0</v>
      </c>
      <c r="K35">
        <f>_xlfn.XLOOKUP(B35,CPU_Formula!A:A,CPU_Formula!I:I)</f>
        <v>0</v>
      </c>
      <c r="L35" s="13" t="e">
        <f>INDEX(Input!$D$2:$AC$500,
       MATCH(B35, Input!$J$2:$J$500, 0),
       MATCH("Memory Capacity", Input!$D$1:$AC$1, 0))</f>
        <v>#N/A</v>
      </c>
      <c r="M35" s="13" t="e">
        <f>INDEX(Input!$D$2:$AC$500,
       MATCH(B35, Input!$J$2:$J$500, 0),
       MATCH("Memory Type", Input!$D$1:$AC$1,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e">
        <f>INDEX(Input!$D$2:$AC$500,
       MATCH(B35, Input!$J$2:$J$500, 0),
       MATCH("Disk Capacity", Input!$D$1:$AC$1, 0))</f>
        <v>#N/A</v>
      </c>
      <c r="S35" s="13" t="e">
        <f>_xlfn.LET(_xlpm.Result,INDEX(Input!$D$2:$AC$500,
       MATCH(B35, Input!$J$2:$J$500, 0),
       MATCH("Capacity", Input!$D$1:$AC$1, 0)),IF(_xlpm.Result="","",_xlpm.Result))</f>
        <v>#N/A</v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AB35">IFERROR(IF(_xlfn.XLOOKUP(B35,Input!J:J,Input!N:U)=0,"",
          _xlfn.XLOOKUP(B35,Input!J:J,Input!N:U)),"")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s="13" t="str">
        <v/>
      </c>
      <c r="AB35" s="13" t="str">
        <v/>
      </c>
      <c r="AC35" t="str">
        <f t="shared" si="2"/>
        <v/>
      </c>
      <c r="AD35" t="str">
        <f>_xlfn.XLOOKUP(B:B,Disk_Pivot!G:G,Disk_Pivot!I:I)</f>
        <v>Yes</v>
      </c>
      <c r="AE35" t="str">
        <f>_xlfn.XLOOKUP(B35,Disk_Pivot!G:G,Disk_Pivot!N:N)</f>
        <v>Fail</v>
      </c>
    </row>
    <row r="36" spans="1:31">
      <c r="A36" t="str">
        <f>_xlfn.TEXTJOIN("",TRUE,_xlfn.XLOOKUP(B36,Input!J:J,Input!G:G,"",0,1),_xlfn.XLOOKUP(B36,Input!J:J,Input!H:H,"",0,1))</f>
        <v/>
      </c>
      <c r="C36" s="13">
        <f>_xlfn.XLOOKUP(B36,Input!J:J,Input!F:F)</f>
        <v>0</v>
      </c>
      <c r="D36">
        <f>_xlfn.XLOOKUP(C36,Models!H:H,Models!G:G,C36)</f>
        <v>0</v>
      </c>
      <c r="F36" t="str">
        <f>_xlfn.XLOOKUP(H36,Models!B:B,Models!F:F,"")</f>
        <v/>
      </c>
      <c r="G36">
        <f>_xlfn.XLOOKUP(B36,Input!J:J,Input!E:E)</f>
        <v>0</v>
      </c>
      <c r="H36">
        <f>IF(G36="LENOVO",_xlfn.XLOOKUP(B36,Input!J:J,Input!K:K),_xlfn.XLOOKUP(B36,Input!J:J,Input!L:L))</f>
        <v>0</v>
      </c>
      <c r="K36">
        <f>_xlfn.XLOOKUP(B36,CPU_Formula!A:A,CPU_Formula!I:I)</f>
        <v>0</v>
      </c>
      <c r="L36" s="13" t="e">
        <f>INDEX(Input!$D$2:$AC$500,
       MATCH(B36, Input!$J$2:$J$500, 0),
       MATCH("Memory Capacity", Input!$D$1:$AC$1, 0))</f>
        <v>#N/A</v>
      </c>
      <c r="M36" s="13" t="e">
        <f>INDEX(Input!$D$2:$AC$500,
       MATCH(B36, Input!$J$2:$J$500, 0),
       MATCH("Memory Type", Input!$D$1:$AC$1,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e">
        <f>INDEX(Input!$D$2:$AC$500,
       MATCH(B36, Input!$J$2:$J$500, 0),
       MATCH("Disk Capacity", Input!$D$1:$AC$1, 0))</f>
        <v>#N/A</v>
      </c>
      <c r="S36" s="13" t="e">
        <f>_xlfn.LET(_xlpm.Result,INDEX(Input!$D$2:$AC$500,
       MATCH(B36, Input!$J$2:$J$500, 0),
       MATCH("Capacity", Input!$D$1:$AC$1, 0)),IF(_xlpm.Result="","",_xlpm.Result))</f>
        <v>#N/A</v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AB36">IFERROR(IF(_xlfn.XLOOKUP(B36,Input!J:J,Input!N:U)=0,"",
          _xlfn.XLOOKUP(B36,Input!J:J,Input!N:U)),"")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s="13" t="str">
        <v/>
      </c>
      <c r="AB36" s="13" t="str">
        <v/>
      </c>
      <c r="AC36" t="str">
        <f t="shared" si="2"/>
        <v/>
      </c>
      <c r="AD36" t="str">
        <f>_xlfn.XLOOKUP(B:B,Disk_Pivot!G:G,Disk_Pivot!I:I)</f>
        <v>Yes</v>
      </c>
      <c r="AE36" t="str">
        <f>_xlfn.XLOOKUP(B36,Disk_Pivot!G:G,Disk_Pivot!N:N)</f>
        <v>Fail</v>
      </c>
    </row>
    <row r="37" spans="1:31">
      <c r="A37" t="str">
        <f>_xlfn.TEXTJOIN("",TRUE,_xlfn.XLOOKUP(B37,Input!J:J,Input!G:G,"",0,1),_xlfn.XLOOKUP(B37,Input!J:J,Input!H:H,"",0,1))</f>
        <v/>
      </c>
      <c r="C37" s="13">
        <f>_xlfn.XLOOKUP(B37,Input!J:J,Input!F:F)</f>
        <v>0</v>
      </c>
      <c r="D37">
        <f>_xlfn.XLOOKUP(C37,Models!H:H,Models!G:G,C37)</f>
        <v>0</v>
      </c>
      <c r="F37" t="str">
        <f>_xlfn.XLOOKUP(H37,Models!B:B,Models!F:F,"")</f>
        <v/>
      </c>
      <c r="G37">
        <f>_xlfn.XLOOKUP(B37,Input!J:J,Input!E:E)</f>
        <v>0</v>
      </c>
      <c r="H37">
        <f>IF(G37="LENOVO",_xlfn.XLOOKUP(B37,Input!J:J,Input!K:K),_xlfn.XLOOKUP(B37,Input!J:J,Input!L:L))</f>
        <v>0</v>
      </c>
      <c r="K37">
        <f>_xlfn.XLOOKUP(B37,CPU_Formula!A:A,CPU_Formula!I:I)</f>
        <v>0</v>
      </c>
      <c r="L37" s="13" t="e">
        <f>INDEX(Input!$D$2:$AC$500,
       MATCH(B37, Input!$J$2:$J$500, 0),
       MATCH("Memory Capacity", Input!$D$1:$AC$1, 0))</f>
        <v>#N/A</v>
      </c>
      <c r="M37" s="13" t="e">
        <f>INDEX(Input!$D$2:$AC$500,
       MATCH(B37, Input!$J$2:$J$500, 0),
       MATCH("Memory Type", Input!$D$1:$AC$1,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e">
        <f>INDEX(Input!$D$2:$AC$500,
       MATCH(B37, Input!$J$2:$J$500, 0),
       MATCH("Disk Capacity", Input!$D$1:$AC$1, 0))</f>
        <v>#N/A</v>
      </c>
      <c r="S37" s="13" t="e">
        <f>_xlfn.LET(_xlpm.Result,INDEX(Input!$D$2:$AC$500,
       MATCH(B37, Input!$J$2:$J$500, 0),
       MATCH("Capacity", Input!$D$1:$AC$1, 0)),IF(_xlpm.Result="","",_xlpm.Result))</f>
        <v>#N/A</v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AB37">IFERROR(IF(_xlfn.XLOOKUP(B37,Input!J:J,Input!N:U)=0,"",
          _xlfn.XLOOKUP(B37,Input!J:J,Input!N:U)),"")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s="13" t="str">
        <v/>
      </c>
      <c r="AB37" s="13" t="str">
        <v/>
      </c>
      <c r="AC37" t="str">
        <f t="shared" si="2"/>
        <v/>
      </c>
      <c r="AD37" t="str">
        <f>_xlfn.XLOOKUP(B:B,Disk_Pivot!G:G,Disk_Pivot!I:I)</f>
        <v>Yes</v>
      </c>
      <c r="AE37" t="str">
        <f>_xlfn.XLOOKUP(B37,Disk_Pivot!G:G,Disk_Pivot!N:N)</f>
        <v>Fail</v>
      </c>
    </row>
    <row r="38" spans="1:31">
      <c r="A38" t="str">
        <f>_xlfn.TEXTJOIN("",TRUE,_xlfn.XLOOKUP(B38,Input!J:J,Input!G:G,"",0,1),_xlfn.XLOOKUP(B38,Input!J:J,Input!H:H,"",0,1))</f>
        <v/>
      </c>
      <c r="C38" s="13">
        <f>_xlfn.XLOOKUP(B38,Input!J:J,Input!F:F)</f>
        <v>0</v>
      </c>
      <c r="D38">
        <f>_xlfn.XLOOKUP(C38,Models!H:H,Models!G:G,C38)</f>
        <v>0</v>
      </c>
      <c r="F38" t="str">
        <f>_xlfn.XLOOKUP(H38,Models!B:B,Models!F:F,"")</f>
        <v/>
      </c>
      <c r="G38">
        <f>_xlfn.XLOOKUP(B38,Input!J:J,Input!E:E)</f>
        <v>0</v>
      </c>
      <c r="H38">
        <f>IF(G38="LENOVO",_xlfn.XLOOKUP(B38,Input!J:J,Input!K:K),_xlfn.XLOOKUP(B38,Input!J:J,Input!L:L))</f>
        <v>0</v>
      </c>
      <c r="K38">
        <f>_xlfn.XLOOKUP(B38,CPU_Formula!A:A,CPU_Formula!I:I)</f>
        <v>0</v>
      </c>
      <c r="L38" s="13" t="e">
        <f>INDEX(Input!$D$2:$AC$500,
       MATCH(B38, Input!$J$2:$J$500, 0),
       MATCH("Memory Capacity", Input!$D$1:$AC$1, 0))</f>
        <v>#N/A</v>
      </c>
      <c r="M38" s="13" t="e">
        <f>INDEX(Input!$D$2:$AC$500,
       MATCH(B38, Input!$J$2:$J$500, 0),
       MATCH("Memory Type", Input!$D$1:$AC$1,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e">
        <f>INDEX(Input!$D$2:$AC$500,
       MATCH(B38, Input!$J$2:$J$500, 0),
       MATCH("Disk Capacity", Input!$D$1:$AC$1, 0))</f>
        <v>#N/A</v>
      </c>
      <c r="S38" s="13" t="e">
        <f>_xlfn.LET(_xlpm.Result,INDEX(Input!$D$2:$AC$500,
       MATCH(B38, Input!$J$2:$J$500, 0),
       MATCH("Capacity", Input!$D$1:$AC$1, 0)),IF(_xlpm.Result="","",_xlpm.Result))</f>
        <v>#N/A</v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AB38">IFERROR(IF(_xlfn.XLOOKUP(B38,Input!J:J,Input!N:U)=0,"",
          _xlfn.XLOOKUP(B38,Input!J:J,Input!N:U)),"")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s="13" t="str">
        <v/>
      </c>
      <c r="AB38" s="13" t="str">
        <v/>
      </c>
      <c r="AC38" t="str">
        <f t="shared" si="2"/>
        <v/>
      </c>
      <c r="AD38" t="str">
        <f>_xlfn.XLOOKUP(B:B,Disk_Pivot!G:G,Disk_Pivot!I:I)</f>
        <v>Yes</v>
      </c>
      <c r="AE38" t="str">
        <f>_xlfn.XLOOKUP(B38,Disk_Pivot!G:G,Disk_Pivot!N:N)</f>
        <v>Fail</v>
      </c>
    </row>
    <row r="39" spans="1:31">
      <c r="A39" t="str">
        <f>_xlfn.TEXTJOIN("",TRUE,_xlfn.XLOOKUP(B39,Input!J:J,Input!G:G,"",0,1),_xlfn.XLOOKUP(B39,Input!J:J,Input!H:H,"",0,1))</f>
        <v/>
      </c>
      <c r="C39" s="13">
        <f>_xlfn.XLOOKUP(B39,Input!J:J,Input!F:F)</f>
        <v>0</v>
      </c>
      <c r="D39">
        <f>_xlfn.XLOOKUP(C39,Models!H:H,Models!G:G,C39)</f>
        <v>0</v>
      </c>
      <c r="F39" t="str">
        <f>_xlfn.XLOOKUP(H39,Models!B:B,Models!F:F,"")</f>
        <v/>
      </c>
      <c r="G39">
        <f>_xlfn.XLOOKUP(B39,Input!J:J,Input!E:E)</f>
        <v>0</v>
      </c>
      <c r="H39">
        <f>IF(G39="LENOVO",_xlfn.XLOOKUP(B39,Input!J:J,Input!K:K),_xlfn.XLOOKUP(B39,Input!J:J,Input!L:L))</f>
        <v>0</v>
      </c>
      <c r="K39">
        <f>_xlfn.XLOOKUP(B39,CPU_Formula!A:A,CPU_Formula!I:I)</f>
        <v>0</v>
      </c>
      <c r="L39" s="13" t="e">
        <f>INDEX(Input!$D$2:$AC$500,
       MATCH(B39, Input!$J$2:$J$500, 0),
       MATCH("Memory Capacity", Input!$D$1:$AC$1, 0))</f>
        <v>#N/A</v>
      </c>
      <c r="M39" s="13" t="e">
        <f>INDEX(Input!$D$2:$AC$500,
       MATCH(B39, Input!$J$2:$J$500, 0),
       MATCH("Memory Type", Input!$D$1:$AC$1,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e">
        <f>INDEX(Input!$D$2:$AC$500,
       MATCH(B39, Input!$J$2:$J$500, 0),
       MATCH("Disk Capacity", Input!$D$1:$AC$1, 0))</f>
        <v>#N/A</v>
      </c>
      <c r="S39" s="13" t="e">
        <f>_xlfn.LET(_xlpm.Result,INDEX(Input!$D$2:$AC$500,
       MATCH(B39, Input!$J$2:$J$500, 0),
       MATCH("Capacity", Input!$D$1:$AC$1, 0)),IF(_xlpm.Result="","",_xlpm.Result))</f>
        <v>#N/A</v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AB39">IFERROR(IF(_xlfn.XLOOKUP(B39,Input!J:J,Input!N:U)=0,"",
          _xlfn.XLOOKUP(B39,Input!J:J,Input!N:U)),"")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s="13" t="str">
        <v/>
      </c>
      <c r="AB39" s="13" t="str">
        <v/>
      </c>
      <c r="AC39" t="str">
        <f t="shared" si="2"/>
        <v/>
      </c>
      <c r="AD39" t="str">
        <f>_xlfn.XLOOKUP(B:B,Disk_Pivot!G:G,Disk_Pivot!I:I)</f>
        <v>Yes</v>
      </c>
      <c r="AE39" t="str">
        <f>_xlfn.XLOOKUP(B39,Disk_Pivot!G:G,Disk_Pivot!N:N)</f>
        <v>Fail</v>
      </c>
    </row>
    <row r="40" spans="1:31">
      <c r="A40" t="str">
        <f>_xlfn.TEXTJOIN("",TRUE,_xlfn.XLOOKUP(B40,Input!J:J,Input!G:G,"",0,1),_xlfn.XLOOKUP(B40,Input!J:J,Input!H:H,"",0,1))</f>
        <v/>
      </c>
      <c r="C40" s="13">
        <f>_xlfn.XLOOKUP(B40,Input!J:J,Input!F:F)</f>
        <v>0</v>
      </c>
      <c r="D40">
        <f>_xlfn.XLOOKUP(C40,Models!H:H,Models!G:G,C40)</f>
        <v>0</v>
      </c>
      <c r="F40" t="str">
        <f>_xlfn.XLOOKUP(H40,Models!B:B,Models!F:F,"")</f>
        <v/>
      </c>
      <c r="G40">
        <f>_xlfn.XLOOKUP(B40,Input!J:J,Input!E:E)</f>
        <v>0</v>
      </c>
      <c r="H40">
        <f>IF(G40="LENOVO",_xlfn.XLOOKUP(B40,Input!J:J,Input!K:K),_xlfn.XLOOKUP(B40,Input!J:J,Input!L:L))</f>
        <v>0</v>
      </c>
      <c r="K40">
        <f>_xlfn.XLOOKUP(B40,CPU_Formula!A:A,CPU_Formula!I:I)</f>
        <v>0</v>
      </c>
      <c r="L40" s="13" t="e">
        <f>INDEX(Input!$D$2:$AC$500,
       MATCH(B40, Input!$J$2:$J$500, 0),
       MATCH("Memory Capacity", Input!$D$1:$AC$1, 0))</f>
        <v>#N/A</v>
      </c>
      <c r="M40" s="13" t="e">
        <f>INDEX(Input!$D$2:$AC$500,
       MATCH(B40, Input!$J$2:$J$500, 0),
       MATCH("Memory Type", Input!$D$1:$AC$1,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e">
        <f>INDEX(Input!$D$2:$AC$500,
       MATCH(B40, Input!$J$2:$J$500, 0),
       MATCH("Disk Capacity", Input!$D$1:$AC$1, 0))</f>
        <v>#N/A</v>
      </c>
      <c r="S40" s="13" t="e">
        <f>_xlfn.LET(_xlpm.Result,INDEX(Input!$D$2:$AC$500,
       MATCH(B40, Input!$J$2:$J$500, 0),
       MATCH("Capacity", Input!$D$1:$AC$1, 0)),IF(_xlpm.Result="","",_xlpm.Result))</f>
        <v>#N/A</v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AB40">IFERROR(IF(_xlfn.XLOOKUP(B40,Input!J:J,Input!N:U)=0,"",
          _xlfn.XLOOKUP(B40,Input!J:J,Input!N:U)),"")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s="13" t="str">
        <v/>
      </c>
      <c r="AB40" s="13" t="str">
        <v/>
      </c>
      <c r="AC40" t="str">
        <f t="shared" si="2"/>
        <v/>
      </c>
      <c r="AD40" t="str">
        <f>_xlfn.XLOOKUP(B:B,Disk_Pivot!G:G,Disk_Pivot!I:I)</f>
        <v>Yes</v>
      </c>
      <c r="AE40" t="str">
        <f>_xlfn.XLOOKUP(B40,Disk_Pivot!G:G,Disk_Pivot!N:N)</f>
        <v>Fail</v>
      </c>
    </row>
    <row r="41" spans="1:31">
      <c r="A41" t="str">
        <f>_xlfn.TEXTJOIN("",TRUE,_xlfn.XLOOKUP(B41,Input!J:J,Input!G:G,"",0,1),_xlfn.XLOOKUP(B41,Input!J:J,Input!H:H,"",0,1))</f>
        <v/>
      </c>
      <c r="C41" s="13">
        <f>_xlfn.XLOOKUP(B41,Input!J:J,Input!F:F)</f>
        <v>0</v>
      </c>
      <c r="D41">
        <f>_xlfn.XLOOKUP(C41,Models!H:H,Models!G:G,C41)</f>
        <v>0</v>
      </c>
      <c r="F41" t="str">
        <f>_xlfn.XLOOKUP(H41,Models!B:B,Models!F:F,"")</f>
        <v/>
      </c>
      <c r="G41">
        <f>_xlfn.XLOOKUP(B41,Input!J:J,Input!E:E)</f>
        <v>0</v>
      </c>
      <c r="H41">
        <f>IF(G41="LENOVO",_xlfn.XLOOKUP(B41,Input!J:J,Input!K:K),_xlfn.XLOOKUP(B41,Input!J:J,Input!L:L))</f>
        <v>0</v>
      </c>
      <c r="K41">
        <f>_xlfn.XLOOKUP(B41,CPU_Formula!A:A,CPU_Formula!I:I)</f>
        <v>0</v>
      </c>
      <c r="L41" s="13" t="e">
        <f>INDEX(Input!$D$2:$AC$500,
       MATCH(B41, Input!$J$2:$J$500, 0),
       MATCH("Memory Capacity", Input!$D$1:$AC$1, 0))</f>
        <v>#N/A</v>
      </c>
      <c r="M41" s="13" t="e">
        <f>INDEX(Input!$D$2:$AC$500,
       MATCH(B41, Input!$J$2:$J$500, 0),
       MATCH("Memory Type", Input!$D$1:$AC$1,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e">
        <f>INDEX(Input!$D$2:$AC$500,
       MATCH(B41, Input!$J$2:$J$500, 0),
       MATCH("Disk Capacity", Input!$D$1:$AC$1, 0))</f>
        <v>#N/A</v>
      </c>
      <c r="S41" s="13" t="e">
        <f>_xlfn.LET(_xlpm.Result,INDEX(Input!$D$2:$AC$500,
       MATCH(B41, Input!$J$2:$J$500, 0),
       MATCH("Capacity", Input!$D$1:$AC$1, 0)),IF(_xlpm.Result="","",_xlpm.Result))</f>
        <v>#N/A</v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AB41">IFERROR(IF(_xlfn.XLOOKUP(B41,Input!J:J,Input!N:U)=0,"",
          _xlfn.XLOOKUP(B41,Input!J:J,Input!N:U)),"")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s="13" t="str">
        <v/>
      </c>
      <c r="AB41" s="13" t="str">
        <v/>
      </c>
      <c r="AC41" t="str">
        <f t="shared" si="2"/>
        <v/>
      </c>
      <c r="AD41" t="str">
        <f>_xlfn.XLOOKUP(B:B,Disk_Pivot!G:G,Disk_Pivot!I:I)</f>
        <v>Yes</v>
      </c>
      <c r="AE41" t="str">
        <f>_xlfn.XLOOKUP(B41,Disk_Pivot!G:G,Disk_Pivot!N:N)</f>
        <v>Fail</v>
      </c>
    </row>
    <row r="42" spans="1:31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str">
        <f>_xlfn.XLOOKUP(H42,Models!B:B,Models!F:F,"")</f>
        <v/>
      </c>
      <c r="G42">
        <f>_xlfn.XLOOKUP(B42,Input!J:J,Input!E:E)</f>
        <v>0</v>
      </c>
      <c r="H42">
        <f>IF(G42="LENOVO",_xlfn.XLOOKUP(B42,Input!J:J,Input!K:K),_xlfn.XLOOKUP(B42,Input!J:J,Input!L:L))</f>
        <v>0</v>
      </c>
      <c r="K42">
        <f>_xlfn.XLOOKUP(B42,CPU_Formula!A:A,CPU_Formula!I:I)</f>
        <v>0</v>
      </c>
      <c r="L42" s="13" t="e">
        <f>INDEX(Input!$D$2:$AC$500,
       MATCH(B42, Input!$J$2:$J$500, 0),
       MATCH("Memory Capacity", Input!$D$1:$AC$1, 0))</f>
        <v>#N/A</v>
      </c>
      <c r="M42" s="13" t="e">
        <f>INDEX(Input!$D$2:$AC$500,
       MATCH(B42, Input!$J$2:$J$500, 0),
       MATCH("Memory Type", Input!$D$1:$AC$1,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e">
        <f>INDEX(Input!$D$2:$AC$500,
       MATCH(B42, Input!$J$2:$J$500, 0),
       MATCH("Disk Capacity", Input!$D$1:$AC$1, 0))</f>
        <v>#N/A</v>
      </c>
      <c r="S42" s="13" t="e">
        <f>_xlfn.LET(_xlpm.Result,INDEX(Input!$D$2:$AC$500,
       MATCH(B42, Input!$J$2:$J$500, 0),
       MATCH("Capacity", Input!$D$1:$AC$1, 0)),IF(_xlpm.Result="","",_xlpm.Result))</f>
        <v>#N/A</v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AB42">IFERROR(IF(_xlfn.XLOOKUP(B42,Input!J:J,Input!N:U)=0,"",
          _xlfn.XLOOKUP(B42,Input!J:J,Input!N:U)),"")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s="13" t="str">
        <v/>
      </c>
      <c r="AB42" s="13" t="str">
        <v/>
      </c>
      <c r="AC42" t="str">
        <f t="shared" si="2"/>
        <v/>
      </c>
      <c r="AD42" t="str">
        <f>_xlfn.XLOOKUP(B:B,Disk_Pivot!G:G,Disk_Pivot!I:I)</f>
        <v>Yes</v>
      </c>
      <c r="AE42" t="str">
        <f>_xlfn.XLOOKUP(B42,Disk_Pivot!G:G,Disk_Pivot!N:N)</f>
        <v>Fail</v>
      </c>
    </row>
    <row r="43" spans="1:31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INDEX(Input!$D$2:$AC$500,
       MATCH(B43, Input!$J$2:$J$500, 0),
       MATCH("Memory Capacity", Input!$D$1:$AC$1, 0))</f>
        <v>#N/A</v>
      </c>
      <c r="M43" s="13" t="e">
        <f>INDEX(Input!$D$2:$AC$500,
       MATCH(B43, Input!$J$2:$J$500, 0),
       MATCH("Memory Type", Input!$D$1:$AC$1,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e">
        <f>INDEX(Input!$D$2:$AC$500,
       MATCH(B43, Input!$J$2:$J$500, 0),
       MATCH("Disk Capacity", Input!$D$1:$AC$1, 0))</f>
        <v>#N/A</v>
      </c>
      <c r="S43" s="13" t="e">
        <f>_xlfn.LET(_xlpm.Result,INDEX(Input!$D$2:$AC$500,
       MATCH(B43, Input!$J$2:$J$500, 0),
       MATCH("Capacity", Input!$D$1:$AC$1, 0)),IF(_xlpm.Result="","",_xlpm.Result))</f>
        <v>#N/A</v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AB43">IFERROR(IF(_xlfn.XLOOKUP(B43,Input!J:J,Input!N:U)=0,"",
          _xlfn.XLOOKUP(B43,Input!J:J,Input!N:U)),"")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s="13" t="str">
        <v/>
      </c>
      <c r="AB43" s="13" t="str">
        <v/>
      </c>
      <c r="AC43" t="str">
        <f t="shared" si="2"/>
        <v/>
      </c>
      <c r="AD43" t="str">
        <f>_xlfn.XLOOKUP(B:B,Disk_Pivot!G:G,Disk_Pivot!I:I)</f>
        <v>Yes</v>
      </c>
      <c r="AE43" t="str">
        <f>_xlfn.XLOOKUP(B43,Disk_Pivot!G:G,Disk_Pivot!N:N)</f>
        <v>Fail</v>
      </c>
    </row>
    <row r="44" spans="1:31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INDEX(Input!$D$2:$AC$500,
       MATCH(B44, Input!$J$2:$J$500, 0),
       MATCH("Memory Capacity", Input!$D$1:$AC$1, 0))</f>
        <v>#N/A</v>
      </c>
      <c r="M44" s="13" t="e">
        <f>INDEX(Input!$D$2:$AC$500,
       MATCH(B44, Input!$J$2:$J$500, 0),
       MATCH("Memory Type", Input!$D$1:$AC$1,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e">
        <f>INDEX(Input!$D$2:$AC$500,
       MATCH(B44, Input!$J$2:$J$500, 0),
       MATCH("Disk Capacity", Input!$D$1:$AC$1, 0))</f>
        <v>#N/A</v>
      </c>
      <c r="S44" s="13" t="e">
        <f>_xlfn.LET(_xlpm.Result,INDEX(Input!$D$2:$AC$500,
       MATCH(B44, Input!$J$2:$J$500, 0),
       MATCH("Capacity", Input!$D$1:$AC$1, 0)),IF(_xlpm.Result="","",_xlpm.Result))</f>
        <v>#N/A</v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AB44">IFERROR(IF(_xlfn.XLOOKUP(B44,Input!J:J,Input!N:U)=0,"",
          _xlfn.XLOOKUP(B44,Input!J:J,Input!N:U)),"")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s="13" t="str">
        <v/>
      </c>
      <c r="AB44" s="13" t="str">
        <v/>
      </c>
      <c r="AC44" t="str">
        <f t="shared" si="2"/>
        <v/>
      </c>
      <c r="AD44" t="str">
        <f>_xlfn.XLOOKUP(B:B,Disk_Pivot!G:G,Disk_Pivot!I:I)</f>
        <v>Yes</v>
      </c>
      <c r="AE44" t="str">
        <f>_xlfn.XLOOKUP(B44,Disk_Pivot!G:G,Disk_Pivot!N:N)</f>
        <v>Fail</v>
      </c>
    </row>
    <row r="45" spans="1:31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INDEX(Input!$D$2:$AC$500,
       MATCH(B45, Input!$J$2:$J$500, 0),
       MATCH("Memory Capacity", Input!$D$1:$AC$1, 0))</f>
        <v>#N/A</v>
      </c>
      <c r="M45" s="13" t="e">
        <f>INDEX(Input!$D$2:$AC$500,
       MATCH(B45, Input!$J$2:$J$500, 0),
       MATCH("Memory Type", Input!$D$1:$AC$1,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e">
        <f>INDEX(Input!$D$2:$AC$500,
       MATCH(B45, Input!$J$2:$J$500, 0),
       MATCH("Disk Capacity", Input!$D$1:$AC$1, 0))</f>
        <v>#N/A</v>
      </c>
      <c r="S45" s="13" t="e">
        <f>_xlfn.LET(_xlpm.Result,INDEX(Input!$D$2:$AC$500,
       MATCH(B45, Input!$J$2:$J$500, 0),
       MATCH("Capacity", Input!$D$1:$AC$1, 0)),IF(_xlpm.Result="","",_xlpm.Result))</f>
        <v>#N/A</v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AB45">IFERROR(IF(_xlfn.XLOOKUP(B45,Input!J:J,Input!N:U)=0,"",
          _xlfn.XLOOKUP(B45,Input!J:J,Input!N:U)),"")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s="13" t="str">
        <v/>
      </c>
      <c r="AB45" s="13" t="str">
        <v/>
      </c>
      <c r="AC45" t="str">
        <f t="shared" si="2"/>
        <v/>
      </c>
      <c r="AD45" t="str">
        <f>_xlfn.XLOOKUP(B:B,Disk_Pivot!G:G,Disk_Pivot!I:I)</f>
        <v>Yes</v>
      </c>
      <c r="AE45" t="str">
        <f>_xlfn.XLOOKUP(B45,Disk_Pivot!G:G,Disk_Pivot!N:N)</f>
        <v>Fail</v>
      </c>
    </row>
    <row r="46" spans="1:31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INDEX(Input!$D$2:$AC$500,
       MATCH(B46, Input!$J$2:$J$500, 0),
       MATCH("Memory Capacity", Input!$D$1:$AC$1, 0))</f>
        <v>#N/A</v>
      </c>
      <c r="M46" s="13" t="e">
        <f>INDEX(Input!$D$2:$AC$500,
       MATCH(B46, Input!$J$2:$J$500, 0),
       MATCH("Memory Type", Input!$D$1:$AC$1,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e">
        <f>INDEX(Input!$D$2:$AC$500,
       MATCH(B46, Input!$J$2:$J$500, 0),
       MATCH("Disk Capacity", Input!$D$1:$AC$1, 0))</f>
        <v>#N/A</v>
      </c>
      <c r="S46" s="13" t="e">
        <f>_xlfn.LET(_xlpm.Result,INDEX(Input!$D$2:$AC$500,
       MATCH(B46, Input!$J$2:$J$500, 0),
       MATCH("Capacity", Input!$D$1:$AC$1, 0)),IF(_xlpm.Result="","",_xlpm.Result))</f>
        <v>#N/A</v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AB46">IFERROR(IF(_xlfn.XLOOKUP(B46,Input!J:J,Input!N:U)=0,"",
          _xlfn.XLOOKUP(B46,Input!J:J,Input!N:U)),"")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s="13" t="str">
        <v/>
      </c>
      <c r="AB46" s="13" t="str">
        <v/>
      </c>
      <c r="AC46" t="str">
        <f t="shared" si="2"/>
        <v/>
      </c>
      <c r="AD46" t="str">
        <f>_xlfn.XLOOKUP(B:B,Disk_Pivot!G:G,Disk_Pivot!I:I)</f>
        <v>Yes</v>
      </c>
      <c r="AE46" t="str">
        <f>_xlfn.XLOOKUP(B46,Disk_Pivot!G:G,Disk_Pivot!N:N)</f>
        <v>Fail</v>
      </c>
    </row>
    <row r="47" spans="1:31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INDEX(Input!$D$2:$AC$500,
       MATCH(B47, Input!$J$2:$J$500, 0),
       MATCH("Memory Capacity", Input!$D$1:$AC$1, 0))</f>
        <v>#N/A</v>
      </c>
      <c r="M47" s="13" t="e">
        <f>INDEX(Input!$D$2:$AC$500,
       MATCH(B47, Input!$J$2:$J$500, 0),
       MATCH("Memory Type", Input!$D$1:$AC$1,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e">
        <f>INDEX(Input!$D$2:$AC$500,
       MATCH(B47, Input!$J$2:$J$500, 0),
       MATCH("Disk Capacity", Input!$D$1:$AC$1, 0))</f>
        <v>#N/A</v>
      </c>
      <c r="S47" s="13" t="str">
        <f>_xlfn.LET(_xlpm.Result,_xlfn.XLOOKUP(B47,Input!J:J,Input!AC:AC),IF(_xlpm.Result="","",_xlpm.Result))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AB47">IFERROR(IF(_xlfn.XLOOKUP(B47,Input!J:J,Input!N:U)=0,"",
          _xlfn.XLOOKUP(B47,Input!J:J,Input!N:U)),"")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s="13" t="str">
        <v/>
      </c>
      <c r="AB47" s="13" t="str">
        <v/>
      </c>
      <c r="AC47" t="str">
        <f t="shared" si="2"/>
        <v/>
      </c>
      <c r="AD47" t="str">
        <f>_xlfn.XLOOKUP(B:B,Disk_Pivot!G:G,Disk_Pivot!I:I)</f>
        <v>Yes</v>
      </c>
      <c r="AE47" t="str">
        <f>_xlfn.XLOOKUP(B47,Disk_Pivot!G:G,Disk_Pivot!N:N)</f>
        <v>Fail</v>
      </c>
    </row>
    <row r="48" spans="1:31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INDEX(Input!$D$2:$AC$500,
       MATCH(B48, Input!$J$2:$J$500, 0),
       MATCH("Memory Capacity", Input!$D$1:$AC$1, 0))</f>
        <v>#N/A</v>
      </c>
      <c r="M48" s="13" t="e">
        <f>INDEX(Input!$D$2:$AC$500,
       MATCH(B48, Input!$J$2:$J$500, 0),
       MATCH("Memory Type", Input!$D$1:$AC$1,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e">
        <f>INDEX(Input!$D$2:$AC$500,
       MATCH(B48, Input!$J$2:$J$500, 0),
       MATCH("Disk Capacity", Input!$D$1:$AC$1, 0))</f>
        <v>#N/A</v>
      </c>
      <c r="S48" s="13" t="str">
        <f>_xlfn.LET(_xlpm.Result,_xlfn.XLOOKUP(B48,Input!J:J,Input!AC:AC),IF(_xlpm.Result="","",_xlpm.Result))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AB48">IFERROR(IF(_xlfn.XLOOKUP(B48,Input!J:J,Input!N:U)=0,"",
          _xlfn.XLOOKUP(B48,Input!J:J,Input!N:U)),"")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s="13" t="str">
        <v/>
      </c>
      <c r="AB48" s="13" t="str">
        <v/>
      </c>
      <c r="AC48" t="str">
        <f t="shared" si="2"/>
        <v/>
      </c>
      <c r="AD48" t="str">
        <f>_xlfn.XLOOKUP(B:B,Disk_Pivot!G:G,Disk_Pivot!I:I)</f>
        <v>Yes</v>
      </c>
      <c r="AE48" t="str">
        <f>_xlfn.XLOOKUP(B48,Disk_Pivot!G:G,Disk_Pivot!N:N)</f>
        <v>Fail</v>
      </c>
    </row>
    <row r="49" spans="1:31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INDEX(Input!$D$2:$AC$500,
       MATCH(B49, Input!$J$2:$J$500, 0),
       MATCH("Memory Capacity", Input!$D$1:$AC$1, 0))</f>
        <v>#N/A</v>
      </c>
      <c r="M49" s="13" t="e">
        <f>INDEX(Input!$D$2:$AC$500,
       MATCH(B49, Input!$J$2:$J$500, 0),
       MATCH("Memory Type", Input!$D$1:$AC$1,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e">
        <f>INDEX(Input!$D$2:$AC$500,
       MATCH(B49, Input!$J$2:$J$500, 0),
       MATCH("Disk Capacity", Input!$D$1:$AC$1, 0))</f>
        <v>#N/A</v>
      </c>
      <c r="S49" s="13" t="str">
        <f>_xlfn.LET(_xlpm.Result,_xlfn.XLOOKUP(B49,Input!J:J,Input!AC:AC),IF(_xlpm.Result="","",_xlpm.Result))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AB49">IFERROR(IF(_xlfn.XLOOKUP(B49,Input!J:J,Input!N:U)=0,"",
          _xlfn.XLOOKUP(B49,Input!J:J,Input!N:U)),"")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s="13" t="str">
        <v/>
      </c>
      <c r="AB49" s="13" t="str">
        <v/>
      </c>
      <c r="AC49" t="str">
        <f t="shared" si="2"/>
        <v/>
      </c>
      <c r="AD49" t="str">
        <f>_xlfn.XLOOKUP(B:B,Disk_Pivot!G:G,Disk_Pivot!I:I)</f>
        <v>Yes</v>
      </c>
      <c r="AE49" t="str">
        <f>_xlfn.XLOOKUP(B49,Disk_Pivot!G:G,Disk_Pivot!N:N)</f>
        <v>Fail</v>
      </c>
    </row>
    <row r="50" spans="1:31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INDEX(Input!$D$2:$AC$500,
       MATCH(B50, Input!$J$2:$J$500, 0),
       MATCH("Memory Capacity", Input!$D$1:$AC$1, 0))</f>
        <v>#N/A</v>
      </c>
      <c r="M50" s="13" t="e">
        <f>INDEX(Input!$D$2:$AC$500,
       MATCH(B50, Input!$J$2:$J$500, 0),
       MATCH("Memory Type", Input!$D$1:$AC$1,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e">
        <f>INDEX(Input!$D$2:$AC$500,
       MATCH(B50, Input!$J$2:$J$500, 0),
       MATCH("Disk Capacity", Input!$D$1:$AC$1, 0))</f>
        <v>#N/A</v>
      </c>
      <c r="S50" s="13" t="str">
        <f>_xlfn.LET(_xlpm.Result,_xlfn.XLOOKUP(B50,Input!J:J,Input!AC:AC),IF(_xlpm.Result="","",_xlpm.Result))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AB50">IFERROR(IF(_xlfn.XLOOKUP(B50,Input!J:J,Input!N:U)=0,"",
          _xlfn.XLOOKUP(B50,Input!J:J,Input!N:U)),"")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s="13" t="str">
        <v/>
      </c>
      <c r="AB50" s="13" t="str">
        <v/>
      </c>
      <c r="AC50" t="str">
        <f t="shared" si="2"/>
        <v/>
      </c>
      <c r="AD50" t="str">
        <f>_xlfn.XLOOKUP(B:B,Disk_Pivot!G:G,Disk_Pivot!I:I)</f>
        <v>Yes</v>
      </c>
      <c r="AE50" t="str">
        <f>_xlfn.XLOOKUP(B50,Disk_Pivot!G:G,Disk_Pivot!N:N)</f>
        <v>Fail</v>
      </c>
    </row>
    <row r="51" spans="1:31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INDEX(Input!$D$2:$AC$500,
       MATCH(B51, Input!$J$2:$J$500, 0),
       MATCH("Memory Capacity", Input!$D$1:$AC$1, 0))</f>
        <v>#N/A</v>
      </c>
      <c r="M51" s="13" t="e">
        <f>INDEX(Input!$D$2:$AC$500,
       MATCH(B51, Input!$J$2:$J$500, 0),
       MATCH("Memory Type", Input!$D$1:$AC$1,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e">
        <f>INDEX(Input!$D$2:$AC$500,
       MATCH(B51, Input!$J$2:$J$500, 0),
       MATCH("Disk Capacity", Input!$D$1:$AC$1, 0))</f>
        <v>#N/A</v>
      </c>
      <c r="S51" s="13" t="str">
        <f>_xlfn.LET(_xlpm.Result,_xlfn.XLOOKUP(B51,Input!J:J,Input!AC:AC),IF(_xlpm.Result="","",_xlpm.Result))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AB51">IFERROR(IF(_xlfn.XLOOKUP(B51,Input!J:J,Input!N:U)=0,"",
          _xlfn.XLOOKUP(B51,Input!J:J,Input!N:U)),"")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s="13" t="str">
        <v/>
      </c>
      <c r="AB51" s="13" t="str">
        <v/>
      </c>
      <c r="AC51" t="str">
        <f t="shared" si="2"/>
        <v/>
      </c>
      <c r="AD51" t="str">
        <f>_xlfn.XLOOKUP(B:B,Disk_Pivot!G:G,Disk_Pivot!I:I)</f>
        <v>Yes</v>
      </c>
      <c r="AE51" t="str">
        <f>_xlfn.XLOOKUP(B51,Disk_Pivot!G:G,Disk_Pivot!N:N)</f>
        <v>Fail</v>
      </c>
    </row>
    <row r="52" spans="1:31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INDEX(Input!$D$2:$AC$500,
       MATCH(B52, Input!$J$2:$J$500, 0),
       MATCH("Memory Capacity", Input!$D$1:$AC$1, 0))</f>
        <v>#N/A</v>
      </c>
      <c r="M52" s="13" t="e">
        <f>INDEX(Input!$D$2:$AC$500,
       MATCH(B52, Input!$J$2:$J$500, 0),
       MATCH("Memory Type", Input!$D$1:$AC$1,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e">
        <f>INDEX(Input!$D$2:$AC$500,
       MATCH(B52, Input!$J$2:$J$500, 0),
       MATCH("Disk Capacity", Input!$D$1:$AC$1, 0))</f>
        <v>#N/A</v>
      </c>
      <c r="S52" s="13" t="str">
        <f>_xlfn.LET(_xlpm.Result,_xlfn.XLOOKUP(B52,Input!J:J,Input!AA:AA),IF(_xlpm.Result="","",_xlpm.Result))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AB52">IFERROR(IF(_xlfn.XLOOKUP(B52,Input!J:J,Input!N:U)=0,"",
          _xlfn.XLOOKUP(B52,Input!J:J,Input!N:U)),"")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s="13" t="str">
        <v/>
      </c>
      <c r="AB52" s="13" t="str">
        <v/>
      </c>
      <c r="AC52" t="str">
        <f t="shared" si="2"/>
        <v/>
      </c>
      <c r="AD52" t="str">
        <f>_xlfn.XLOOKUP(B:B,Disk_Pivot!G:G,Disk_Pivot!I:I)</f>
        <v>Yes</v>
      </c>
      <c r="AE52" t="str">
        <f>_xlfn.XLOOKUP(B52,Disk_Pivot!G:G,Disk_Pivot!N:N)</f>
        <v>Fail</v>
      </c>
    </row>
    <row r="53" spans="1:31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INDEX(Input!$D$2:$AC$500,
       MATCH(B53, Input!$J$2:$J$500, 0),
       MATCH("Memory Capacity", Input!$D$1:$AC$1, 0))</f>
        <v>#N/A</v>
      </c>
      <c r="M53" s="13" t="e">
        <f>INDEX(Input!$D$2:$AC$500,
       MATCH(B53, Input!$J$2:$J$500, 0),
       MATCH("Memory Type", Input!$D$1:$AC$1,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e">
        <f>INDEX(Input!$D$2:$AC$500,
       MATCH(B53, Input!$J$2:$J$500, 0),
       MATCH("Disk Capacity", Input!$D$1:$AC$1, 0))</f>
        <v>#N/A</v>
      </c>
      <c r="S53" s="13" t="str">
        <f>_xlfn.LET(_xlpm.Result,_xlfn.XLOOKUP(B53,Input!J:J,Input!AA:AA),IF(_xlpm.Result="","",_xlpm.Result))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AB53">IFERROR(IF(_xlfn.XLOOKUP(B53,Input!J:J,Input!N:U)=0,"",
          _xlfn.XLOOKUP(B53,Input!J:J,Input!N:U)),"")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s="13" t="str">
        <v/>
      </c>
      <c r="AB53" s="13" t="str">
        <v/>
      </c>
      <c r="AC53" t="str">
        <f t="shared" si="2"/>
        <v/>
      </c>
      <c r="AD53" t="str">
        <f>_xlfn.XLOOKUP(B:B,Disk_Pivot!G:G,Disk_Pivot!I:I)</f>
        <v>Yes</v>
      </c>
      <c r="AE53" t="str">
        <f>_xlfn.XLOOKUP(B53,Disk_Pivot!G:G,Disk_Pivot!N:N)</f>
        <v>Fail</v>
      </c>
    </row>
    <row r="54" spans="1:31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INDEX(Input!$D$2:$AC$500,
       MATCH(B54, Input!$J$2:$J$500, 0),
       MATCH("Memory Capacity", Input!$D$1:$AC$1, 0))</f>
        <v>#N/A</v>
      </c>
      <c r="M54" s="13" t="e">
        <f>INDEX(Input!$D$2:$AC$500,
       MATCH(B54, Input!$J$2:$J$500, 0),
       MATCH("Memory Type", Input!$D$1:$AC$1,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e">
        <f>INDEX(Input!$D$2:$AC$500,
       MATCH(B54, Input!$J$2:$J$500, 0),
       MATCH("Disk Capacity", Input!$D$1:$AC$1, 0))</f>
        <v>#N/A</v>
      </c>
      <c r="S54" s="13" t="str">
        <f>_xlfn.LET(_xlpm.Result,_xlfn.XLOOKUP(B54,Input!J:J,Input!AA:AA),IF(_xlpm.Result="","",_xlpm.Result))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AB54">IFERROR(IF(_xlfn.XLOOKUP(B54,Input!J:J,Input!N:U)=0,"",
          _xlfn.XLOOKUP(B54,Input!J:J,Input!N:U)),"")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s="13" t="str">
        <v/>
      </c>
      <c r="AB54" s="13" t="str">
        <v/>
      </c>
      <c r="AC54" t="str">
        <f t="shared" si="2"/>
        <v/>
      </c>
      <c r="AD54" t="str">
        <f>_xlfn.XLOOKUP(B:B,Disk_Pivot!G:G,Disk_Pivot!I:I)</f>
        <v>Yes</v>
      </c>
      <c r="AE54" t="str">
        <f>_xlfn.XLOOKUP(B54,Disk_Pivot!G:G,Disk_Pivot!N:N)</f>
        <v>Fail</v>
      </c>
    </row>
    <row r="55" spans="1:31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INDEX(Input!$D$2:$AC$500,
       MATCH(B55, Input!$J$2:$J$500, 0),
       MATCH("Memory Capacity", Input!$D$1:$AC$1, 0))</f>
        <v>#N/A</v>
      </c>
      <c r="M55" s="13" t="e">
        <f>INDEX(Input!$D$2:$AC$500,
       MATCH(B55, Input!$J$2:$J$500, 0),
       MATCH("Memory Type", Input!$D$1:$AC$1,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e">
        <f>INDEX(Input!$D$2:$AC$500,
       MATCH(B55, Input!$J$2:$J$500, 0),
       MATCH("Disk Capacity", Input!$D$1:$AC$1, 0))</f>
        <v>#N/A</v>
      </c>
      <c r="S55" s="13" t="str">
        <f>_xlfn.LET(_xlpm.Result,_xlfn.XLOOKUP(B55,Input!J:J,Input!AA:AA),IF(_xlpm.Result="","",_xlpm.Result))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AB55">IFERROR(IF(_xlfn.XLOOKUP(B55,Input!J:J,Input!N:U)=0,"",
          _xlfn.XLOOKUP(B55,Input!J:J,Input!N:U)),"")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s="13" t="str">
        <v/>
      </c>
      <c r="AB55" s="13" t="str">
        <v/>
      </c>
      <c r="AC55" t="str">
        <f t="shared" si="2"/>
        <v/>
      </c>
      <c r="AD55" t="str">
        <f>_xlfn.XLOOKUP(B:B,Disk_Pivot!G:G,Disk_Pivot!I:I)</f>
        <v>Yes</v>
      </c>
      <c r="AE55" t="str">
        <f>_xlfn.XLOOKUP(B55,Disk_Pivot!G:G,Disk_Pivot!N:N)</f>
        <v>Fail</v>
      </c>
    </row>
    <row r="56" spans="1:31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INDEX(Input!$D$2:$AC$500,
       MATCH(B56, Input!$J$2:$J$500, 0),
       MATCH("Memory Capacity", Input!$D$1:$AC$1, 0))</f>
        <v>#N/A</v>
      </c>
      <c r="M56" s="13" t="e">
        <f>INDEX(Input!$D$2:$AC$500,
       MATCH(B56, Input!$J$2:$J$500, 0),
       MATCH("Memory Type", Input!$D$1:$AC$1,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e">
        <f>INDEX(Input!$D$2:$AC$500,
       MATCH(B56, Input!$J$2:$J$500, 0),
       MATCH("Disk Capacity", Input!$D$1:$AC$1, 0))</f>
        <v>#N/A</v>
      </c>
      <c r="S56" s="13" t="str">
        <f>_xlfn.LET(_xlpm.Result,_xlfn.XLOOKUP(B56,Input!J:J,Input!AA:AA),IF(_xlpm.Result="","",_xlpm.Result))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AB56">IFERROR(IF(_xlfn.XLOOKUP(B56,Input!J:J,Input!N:U)=0,"",
          _xlfn.XLOOKUP(B56,Input!J:J,Input!N:U)),"")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s="13" t="str">
        <v/>
      </c>
      <c r="AB56" s="13" t="str">
        <v/>
      </c>
      <c r="AC56" t="str">
        <f t="shared" si="2"/>
        <v/>
      </c>
      <c r="AD56" t="str">
        <f>_xlfn.XLOOKUP(B:B,Disk_Pivot!G:G,Disk_Pivot!I:I)</f>
        <v>Yes</v>
      </c>
      <c r="AE56" t="str">
        <f>_xlfn.XLOOKUP(B56,Disk_Pivot!G:G,Disk_Pivot!N:N)</f>
        <v>Fail</v>
      </c>
    </row>
    <row r="57" spans="1:31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INDEX(Input!$D$2:$AC$500,
       MATCH(B57, Input!$J$2:$J$500, 0),
       MATCH("Memory Capacity", Input!$D$1:$AC$1, 0))</f>
        <v>#N/A</v>
      </c>
      <c r="M57" s="13" t="e">
        <f>INDEX(Input!$D$2:$AC$500,
       MATCH(B57, Input!$J$2:$J$500, 0),
       MATCH("Memory Type", Input!$D$1:$AC$1,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e">
        <f>INDEX(Input!$D$2:$AC$500,
       MATCH(B57, Input!$J$2:$J$500, 0),
       MATCH("Disk Capacity", Input!$D$1:$AC$1, 0))</f>
        <v>#N/A</v>
      </c>
      <c r="S57" s="13" t="str">
        <f>_xlfn.LET(_xlpm.Result,_xlfn.XLOOKUP(B57,Input!J:J,Input!AA:AA),IF(_xlpm.Result="","",_xlpm.Result))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AB57">IFERROR(IF(_xlfn.XLOOKUP(B57,Input!J:J,Input!N:U)=0,"",
          _xlfn.XLOOKUP(B57,Input!J:J,Input!N:U)),"")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s="13" t="str">
        <v/>
      </c>
      <c r="AB57" s="13" t="str">
        <v/>
      </c>
      <c r="AC57" t="str">
        <f t="shared" si="2"/>
        <v/>
      </c>
      <c r="AD57" t="str">
        <f>_xlfn.XLOOKUP(B:B,Disk_Pivot!G:G,Disk_Pivot!I:I)</f>
        <v>Yes</v>
      </c>
      <c r="AE57" t="str">
        <f>_xlfn.XLOOKUP(B57,Disk_Pivot!G:G,Disk_Pivot!N:N)</f>
        <v>Fail</v>
      </c>
    </row>
    <row r="58" spans="1:31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INDEX(Input!$D$2:$AC$500,
       MATCH(B58, Input!$J$2:$J$500, 0),
       MATCH("Memory Capacity", Input!$D$1:$AC$1, 0))</f>
        <v>#N/A</v>
      </c>
      <c r="M58" s="13" t="e">
        <f>INDEX(Input!$D$2:$AC$500,
       MATCH(B58, Input!$J$2:$J$500, 0),
       MATCH("Memory Type", Input!$D$1:$AC$1,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e">
        <f>INDEX(Input!$D$2:$AC$500,
       MATCH(B58, Input!$J$2:$J$500, 0),
       MATCH("Disk Capacity", Input!$D$1:$AC$1, 0))</f>
        <v>#N/A</v>
      </c>
      <c r="S58" s="13" t="str">
        <f>_xlfn.LET(_xlpm.Result,_xlfn.XLOOKUP(B58,Input!J:J,Input!AA:AA),IF(_xlpm.Result="","",_xlpm.Result))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AB58">IFERROR(IF(_xlfn.XLOOKUP(B58,Input!J:J,Input!N:U)=0,"",
          _xlfn.XLOOKUP(B58,Input!J:J,Input!N:U)),"")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s="13" t="str">
        <v/>
      </c>
      <c r="AB58" s="13" t="str">
        <v/>
      </c>
      <c r="AC58" t="str">
        <f t="shared" si="2"/>
        <v/>
      </c>
      <c r="AD58" t="str">
        <f>_xlfn.XLOOKUP(B:B,Disk_Pivot!G:G,Disk_Pivot!I:I)</f>
        <v>Yes</v>
      </c>
      <c r="AE58" t="str">
        <f>_xlfn.XLOOKUP(B58,Disk_Pivot!G:G,Disk_Pivot!N:N)</f>
        <v>Fail</v>
      </c>
    </row>
    <row r="59" spans="1:31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INDEX(Input!$D$2:$AC$500,
       MATCH(B59, Input!$J$2:$J$500, 0),
       MATCH("Memory Capacity", Input!$D$1:$AC$1, 0))</f>
        <v>#N/A</v>
      </c>
      <c r="M59" s="13" t="e">
        <f>INDEX(Input!$D$2:$AC$500,
       MATCH(B59, Input!$J$2:$J$500, 0),
       MATCH("Memory Type", Input!$D$1:$AC$1,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e">
        <f>INDEX(Input!$D$2:$AC$500,
       MATCH(B59, Input!$J$2:$J$500, 0),
       MATCH("Disk Capacity", Input!$D$1:$AC$1, 0))</f>
        <v>#N/A</v>
      </c>
      <c r="S59" s="13" t="str">
        <f>_xlfn.LET(_xlpm.Result,_xlfn.XLOOKUP(B59,Input!J:J,Input!AA:AA),IF(_xlpm.Result="","",_xlpm.Result))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AB59">IFERROR(IF(_xlfn.XLOOKUP(B59,Input!J:J,Input!N:U)=0,"",
          _xlfn.XLOOKUP(B59,Input!J:J,Input!N:U)),"")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s="13" t="str">
        <v/>
      </c>
      <c r="AB59" s="13" t="str">
        <v/>
      </c>
      <c r="AC59" t="str">
        <f t="shared" si="2"/>
        <v/>
      </c>
      <c r="AD59" t="str">
        <f>_xlfn.XLOOKUP(B:B,Disk_Pivot!G:G,Disk_Pivot!I:I)</f>
        <v>Yes</v>
      </c>
      <c r="AE59" t="str">
        <f>_xlfn.XLOOKUP(B59,Disk_Pivot!G:G,Disk_Pivot!N:N)</f>
        <v>Fail</v>
      </c>
    </row>
    <row r="60" spans="1:31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INDEX(Input!$D$2:$AC$500,
       MATCH(B60, Input!$J$2:$J$500, 0),
       MATCH("Memory Capacity", Input!$D$1:$AC$1, 0))</f>
        <v>#N/A</v>
      </c>
      <c r="M60" s="13" t="e">
        <f>INDEX(Input!$D$2:$AC$500,
       MATCH(B60, Input!$J$2:$J$500, 0),
       MATCH("Memory Type", Input!$D$1:$AC$1,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e">
        <f>INDEX(Input!$D$2:$AC$500,
       MATCH(B60, Input!$J$2:$J$500, 0),
       MATCH("Disk Capacity", Input!$D$1:$AC$1, 0))</f>
        <v>#N/A</v>
      </c>
      <c r="S60" s="13" t="str">
        <f>_xlfn.LET(_xlpm.Result,_xlfn.XLOOKUP(B60,Input!J:J,Input!AA:AA),IF(_xlpm.Result="","",_xlpm.Result))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AB60">IFERROR(IF(_xlfn.XLOOKUP(B60,Input!J:J,Input!N:U)=0,"",
          _xlfn.XLOOKUP(B60,Input!J:J,Input!N:U)),"")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s="13" t="str">
        <v/>
      </c>
      <c r="AB60" s="13" t="str">
        <v/>
      </c>
      <c r="AC60" t="str">
        <f t="shared" si="2"/>
        <v/>
      </c>
      <c r="AD60" t="str">
        <f>_xlfn.XLOOKUP(B:B,Disk_Pivot!G:G,Disk_Pivot!I:I)</f>
        <v>Yes</v>
      </c>
      <c r="AE60" t="str">
        <f>_xlfn.XLOOKUP(B60,Disk_Pivot!G:G,Disk_Pivot!N:N)</f>
        <v>Fail</v>
      </c>
    </row>
    <row r="61" spans="1:31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INDEX(Input!$D$2:$AC$500,
       MATCH(B61, Input!$J$2:$J$500, 0),
       MATCH("Memory Capacity", Input!$D$1:$AC$1, 0))</f>
        <v>#N/A</v>
      </c>
      <c r="M61" s="13" t="e">
        <f>INDEX(Input!$D$2:$AC$500,
       MATCH(B61, Input!$J$2:$J$500, 0),
       MATCH("Memory Type", Input!$D$1:$AC$1,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e">
        <f>INDEX(Input!$D$2:$AC$500,
       MATCH(B61, Input!$J$2:$J$500, 0),
       MATCH("Disk Capacity", Input!$D$1:$AC$1, 0))</f>
        <v>#N/A</v>
      </c>
      <c r="S61" s="13" t="str">
        <f>_xlfn.LET(_xlpm.Result,_xlfn.XLOOKUP(B61,Input!J:J,Input!AA:AA),IF(_xlpm.Result="","",_xlpm.Result))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AB61">IFERROR(IF(_xlfn.XLOOKUP(B61,Input!J:J,Input!N:U)=0,"",
          _xlfn.XLOOKUP(B61,Input!J:J,Input!N:U)),"")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s="13" t="str">
        <v/>
      </c>
      <c r="AB61" s="13" t="str">
        <v/>
      </c>
      <c r="AC61" t="str">
        <f t="shared" si="2"/>
        <v/>
      </c>
      <c r="AD61" t="str">
        <f>_xlfn.XLOOKUP(B:B,Disk_Pivot!G:G,Disk_Pivot!I:I)</f>
        <v>Yes</v>
      </c>
      <c r="AE61" t="str">
        <f>_xlfn.XLOOKUP(B61,Disk_Pivot!G:G,Disk_Pivot!N:N)</f>
        <v>Fail</v>
      </c>
    </row>
    <row r="62" spans="1:31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INDEX(Input!$D$2:$AC$500,
       MATCH(B62, Input!$J$2:$J$500, 0),
       MATCH("Memory Capacity", Input!$D$1:$AC$1, 0))</f>
        <v>#N/A</v>
      </c>
      <c r="M62" s="13" t="e">
        <f>INDEX(Input!$D$2:$AC$500,
       MATCH(B62, Input!$J$2:$J$500, 0),
       MATCH("Memory Type", Input!$D$1:$AC$1,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e">
        <f>INDEX(Input!$D$2:$AC$500,
       MATCH(B62, Input!$J$2:$J$500, 0),
       MATCH("Disk Capacity", Input!$D$1:$AC$1, 0))</f>
        <v>#N/A</v>
      </c>
      <c r="S62" s="13" t="str">
        <f>_xlfn.LET(_xlpm.Result,_xlfn.XLOOKUP(B62,Input!J:J,Input!AA:AA),IF(_xlpm.Result="","",_xlpm.Result))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AB62">IFERROR(IF(_xlfn.XLOOKUP(B62,Input!J:J,Input!N:U)=0,"",
          _xlfn.XLOOKUP(B62,Input!J:J,Input!N:U)),"")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s="13" t="str">
        <v/>
      </c>
      <c r="AB62" s="13" t="str">
        <v/>
      </c>
      <c r="AC62" t="str">
        <f t="shared" si="2"/>
        <v/>
      </c>
      <c r="AD62" t="str">
        <f>_xlfn.XLOOKUP(B:B,Disk_Pivot!G:G,Disk_Pivot!I:I)</f>
        <v>Yes</v>
      </c>
      <c r="AE62" t="str">
        <f>_xlfn.XLOOKUP(B62,Disk_Pivot!G:G,Disk_Pivot!N:N)</f>
        <v>Fail</v>
      </c>
    </row>
    <row r="63" spans="1:31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INDEX(Input!$D$2:$AC$500,
       MATCH(B63, Input!$J$2:$J$500, 0),
       MATCH("Memory Capacity", Input!$D$1:$AC$1, 0))</f>
        <v>#N/A</v>
      </c>
      <c r="M63" s="13" t="e">
        <f>INDEX(Input!$D$2:$AC$500,
       MATCH(B63, Input!$J$2:$J$500, 0),
       MATCH("Memory Type", Input!$D$1:$AC$1,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e">
        <f>INDEX(Input!$D$2:$AC$500,
       MATCH(B63, Input!$J$2:$J$500, 0),
       MATCH("Disk Capacity", Input!$D$1:$AC$1, 0))</f>
        <v>#N/A</v>
      </c>
      <c r="S63" s="13" t="str">
        <f>_xlfn.LET(_xlpm.Result,_xlfn.XLOOKUP(B63,Input!J:J,Input!AA:AA),IF(_xlpm.Result="","",_xlpm.Result))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AB63">IFERROR(IF(_xlfn.XLOOKUP(B63,Input!J:J,Input!N:U)=0,"",
          _xlfn.XLOOKUP(B63,Input!J:J,Input!N:U)),"")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s="13" t="str">
        <v/>
      </c>
      <c r="AB63" s="13" t="str">
        <v/>
      </c>
      <c r="AC63" t="str">
        <f t="shared" si="2"/>
        <v/>
      </c>
      <c r="AD63" t="str">
        <f>_xlfn.XLOOKUP(B:B,Disk_Pivot!G:G,Disk_Pivot!I:I)</f>
        <v>Yes</v>
      </c>
      <c r="AE63" t="str">
        <f>_xlfn.XLOOKUP(B63,Disk_Pivot!G:G,Disk_Pivot!N:N)</f>
        <v>Fail</v>
      </c>
    </row>
    <row r="64" spans="1:31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INDEX(Input!$D$2:$AC$500,
       MATCH(B64, Input!$J$2:$J$500, 0),
       MATCH("Memory Capacity", Input!$D$1:$AC$1, 0))</f>
        <v>#N/A</v>
      </c>
      <c r="M64" s="13" t="e">
        <f>INDEX(Input!$D$2:$AC$500,
       MATCH(B64, Input!$J$2:$J$500, 0),
       MATCH("Memory Type", Input!$D$1:$AC$1,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e">
        <f>INDEX(Input!$D$2:$AC$500,
       MATCH(B64, Input!$J$2:$J$500, 0),
       MATCH("Disk Capacity", Input!$D$1:$AC$1, 0))</f>
        <v>#N/A</v>
      </c>
      <c r="S64" s="13" t="str">
        <f>_xlfn.LET(_xlpm.Result,_xlfn.XLOOKUP(B64,Input!J:J,Input!AA:AA),IF(_xlpm.Result="","",_xlpm.Result))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AB64">IFERROR(IF(_xlfn.XLOOKUP(B64,Input!J:J,Input!N:U)=0,"",
          _xlfn.XLOOKUP(B64,Input!J:J,Input!N:U)),"")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s="13" t="str">
        <v/>
      </c>
      <c r="AB64" s="13" t="str">
        <v/>
      </c>
      <c r="AC64" t="str">
        <f t="shared" si="2"/>
        <v/>
      </c>
      <c r="AD64" t="str">
        <f>_xlfn.XLOOKUP(B:B,Disk_Pivot!G:G,Disk_Pivot!I:I)</f>
        <v>Yes</v>
      </c>
      <c r="AE64" t="str">
        <f>_xlfn.XLOOKUP(B64,Disk_Pivot!G:G,Disk_Pivot!N:N)</f>
        <v>Fail</v>
      </c>
    </row>
    <row r="65" spans="1:31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INDEX(Input!$D$2:$AC$500,
       MATCH(B65, Input!$J$2:$J$500, 0),
       MATCH("Memory Capacity", Input!$D$1:$AC$1, 0))</f>
        <v>#N/A</v>
      </c>
      <c r="M65" s="13" t="e">
        <f>INDEX(Input!$D$2:$AC$500,
       MATCH(B65, Input!$J$2:$J$500, 0),
       MATCH("Memory Type", Input!$D$1:$AC$1,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e">
        <f>INDEX(Input!$D$2:$AC$500,
       MATCH(B65, Input!$J$2:$J$500, 0),
       MATCH("Disk Capacity", Input!$D$1:$AC$1, 0))</f>
        <v>#N/A</v>
      </c>
      <c r="S65" s="13" t="str">
        <f>_xlfn.LET(_xlpm.Result,_xlfn.XLOOKUP(B65,Input!J:J,Input!AA:AA),IF(_xlpm.Result="","",_xlpm.Result))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AB65">IFERROR(IF(_xlfn.XLOOKUP(B65,Input!J:J,Input!N:U)=0,"",
          _xlfn.XLOOKUP(B65,Input!J:J,Input!N:U)),"")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s="13" t="str">
        <v/>
      </c>
      <c r="AB65" s="13" t="str">
        <v/>
      </c>
      <c r="AC65" t="str">
        <f t="shared" si="2"/>
        <v/>
      </c>
      <c r="AD65" t="str">
        <f>_xlfn.XLOOKUP(B:B,Disk_Pivot!G:G,Disk_Pivot!I:I)</f>
        <v>Yes</v>
      </c>
      <c r="AE65" t="str">
        <f>_xlfn.XLOOKUP(B65,Disk_Pivot!G:G,Disk_Pivot!N:N)</f>
        <v>Fail</v>
      </c>
    </row>
    <row r="66" spans="1:31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INDEX(Input!$D$2:$AC$500,
       MATCH(B66, Input!$J$2:$J$500, 0),
       MATCH("Memory Capacity", Input!$D$1:$AC$1, 0))</f>
        <v>#N/A</v>
      </c>
      <c r="M66" s="13" t="e">
        <f>INDEX(Input!$D$2:$AC$500,
       MATCH(B66, Input!$J$2:$J$500, 0),
       MATCH("Memory Type", Input!$D$1:$AC$1,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e">
        <f>INDEX(Input!$D$2:$AC$500,
       MATCH(B66, Input!$J$2:$J$500, 0),
       MATCH("Disk Capacity", Input!$D$1:$AC$1, 0))</f>
        <v>#N/A</v>
      </c>
      <c r="S66" s="13" t="str">
        <f>_xlfn.LET(_xlpm.Result,_xlfn.XLOOKUP(B66,Input!J:J,Input!AA:AA),IF(_xlpm.Result="","",_xlpm.Result))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AB66">IFERROR(IF(_xlfn.XLOOKUP(B66,Input!J:J,Input!N:U)=0,"",
          _xlfn.XLOOKUP(B66,Input!J:J,Input!N:U)),"")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s="13" t="str">
        <v/>
      </c>
      <c r="AB66" s="13" t="str">
        <v/>
      </c>
      <c r="AC66" t="str">
        <f t="shared" si="2"/>
        <v/>
      </c>
      <c r="AD66" t="str">
        <f>_xlfn.XLOOKUP(B:B,Disk_Pivot!G:G,Disk_Pivot!I:I)</f>
        <v>Yes</v>
      </c>
      <c r="AE66" t="str">
        <f>_xlfn.XLOOKUP(B66,Disk_Pivot!G:G,Disk_Pivot!N:N)</f>
        <v>Fail</v>
      </c>
    </row>
    <row r="67" spans="1:31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INDEX(Input!$D$2:$AC$500,
       MATCH(B67, Input!$J$2:$J$500, 0),
       MATCH("Memory Capacity", Input!$D$1:$AC$1, 0))</f>
        <v>#N/A</v>
      </c>
      <c r="M67" s="13" t="e">
        <f>INDEX(Input!$D$2:$AC$500,
       MATCH(B67, Input!$J$2:$J$500, 0),
       MATCH("Memory Type", Input!$D$1:$AC$1,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e">
        <f>INDEX(Input!$D$2:$AC$500,
       MATCH(B67, Input!$J$2:$J$500, 0),
       MATCH("Disk Capacity", Input!$D$1:$AC$1, 0))</f>
        <v>#N/A</v>
      </c>
      <c r="S67" s="13" t="str">
        <f>_xlfn.LET(_xlpm.Result,_xlfn.XLOOKUP(B67,Input!J:J,Input!AA:AA),IF(_xlpm.Result="","",_xlpm.Result))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AB67">IFERROR(IF(_xlfn.XLOOKUP(B67,Input!J:J,Input!N:U)=0,"",
          _xlfn.XLOOKUP(B67,Input!J:J,Input!N:U)),"")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s="13" t="str">
        <v/>
      </c>
      <c r="AB67" s="13" t="str">
        <v/>
      </c>
      <c r="AC67" t="str">
        <f t="shared" ref="AC67:AC130" si="5">_xlfn.TEXTJOIN(", ",TRUE,T67,U67,V67,W67,X67,Y67,Z67)</f>
        <v/>
      </c>
      <c r="AD67" t="str">
        <f>_xlfn.XLOOKUP(B:B,Disk_Pivot!G:G,Disk_Pivot!I:I)</f>
        <v>Yes</v>
      </c>
      <c r="AE67" t="str">
        <f>_xlfn.XLOOKUP(B67,Disk_Pivot!G:G,Disk_Pivot!N:N)</f>
        <v>Fail</v>
      </c>
    </row>
    <row r="68" spans="1:31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INDEX(Input!$D$2:$AC$500,
       MATCH(B68, Input!$J$2:$J$500, 0),
       MATCH("Memory Capacity", Input!$D$1:$AC$1, 0))</f>
        <v>#N/A</v>
      </c>
      <c r="M68" s="13" t="e">
        <f>INDEX(Input!$D$2:$AC$500,
       MATCH(B68, Input!$J$2:$J$500, 0),
       MATCH("Memory Type", Input!$D$1:$AC$1,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e">
        <f>INDEX(Input!$D$2:$AC$500,
       MATCH(B68, Input!$J$2:$J$500, 0),
       MATCH("Disk Capacity", Input!$D$1:$AC$1, 0))</f>
        <v>#N/A</v>
      </c>
      <c r="S68" s="13" t="str">
        <f>_xlfn.LET(_xlpm.Result,_xlfn.XLOOKUP(B68,Input!J:J,Input!AA:AA),IF(_xlpm.Result="","",_xlpm.Result))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AB68">IFERROR(IF(_xlfn.XLOOKUP(B68,Input!J:J,Input!N:U)=0,"",
          _xlfn.XLOOKUP(B68,Input!J:J,Input!N:U)),"")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s="13" t="str">
        <v/>
      </c>
      <c r="AB68" s="13" t="str">
        <v/>
      </c>
      <c r="AC68" t="str">
        <f t="shared" si="5"/>
        <v/>
      </c>
      <c r="AD68" t="str">
        <f>_xlfn.XLOOKUP(B:B,Disk_Pivot!G:G,Disk_Pivot!I:I)</f>
        <v>Yes</v>
      </c>
      <c r="AE68" t="str">
        <f>_xlfn.XLOOKUP(B68,Disk_Pivot!G:G,Disk_Pivot!N:N)</f>
        <v>Fail</v>
      </c>
    </row>
    <row r="69" spans="1:31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INDEX(Input!$D$2:$AC$500,
       MATCH(B69, Input!$J$2:$J$500, 0),
       MATCH("Memory Capacity", Input!$D$1:$AC$1, 0))</f>
        <v>#N/A</v>
      </c>
      <c r="M69" s="13" t="e">
        <f>INDEX(Input!$D$2:$AC$500,
       MATCH(B69, Input!$J$2:$J$500, 0),
       MATCH("Memory Type", Input!$D$1:$AC$1,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e">
        <f>INDEX(Input!$D$2:$AC$500,
       MATCH(B69, Input!$J$2:$J$500, 0),
       MATCH("Disk Capacity", Input!$D$1:$AC$1, 0))</f>
        <v>#N/A</v>
      </c>
      <c r="S69" s="13" t="str">
        <f>_xlfn.LET(_xlpm.Result,_xlfn.XLOOKUP(B69,Input!J:J,Input!AA:AA),IF(_xlpm.Result="","",_xlpm.Result))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AB69">IFERROR(IF(_xlfn.XLOOKUP(B69,Input!J:J,Input!N:U)=0,"",
          _xlfn.XLOOKUP(B69,Input!J:J,Input!N:U)),"")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s="13" t="str">
        <v/>
      </c>
      <c r="AB69" s="13" t="str">
        <v/>
      </c>
      <c r="AC69" t="str">
        <f t="shared" si="5"/>
        <v/>
      </c>
      <c r="AD69" t="str">
        <f>_xlfn.XLOOKUP(B:B,Disk_Pivot!G:G,Disk_Pivot!I:I)</f>
        <v>Yes</v>
      </c>
      <c r="AE69" t="str">
        <f>_xlfn.XLOOKUP(B69,Disk_Pivot!G:G,Disk_Pivot!N:N)</f>
        <v>Fail</v>
      </c>
    </row>
    <row r="70" spans="1:31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INDEX(Input!$D$2:$AC$500,
       MATCH(B70, Input!$J$2:$J$500, 0),
       MATCH("Memory Capacity", Input!$D$1:$AC$1, 0))</f>
        <v>#N/A</v>
      </c>
      <c r="M70" s="13" t="e">
        <f>INDEX(Input!$D$2:$AC$500,
       MATCH(B70, Input!$J$2:$J$500, 0),
       MATCH("Memory Type", Input!$D$1:$AC$1,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e">
        <f>INDEX(Input!$D$2:$AC$500,
       MATCH(B70, Input!$J$2:$J$500, 0),
       MATCH("Disk Capacity", Input!$D$1:$AC$1, 0))</f>
        <v>#N/A</v>
      </c>
      <c r="S70" s="13" t="str">
        <f>_xlfn.LET(_xlpm.Result,_xlfn.XLOOKUP(B70,Input!J:J,Input!AA:AA),IF(_xlpm.Result="","",_xlpm.Result))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AB70">IFERROR(IF(_xlfn.XLOOKUP(B70,Input!J:J,Input!N:U)=0,"",
          _xlfn.XLOOKUP(B70,Input!J:J,Input!N:U)),"")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s="13" t="str">
        <v/>
      </c>
      <c r="AB70" s="13" t="str">
        <v/>
      </c>
      <c r="AC70" t="str">
        <f t="shared" si="5"/>
        <v/>
      </c>
      <c r="AD70" t="str">
        <f>_xlfn.XLOOKUP(B:B,Disk_Pivot!G:G,Disk_Pivot!I:I)</f>
        <v>Yes</v>
      </c>
      <c r="AE70" t="str">
        <f>_xlfn.XLOOKUP(B70,Disk_Pivot!G:G,Disk_Pivot!N:N)</f>
        <v>Fail</v>
      </c>
    </row>
    <row r="71" spans="1:31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INDEX(Input!$D$2:$AC$500,
       MATCH(B71, Input!$J$2:$J$500, 0),
       MATCH("Memory Capacity", Input!$D$1:$AC$1, 0))</f>
        <v>#N/A</v>
      </c>
      <c r="M71" s="13" t="e">
        <f>INDEX(Input!$D$2:$AC$500,
       MATCH(B71, Input!$J$2:$J$500, 0),
       MATCH("Memory Type", Input!$D$1:$AC$1,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e">
        <f>INDEX(Input!$D$2:$AC$500,
       MATCH(B71, Input!$J$2:$J$500, 0),
       MATCH("Disk Capacity", Input!$D$1:$AC$1, 0))</f>
        <v>#N/A</v>
      </c>
      <c r="S71" s="13" t="str">
        <f>_xlfn.LET(_xlpm.Result,_xlfn.XLOOKUP(B71,Input!J:J,Input!AA:AA),IF(_xlpm.Result="","",_xlpm.Result))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AB71">IFERROR(IF(_xlfn.XLOOKUP(B71,Input!J:J,Input!N:U)=0,"",
          _xlfn.XLOOKUP(B71,Input!J:J,Input!N:U)),"")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s="13" t="str">
        <v/>
      </c>
      <c r="AB71" s="13" t="str">
        <v/>
      </c>
      <c r="AC71" t="str">
        <f t="shared" si="5"/>
        <v/>
      </c>
      <c r="AD71" t="str">
        <f>_xlfn.XLOOKUP(B:B,Disk_Pivot!G:G,Disk_Pivot!I:I)</f>
        <v>Yes</v>
      </c>
      <c r="AE71" t="str">
        <f>_xlfn.XLOOKUP(B71,Disk_Pivot!G:G,Disk_Pivot!N:N)</f>
        <v>Fail</v>
      </c>
    </row>
    <row r="72" spans="1:31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INDEX(Input!$D$2:$AC$500,
       MATCH(B72, Input!$J$2:$J$500, 0),
       MATCH("Memory Capacity", Input!$D$1:$AC$1, 0))</f>
        <v>#N/A</v>
      </c>
      <c r="M72" s="13" t="e">
        <f>INDEX(Input!$D$2:$AC$500,
       MATCH(B72, Input!$J$2:$J$500, 0),
       MATCH("Memory Type", Input!$D$1:$AC$1,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e">
        <f>INDEX(Input!$D$2:$AC$500,
       MATCH(B72, Input!$J$2:$J$500, 0),
       MATCH("Disk Capacity", Input!$D$1:$AC$1, 0))</f>
        <v>#N/A</v>
      </c>
      <c r="S72" s="13" t="str">
        <f>_xlfn.LET(_xlpm.Result,_xlfn.XLOOKUP(B72,Input!J:J,Input!AA:AA),IF(_xlpm.Result="","",_xlpm.Result))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AB72">IFERROR(IF(_xlfn.XLOOKUP(B72,Input!J:J,Input!N:U)=0,"",
          _xlfn.XLOOKUP(B72,Input!J:J,Input!N:U)),"")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s="13" t="str">
        <v/>
      </c>
      <c r="AB72" s="13" t="str">
        <v/>
      </c>
      <c r="AC72" t="str">
        <f t="shared" si="5"/>
        <v/>
      </c>
      <c r="AD72" t="str">
        <f>_xlfn.XLOOKUP(B:B,Disk_Pivot!G:G,Disk_Pivot!I:I)</f>
        <v>Yes</v>
      </c>
      <c r="AE72" t="str">
        <f>_xlfn.XLOOKUP(B72,Disk_Pivot!G:G,Disk_Pivot!N:N)</f>
        <v>Fail</v>
      </c>
    </row>
    <row r="73" spans="1:31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INDEX(Input!$D$2:$AC$500,
       MATCH(B73, Input!$J$2:$J$500, 0),
       MATCH("Memory Capacity", Input!$D$1:$AC$1, 0))</f>
        <v>#N/A</v>
      </c>
      <c r="M73" s="13" t="e">
        <f>INDEX(Input!$D$2:$AC$500,
       MATCH(B73, Input!$J$2:$J$500, 0),
       MATCH("Memory Type", Input!$D$1:$AC$1,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e">
        <f>INDEX(Input!$D$2:$AC$500,
       MATCH(B73, Input!$J$2:$J$500, 0),
       MATCH("Disk Capacity", Input!$D$1:$AC$1, 0))</f>
        <v>#N/A</v>
      </c>
      <c r="S73" s="13" t="str">
        <f>_xlfn.LET(_xlpm.Result,_xlfn.XLOOKUP(B73,Input!J:J,Input!AA:AA),IF(_xlpm.Result="","",_xlpm.Result))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AB73">IFERROR(IF(_xlfn.XLOOKUP(B73,Input!J:J,Input!N:U)=0,"",
          _xlfn.XLOOKUP(B73,Input!J:J,Input!N:U)),"")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s="13" t="str">
        <v/>
      </c>
      <c r="AB73" s="13" t="str">
        <v/>
      </c>
      <c r="AC73" t="str">
        <f t="shared" si="5"/>
        <v/>
      </c>
      <c r="AD73" t="str">
        <f>_xlfn.XLOOKUP(B:B,Disk_Pivot!G:G,Disk_Pivot!I:I)</f>
        <v>Yes</v>
      </c>
      <c r="AE73" t="str">
        <f>_xlfn.XLOOKUP(B73,Disk_Pivot!G:G,Disk_Pivot!N:N)</f>
        <v>Fail</v>
      </c>
    </row>
    <row r="74" spans="1:31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INDEX(Input!$D$2:$AC$500,
       MATCH(B74, Input!$J$2:$J$500, 0),
       MATCH("Memory Capacity", Input!$D$1:$AC$1, 0))</f>
        <v>#N/A</v>
      </c>
      <c r="M74" s="13" t="e">
        <f>INDEX(Input!$D$2:$AC$500,
       MATCH(B74, Input!$J$2:$J$500, 0),
       MATCH("Memory Type", Input!$D$1:$AC$1,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e">
        <f>INDEX(Input!$D$2:$AC$500,
       MATCH(B74, Input!$J$2:$J$500, 0),
       MATCH("Disk Capacity", Input!$D$1:$AC$1, 0))</f>
        <v>#N/A</v>
      </c>
      <c r="S74" s="13" t="str">
        <f>_xlfn.LET(_xlpm.Result,_xlfn.XLOOKUP(B74,Input!J:J,Input!AA:AA),IF(_xlpm.Result="","",_xlpm.Result))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AB74">IFERROR(IF(_xlfn.XLOOKUP(B74,Input!J:J,Input!N:U)=0,"",
          _xlfn.XLOOKUP(B74,Input!J:J,Input!N:U)),"")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s="13" t="str">
        <v/>
      </c>
      <c r="AB74" s="13" t="str">
        <v/>
      </c>
      <c r="AC74" t="str">
        <f t="shared" si="5"/>
        <v/>
      </c>
      <c r="AD74" t="str">
        <f>_xlfn.XLOOKUP(B:B,Disk_Pivot!G:G,Disk_Pivot!I:I)</f>
        <v>Yes</v>
      </c>
      <c r="AE74" t="str">
        <f>_xlfn.XLOOKUP(B74,Disk_Pivot!G:G,Disk_Pivot!N:N)</f>
        <v>Fail</v>
      </c>
    </row>
    <row r="75" spans="1:31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INDEX(Input!$D$2:$AC$500,
       MATCH(B75, Input!$J$2:$J$500, 0),
       MATCH("Memory Capacity", Input!$D$1:$AC$1, 0))</f>
        <v>#N/A</v>
      </c>
      <c r="M75" s="13" t="e">
        <f>INDEX(Input!$D$2:$AC$500,
       MATCH(B75, Input!$J$2:$J$500, 0),
       MATCH("Memory Type", Input!$D$1:$AC$1,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e">
        <f>INDEX(Input!$D$2:$AC$500,
       MATCH(B75, Input!$J$2:$J$500, 0),
       MATCH("Disk Capacity", Input!$D$1:$AC$1, 0))</f>
        <v>#N/A</v>
      </c>
      <c r="S75" s="13" t="str">
        <f>_xlfn.LET(_xlpm.Result,_xlfn.XLOOKUP(B75,Input!J:J,Input!AA:AA),IF(_xlpm.Result="","",_xlpm.Result))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AB75">IFERROR(IF(_xlfn.XLOOKUP(B75,Input!J:J,Input!N:U)=0,"",
          _xlfn.XLOOKUP(B75,Input!J:J,Input!N:U)),"")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s="13" t="str">
        <v/>
      </c>
      <c r="AB75" s="13" t="str">
        <v/>
      </c>
      <c r="AC75" t="str">
        <f t="shared" si="5"/>
        <v/>
      </c>
      <c r="AD75" t="str">
        <f>_xlfn.XLOOKUP(B:B,Disk_Pivot!G:G,Disk_Pivot!I:I)</f>
        <v>Yes</v>
      </c>
      <c r="AE75" t="str">
        <f>_xlfn.XLOOKUP(B75,Disk_Pivot!G:G,Disk_Pivot!N:N)</f>
        <v>Fail</v>
      </c>
    </row>
    <row r="76" spans="1:31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INDEX(Input!$D$2:$AC$500,
       MATCH(B76, Input!$J$2:$J$500, 0),
       MATCH("Memory Capacity", Input!$D$1:$AC$1, 0))</f>
        <v>#N/A</v>
      </c>
      <c r="M76" s="13" t="e">
        <f>INDEX(Input!$D$2:$AC$500,
       MATCH(B76, Input!$J$2:$J$500, 0),
       MATCH("Memory Type", Input!$D$1:$AC$1,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e">
        <f>INDEX(Input!$D$2:$AC$500,
       MATCH(B76, Input!$J$2:$J$500, 0),
       MATCH("Disk Capacity", Input!$D$1:$AC$1, 0))</f>
        <v>#N/A</v>
      </c>
      <c r="S76" s="13" t="str">
        <f>_xlfn.LET(_xlpm.Result,_xlfn.XLOOKUP(B76,Input!J:J,Input!AA:AA),IF(_xlpm.Result="","",_xlpm.Result))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AB76">IFERROR(IF(_xlfn.XLOOKUP(B76,Input!J:J,Input!N:U)=0,"",
          _xlfn.XLOOKUP(B76,Input!J:J,Input!N:U)),"")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s="13" t="str">
        <v/>
      </c>
      <c r="AB76" s="13" t="str">
        <v/>
      </c>
      <c r="AC76" t="str">
        <f t="shared" si="5"/>
        <v/>
      </c>
      <c r="AD76" t="str">
        <f>_xlfn.XLOOKUP(B:B,Disk_Pivot!G:G,Disk_Pivot!I:I)</f>
        <v>Yes</v>
      </c>
      <c r="AE76" t="str">
        <f>_xlfn.XLOOKUP(B76,Disk_Pivot!G:G,Disk_Pivot!N:N)</f>
        <v>Fail</v>
      </c>
    </row>
    <row r="77" spans="1:31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INDEX(Input!$D$2:$AC$500,
       MATCH(B77, Input!$J$2:$J$500, 0),
       MATCH("Memory Capacity", Input!$D$1:$AC$1, 0))</f>
        <v>#N/A</v>
      </c>
      <c r="M77" s="13" t="e">
        <f>INDEX(Input!$D$2:$AC$500,
       MATCH(B77, Input!$J$2:$J$500, 0),
       MATCH("Memory Type", Input!$D$1:$AC$1,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e">
        <f>INDEX(Input!$D$2:$AC$500,
       MATCH(B77, Input!$J$2:$J$500, 0),
       MATCH("Disk Capacity", Input!$D$1:$AC$1, 0))</f>
        <v>#N/A</v>
      </c>
      <c r="S77" s="13" t="str">
        <f>_xlfn.LET(_xlpm.Result,_xlfn.XLOOKUP(B77,Input!J:J,Input!AA:AA),IF(_xlpm.Result="","",_xlpm.Result))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AB77">IFERROR(IF(_xlfn.XLOOKUP(B77,Input!J:J,Input!N:U)=0,"",
          _xlfn.XLOOKUP(B77,Input!J:J,Input!N:U)),"")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s="13" t="str">
        <v/>
      </c>
      <c r="AB77" s="13" t="str">
        <v/>
      </c>
      <c r="AC77" t="str">
        <f t="shared" si="5"/>
        <v/>
      </c>
      <c r="AD77" t="str">
        <f>_xlfn.XLOOKUP(B:B,Disk_Pivot!G:G,Disk_Pivot!I:I)</f>
        <v>Yes</v>
      </c>
      <c r="AE77" t="str">
        <f>_xlfn.XLOOKUP(B77,Disk_Pivot!G:G,Disk_Pivot!N:N)</f>
        <v>Fail</v>
      </c>
    </row>
    <row r="78" spans="1:31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INDEX(Input!$D$2:$AC$500,
       MATCH(B78, Input!$J$2:$J$500, 0),
       MATCH("Memory Capacity", Input!$D$1:$AC$1, 0))</f>
        <v>#N/A</v>
      </c>
      <c r="M78" s="13" t="e">
        <f>INDEX(Input!$D$2:$AC$500,
       MATCH(B78, Input!$J$2:$J$500, 0),
       MATCH("Memory Type", Input!$D$1:$AC$1,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e">
        <f>INDEX(Input!$D$2:$AC$500,
       MATCH(B78, Input!$J$2:$J$500, 0),
       MATCH("Disk Capacity", Input!$D$1:$AC$1, 0))</f>
        <v>#N/A</v>
      </c>
      <c r="S78" s="13" t="str">
        <f>_xlfn.LET(_xlpm.Result,_xlfn.XLOOKUP(B78,Input!J:J,Input!AA:AA),IF(_xlpm.Result="","",_xlpm.Result))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AB78">IFERROR(IF(_xlfn.XLOOKUP(B78,Input!J:J,Input!N:U)=0,"",
          _xlfn.XLOOKUP(B78,Input!J:J,Input!N:U)),"")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s="13" t="str">
        <v/>
      </c>
      <c r="AB78" s="13" t="str">
        <v/>
      </c>
      <c r="AC78" t="str">
        <f t="shared" si="5"/>
        <v/>
      </c>
      <c r="AD78" t="str">
        <f>_xlfn.XLOOKUP(B:B,Disk_Pivot!G:G,Disk_Pivot!I:I)</f>
        <v>Yes</v>
      </c>
      <c r="AE78" t="str">
        <f>_xlfn.XLOOKUP(B78,Disk_Pivot!G:G,Disk_Pivot!N:N)</f>
        <v>Fail</v>
      </c>
    </row>
    <row r="79" spans="1:31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INDEX(Input!$D$2:$AC$500,
       MATCH(B79, Input!$J$2:$J$500, 0),
       MATCH("Memory Capacity", Input!$D$1:$AC$1, 0))</f>
        <v>#N/A</v>
      </c>
      <c r="M79" s="13" t="e">
        <f>INDEX(Input!$D$2:$AC$500,
       MATCH(B79, Input!$J$2:$J$500, 0),
       MATCH("Memory Type", Input!$D$1:$AC$1,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e">
        <f>INDEX(Input!$D$2:$AC$500,
       MATCH(B79, Input!$J$2:$J$500, 0),
       MATCH("Disk Capacity", Input!$D$1:$AC$1, 0))</f>
        <v>#N/A</v>
      </c>
      <c r="S79" s="13" t="str">
        <f>_xlfn.LET(_xlpm.Result,_xlfn.XLOOKUP(B79,Input!J:J,Input!AA:AA),IF(_xlpm.Result="","",_xlpm.Result))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AB79">IFERROR(IF(_xlfn.XLOOKUP(B79,Input!J:J,Input!N:U)=0,"",
          _xlfn.XLOOKUP(B79,Input!J:J,Input!N:U)),"")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s="13" t="str">
        <v/>
      </c>
      <c r="AB79" s="13" t="str">
        <v/>
      </c>
      <c r="AC79" t="str">
        <f t="shared" si="5"/>
        <v/>
      </c>
      <c r="AD79" t="str">
        <f>_xlfn.XLOOKUP(B:B,Disk_Pivot!G:G,Disk_Pivot!I:I)</f>
        <v>Yes</v>
      </c>
      <c r="AE79" t="str">
        <f>_xlfn.XLOOKUP(B79,Disk_Pivot!G:G,Disk_Pivot!N:N)</f>
        <v>Fail</v>
      </c>
    </row>
    <row r="80" spans="1:31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INDEX(Input!$D$2:$AC$500,
       MATCH(B80, Input!$J$2:$J$500, 0),
       MATCH("Memory Capacity", Input!$D$1:$AC$1, 0))</f>
        <v>#N/A</v>
      </c>
      <c r="M80" s="13" t="e">
        <f>INDEX(Input!$D$2:$AC$500,
       MATCH(B80, Input!$J$2:$J$500, 0),
       MATCH("Memory Type", Input!$D$1:$AC$1,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e">
        <f>INDEX(Input!$D$2:$AC$500,
       MATCH(B80, Input!$J$2:$J$500, 0),
       MATCH("Disk Capacity", Input!$D$1:$AC$1, 0))</f>
        <v>#N/A</v>
      </c>
      <c r="S80" s="13" t="str">
        <f>_xlfn.LET(_xlpm.Result,_xlfn.XLOOKUP(B80,Input!J:J,Input!AA:AA),IF(_xlpm.Result="","",_xlpm.Result))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AB80">IFERROR(IF(_xlfn.XLOOKUP(B80,Input!J:J,Input!N:U)=0,"",
          _xlfn.XLOOKUP(B80,Input!J:J,Input!N:U)),"")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s="13" t="str">
        <v/>
      </c>
      <c r="AB80" s="13" t="str">
        <v/>
      </c>
      <c r="AC80" t="str">
        <f t="shared" si="5"/>
        <v/>
      </c>
      <c r="AD80" t="str">
        <f>_xlfn.XLOOKUP(B:B,Disk_Pivot!G:G,Disk_Pivot!I:I)</f>
        <v>Yes</v>
      </c>
      <c r="AE80" t="str">
        <f>_xlfn.XLOOKUP(B80,Disk_Pivot!G:G,Disk_Pivot!N:N)</f>
        <v>Fail</v>
      </c>
    </row>
    <row r="81" spans="1:31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INDEX(Input!$D$2:$AC$500,
       MATCH(B81, Input!$J$2:$J$500, 0),
       MATCH("Memory Capacity", Input!$D$1:$AC$1, 0))</f>
        <v>#N/A</v>
      </c>
      <c r="M81" s="13" t="e">
        <f>INDEX(Input!$D$2:$AC$500,
       MATCH(B81, Input!$J$2:$J$500, 0),
       MATCH("Memory Type", Input!$D$1:$AC$1,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e">
        <f>INDEX(Input!$D$2:$AC$500,
       MATCH(B81, Input!$J$2:$J$500, 0),
       MATCH("Disk Capacity", Input!$D$1:$AC$1, 0))</f>
        <v>#N/A</v>
      </c>
      <c r="S81" s="13" t="str">
        <f>_xlfn.LET(_xlpm.Result,_xlfn.XLOOKUP(B81,Input!J:J,Input!AA:AA),IF(_xlpm.Result="","",_xlpm.Result))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AB81">IFERROR(IF(_xlfn.XLOOKUP(B81,Input!J:J,Input!N:U)=0,"",
          _xlfn.XLOOKUP(B81,Input!J:J,Input!N:U)),"")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s="13" t="str">
        <v/>
      </c>
      <c r="AB81" s="13" t="str">
        <v/>
      </c>
      <c r="AC81" t="str">
        <f t="shared" si="5"/>
        <v/>
      </c>
      <c r="AD81" t="str">
        <f>_xlfn.XLOOKUP(B:B,Disk_Pivot!G:G,Disk_Pivot!I:I)</f>
        <v>Yes</v>
      </c>
      <c r="AE81" t="str">
        <f>_xlfn.XLOOKUP(B81,Disk_Pivot!G:G,Disk_Pivot!N:N)</f>
        <v>Fail</v>
      </c>
    </row>
    <row r="82" spans="1:31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INDEX(Input!$D$2:$AC$500,
       MATCH(B82, Input!$J$2:$J$500, 0),
       MATCH("Memory Capacity", Input!$D$1:$AC$1, 0))</f>
        <v>#N/A</v>
      </c>
      <c r="M82" s="13" t="e">
        <f>INDEX(Input!$D$2:$AC$500,
       MATCH(B82, Input!$J$2:$J$500, 0),
       MATCH("Memory Type", Input!$D$1:$AC$1,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e">
        <f>INDEX(Input!$D$2:$AC$500,
       MATCH(B82, Input!$J$2:$J$500, 0),
       MATCH("Disk Capacity", Input!$D$1:$AC$1, 0))</f>
        <v>#N/A</v>
      </c>
      <c r="S82" s="13" t="str">
        <f>_xlfn.LET(_xlpm.Result,_xlfn.XLOOKUP(B82,Input!J:J,Input!AA:AA),IF(_xlpm.Result="","",_xlpm.Result))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AB82">IFERROR(IF(_xlfn.XLOOKUP(B82,Input!J:J,Input!N:U)=0,"",
          _xlfn.XLOOKUP(B82,Input!J:J,Input!N:U)),"")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s="13" t="str">
        <v/>
      </c>
      <c r="AB82" s="13" t="str">
        <v/>
      </c>
      <c r="AC82" t="str">
        <f t="shared" si="5"/>
        <v/>
      </c>
      <c r="AD82" t="str">
        <f>_xlfn.XLOOKUP(B:B,Disk_Pivot!G:G,Disk_Pivot!I:I)</f>
        <v>Yes</v>
      </c>
      <c r="AE82" t="str">
        <f>_xlfn.XLOOKUP(B82,Disk_Pivot!G:G,Disk_Pivot!N:N)</f>
        <v>Fail</v>
      </c>
    </row>
    <row r="83" spans="1:31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INDEX(Input!$D$2:$AC$500,
       MATCH(B83, Input!$J$2:$J$500, 0),
       MATCH("Memory Capacity", Input!$D$1:$AC$1, 0))</f>
        <v>#N/A</v>
      </c>
      <c r="M83" s="13" t="e">
        <f>INDEX(Input!$D$2:$AC$500,
       MATCH(B83, Input!$J$2:$J$500, 0),
       MATCH("Memory Type", Input!$D$1:$AC$1,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e">
        <f>INDEX(Input!$D$2:$AC$500,
       MATCH(B83, Input!$J$2:$J$500, 0),
       MATCH("Disk Capacity", Input!$D$1:$AC$1, 0))</f>
        <v>#N/A</v>
      </c>
      <c r="S83" s="13" t="str">
        <f>_xlfn.LET(_xlpm.Result,_xlfn.XLOOKUP(B83,Input!J:J,Input!AA:AA),IF(_xlpm.Result="","",_xlpm.Result))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AB83">IFERROR(IF(_xlfn.XLOOKUP(B83,Input!J:J,Input!N:U)=0,"",
          _xlfn.XLOOKUP(B83,Input!J:J,Input!N:U)),"")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s="13" t="str">
        <v/>
      </c>
      <c r="AB83" s="13" t="str">
        <v/>
      </c>
      <c r="AC83" t="str">
        <f t="shared" si="5"/>
        <v/>
      </c>
      <c r="AD83" t="str">
        <f>_xlfn.XLOOKUP(B:B,Disk_Pivot!G:G,Disk_Pivot!I:I)</f>
        <v>Yes</v>
      </c>
      <c r="AE83" t="str">
        <f>_xlfn.XLOOKUP(B83,Disk_Pivot!G:G,Disk_Pivot!N:N)</f>
        <v>Fail</v>
      </c>
    </row>
    <row r="84" spans="1:31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INDEX(Input!$D$2:$AC$500,
       MATCH(B84, Input!$J$2:$J$500, 0),
       MATCH("Memory Capacity", Input!$D$1:$AC$1, 0))</f>
        <v>#N/A</v>
      </c>
      <c r="M84" s="13" t="e">
        <f>INDEX(Input!$D$2:$AC$500,
       MATCH(B84, Input!$J$2:$J$500, 0),
       MATCH("Memory Type", Input!$D$1:$AC$1,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e">
        <f>INDEX(Input!$D$2:$AC$500,
       MATCH(B84, Input!$J$2:$J$500, 0),
       MATCH("Disk Capacity", Input!$D$1:$AC$1, 0))</f>
        <v>#N/A</v>
      </c>
      <c r="S84" s="13" t="str">
        <f>_xlfn.LET(_xlpm.Result,_xlfn.XLOOKUP(B84,Input!J:J,Input!AA:AA),IF(_xlpm.Result="","",_xlpm.Result))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AB84">IFERROR(IF(_xlfn.XLOOKUP(B84,Input!J:J,Input!N:U)=0,"",
          _xlfn.XLOOKUP(B84,Input!J:J,Input!N:U)),"")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s="13" t="str">
        <v/>
      </c>
      <c r="AB84" s="13" t="str">
        <v/>
      </c>
      <c r="AC84" t="str">
        <f t="shared" si="5"/>
        <v/>
      </c>
      <c r="AD84" t="str">
        <f>_xlfn.XLOOKUP(B:B,Disk_Pivot!G:G,Disk_Pivot!I:I)</f>
        <v>Yes</v>
      </c>
      <c r="AE84" t="str">
        <f>_xlfn.XLOOKUP(B84,Disk_Pivot!G:G,Disk_Pivot!N:N)</f>
        <v>Fail</v>
      </c>
    </row>
    <row r="85" spans="1:31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INDEX(Input!$D$2:$AC$500,
       MATCH(B85, Input!$J$2:$J$500, 0),
       MATCH("Memory Capacity", Input!$D$1:$AC$1, 0))</f>
        <v>#N/A</v>
      </c>
      <c r="M85" s="13" t="e">
        <f>INDEX(Input!$D$2:$AC$500,
       MATCH(B85, Input!$J$2:$J$500, 0),
       MATCH("Memory Type", Input!$D$1:$AC$1,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e">
        <f>INDEX(Input!$D$2:$AC$500,
       MATCH(B85, Input!$J$2:$J$500, 0),
       MATCH("Disk Capacity", Input!$D$1:$AC$1, 0))</f>
        <v>#N/A</v>
      </c>
      <c r="S85" s="13" t="str">
        <f>_xlfn.LET(_xlpm.Result,_xlfn.XLOOKUP(B85,Input!J:J,Input!AA:AA),IF(_xlpm.Result="","",_xlpm.Result))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AB85">IFERROR(IF(_xlfn.XLOOKUP(B85,Input!J:J,Input!N:U)=0,"",
          _xlfn.XLOOKUP(B85,Input!J:J,Input!N:U)),"")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s="13" t="str">
        <v/>
      </c>
      <c r="AB85" s="13" t="str">
        <v/>
      </c>
      <c r="AC85" t="str">
        <f t="shared" si="5"/>
        <v/>
      </c>
      <c r="AD85" t="str">
        <f>_xlfn.XLOOKUP(B:B,Disk_Pivot!G:G,Disk_Pivot!I:I)</f>
        <v>Yes</v>
      </c>
      <c r="AE85" t="str">
        <f>_xlfn.XLOOKUP(B85,Disk_Pivot!G:G,Disk_Pivot!N:N)</f>
        <v>Fail</v>
      </c>
    </row>
    <row r="86" spans="1:31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INDEX(Input!$D$2:$AC$500,
       MATCH(B86, Input!$J$2:$J$500, 0),
       MATCH("Memory Capacity", Input!$D$1:$AC$1, 0))</f>
        <v>#N/A</v>
      </c>
      <c r="M86" s="13" t="e">
        <f>INDEX(Input!$D$2:$AC$500,
       MATCH(B86, Input!$J$2:$J$500, 0),
       MATCH("Memory Type", Input!$D$1:$AC$1,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e">
        <f>INDEX(Input!$D$2:$AC$500,
       MATCH(B86, Input!$J$2:$J$500, 0),
       MATCH("Disk Capacity", Input!$D$1:$AC$1, 0))</f>
        <v>#N/A</v>
      </c>
      <c r="S86" s="13" t="str">
        <f>_xlfn.LET(_xlpm.Result,_xlfn.XLOOKUP(B86,Input!J:J,Input!AA:AA),IF(_xlpm.Result="","",_xlpm.Result))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AB86">IFERROR(IF(_xlfn.XLOOKUP(B86,Input!J:J,Input!N:U)=0,"",
          _xlfn.XLOOKUP(B86,Input!J:J,Input!N:U)),"")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s="13" t="str">
        <v/>
      </c>
      <c r="AB86" s="13" t="str">
        <v/>
      </c>
      <c r="AC86" t="str">
        <f t="shared" si="5"/>
        <v/>
      </c>
      <c r="AD86" t="str">
        <f>_xlfn.XLOOKUP(B:B,Disk_Pivot!G:G,Disk_Pivot!I:I)</f>
        <v>Yes</v>
      </c>
      <c r="AE86" t="str">
        <f>_xlfn.XLOOKUP(B86,Disk_Pivot!G:G,Disk_Pivot!N:N)</f>
        <v>Fail</v>
      </c>
    </row>
    <row r="87" spans="1:31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INDEX(Input!$D$2:$AC$500,
       MATCH(B87, Input!$J$2:$J$500, 0),
       MATCH("Memory Capacity", Input!$D$1:$AC$1, 0))</f>
        <v>#N/A</v>
      </c>
      <c r="M87" s="13" t="e">
        <f>INDEX(Input!$D$2:$AC$500,
       MATCH(B87, Input!$J$2:$J$500, 0),
       MATCH("Memory Type", Input!$D$1:$AC$1,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e">
        <f>INDEX(Input!$D$2:$AC$500,
       MATCH(B87, Input!$J$2:$J$500, 0),
       MATCH("Disk Capacity", Input!$D$1:$AC$1, 0))</f>
        <v>#N/A</v>
      </c>
      <c r="S87" s="13" t="str">
        <f>_xlfn.LET(_xlpm.Result,_xlfn.XLOOKUP(B87,Input!J:J,Input!AA:AA),IF(_xlpm.Result="","",_xlpm.Result))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AB87">IFERROR(IF(_xlfn.XLOOKUP(B87,Input!J:J,Input!N:U)=0,"",
          _xlfn.XLOOKUP(B87,Input!J:J,Input!N:U)),"")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s="13" t="str">
        <v/>
      </c>
      <c r="AB87" s="13" t="str">
        <v/>
      </c>
      <c r="AC87" t="str">
        <f t="shared" si="5"/>
        <v/>
      </c>
      <c r="AD87" t="str">
        <f>_xlfn.XLOOKUP(B:B,Disk_Pivot!G:G,Disk_Pivot!I:I)</f>
        <v>Yes</v>
      </c>
      <c r="AE87" t="str">
        <f>_xlfn.XLOOKUP(B87,Disk_Pivot!G:G,Disk_Pivot!N:N)</f>
        <v>Fail</v>
      </c>
    </row>
    <row r="88" spans="1:31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INDEX(Input!$D$2:$AC$500,
       MATCH(B88, Input!$J$2:$J$500, 0),
       MATCH("Memory Capacity", Input!$D$1:$AC$1, 0))</f>
        <v>#N/A</v>
      </c>
      <c r="M88" s="13" t="e">
        <f>INDEX(Input!$D$2:$AC$500,
       MATCH(B88, Input!$J$2:$J$500, 0),
       MATCH("Memory Type", Input!$D$1:$AC$1,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 t="shared" ref="P88" si="6">_xlfn.TEXTJOIN(" ",TRUE,N88,"GB",O88)</f>
        <v>#N/A</v>
      </c>
      <c r="Q88" t="e">
        <f>INDEX(Input!$D$2:$AC$500,
       MATCH(B88, Input!$J$2:$J$500, 0),
       MATCH("Disk Capacity", Input!$D$1:$AC$1, 0))</f>
        <v>#N/A</v>
      </c>
      <c r="S88" s="13" t="str">
        <f>_xlfn.LET(_xlpm.Result,_xlfn.XLOOKUP(B88,Input!J:J,Input!AA:AA),IF(_xlpm.Result="","",_xlpm.Result))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AB88">IFERROR(IF(_xlfn.XLOOKUP(B88,Input!J:J,Input!N:U)=0,"",
          _xlfn.XLOOKUP(B88,Input!J:J,Input!N:U)),"")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s="13" t="str">
        <v/>
      </c>
      <c r="AB88" s="13" t="str">
        <v/>
      </c>
      <c r="AC88" t="str">
        <f t="shared" si="5"/>
        <v/>
      </c>
      <c r="AD88" t="str">
        <f>_xlfn.XLOOKUP(B:B,Disk_Pivot!G:G,Disk_Pivot!I:I)</f>
        <v>Yes</v>
      </c>
      <c r="AE88" t="str">
        <f>_xlfn.XLOOKUP(B88,Disk_Pivot!G:G,Disk_Pivot!N:N)</f>
        <v>Fail</v>
      </c>
    </row>
    <row r="89" spans="1:31">
      <c r="A89" t="str">
        <f>_xlfn.TEXTJOIN("",TRUE,_xlfn.XLOOKUP(B89,Input!J:J,Input!G:G,"",0,1),_xlfn.XLOOKUP(B89,Input!J:J,Input!H:H,"",0,1))</f>
        <v/>
      </c>
      <c r="F89">
        <f>_xlfn.XLOOKUP(H89,Models!B:B,Models!F:F,"")</f>
        <v>0</v>
      </c>
      <c r="L89" s="13" t="e">
        <f>INDEX(Input!$D$2:$AC$500,
       MATCH(B89, Input!$J$2:$J$500, 0),
       MATCH("Memory Capacity", Input!$D$1:$AC$1, 0))</f>
        <v>#N/A</v>
      </c>
      <c r="M89" s="13" t="e">
        <f>INDEX(Input!$D$2:$AC$500,
       MATCH(B89, Input!$J$2:$J$500, 0),
       MATCH("Memory Type", Input!$D$1:$AC$1, 0))</f>
        <v>#N/A</v>
      </c>
      <c r="N89" s="13" t="e">
        <f t="shared" si="3"/>
        <v>#N/A</v>
      </c>
      <c r="Q89" t="e">
        <f>INDEX(Input!$D$2:$AC$500,
       MATCH(B89, Input!$J$2:$J$500, 0),
       MATCH("Disk Capacity", Input!$D$1:$AC$1, 0))</f>
        <v>#N/A</v>
      </c>
      <c r="S89" s="13" t="str">
        <f>_xlfn.LET(_xlpm.Result,_xlfn.XLOOKUP(B89,Input!J:J,Input!AA:AA),IF(_xlpm.Result="","",_xlpm.Result))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AB89">IFERROR(IF(_xlfn.XLOOKUP(B89,Input!J:J,Input!N:U)=0,"",
          _xlfn.XLOOKUP(B89,Input!J:J,Input!N:U)),"")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s="13" t="str">
        <v/>
      </c>
      <c r="AB89" s="13" t="str">
        <v/>
      </c>
      <c r="AC89" t="str">
        <f t="shared" si="5"/>
        <v/>
      </c>
      <c r="AD89" t="str">
        <f>_xlfn.XLOOKUP(B:B,Disk_Pivot!G:G,Disk_Pivot!I:I)</f>
        <v>Yes</v>
      </c>
      <c r="AE89" t="str">
        <f>_xlfn.XLOOKUP(B89,Disk_Pivot!G:G,Disk_Pivot!N:N)</f>
        <v>Fail</v>
      </c>
    </row>
    <row r="90" spans="1:31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INDEX(Input!$D$2:$AC$500,
       MATCH(B90, Input!$J$2:$J$500, 0),
       MATCH("Memory Capacity", Input!$D$1:$AC$1, 0))</f>
        <v>#N/A</v>
      </c>
      <c r="M90" s="13" t="e">
        <f>INDEX(Input!$D$2:$AC$500,
       MATCH(B90, Input!$J$2:$J$500, 0),
       MATCH("Memory Type", Input!$D$1:$AC$1, 0))</f>
        <v>#N/A</v>
      </c>
      <c r="N90" s="13" t="e">
        <f t="shared" si="3"/>
        <v>#N/A</v>
      </c>
      <c r="Q90" t="e">
        <f>INDEX(Input!$D$2:$AC$500,
       MATCH(B90, Input!$J$2:$J$500, 0),
       MATCH("Disk Capacity", Input!$D$1:$AC$1, 0))</f>
        <v>#N/A</v>
      </c>
      <c r="S90" s="13" t="str">
        <f>_xlfn.LET(_xlpm.Result,_xlfn.XLOOKUP(B90,Input!J:J,Input!AA:AA),IF(_xlpm.Result="","",_xlpm.Result))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AB90">IFERROR(IF(_xlfn.XLOOKUP(B90,Input!J:J,Input!N:U)=0,"",
          _xlfn.XLOOKUP(B90,Input!J:J,Input!N:U)),"")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s="13" t="str">
        <v/>
      </c>
      <c r="AB90" s="13" t="str">
        <v/>
      </c>
      <c r="AC90" t="str">
        <f t="shared" si="5"/>
        <v/>
      </c>
      <c r="AD90" t="str">
        <f>_xlfn.XLOOKUP(B:B,Disk_Pivot!G:G,Disk_Pivot!I:I)</f>
        <v>Yes</v>
      </c>
      <c r="AE90" t="str">
        <f>_xlfn.XLOOKUP(B90,Disk_Pivot!G:G,Disk_Pivot!N:N)</f>
        <v>Fail</v>
      </c>
    </row>
    <row r="91" spans="1:31">
      <c r="F91">
        <f>_xlfn.XLOOKUP(H91,Models!B:B,Models!F:F,"")</f>
        <v>0</v>
      </c>
      <c r="K91">
        <f>_xlfn.XLOOKUP(B91,CPU_Formula!A:A,CPU_Formula!I:I)</f>
        <v>0</v>
      </c>
      <c r="L91" s="13" t="e">
        <f>INDEX(Input!$D$2:$AC$500,
       MATCH(B91, Input!$J$2:$J$500, 0),
       MATCH("Memory Capacity", Input!$D$1:$AC$1, 0))</f>
        <v>#N/A</v>
      </c>
      <c r="M91" s="13" t="e">
        <f>INDEX(Input!$D$2:$AC$500,
       MATCH(B91, Input!$J$2:$J$500, 0),
       MATCH("Memory Type", Input!$D$1:$AC$1, 0))</f>
        <v>#N/A</v>
      </c>
      <c r="N91" s="13" t="e">
        <f t="shared" si="3"/>
        <v>#N/A</v>
      </c>
      <c r="Q91" t="e">
        <f>INDEX(Input!$D$2:$AC$500,
       MATCH(B91, Input!$J$2:$J$500, 0),
       MATCH("Disk Capacity", Input!$D$1:$AC$1, 0))</f>
        <v>#N/A</v>
      </c>
      <c r="S91" s="13" t="str">
        <f>_xlfn.LET(_xlpm.Result,_xlfn.XLOOKUP(B91,Input!J:J,Input!AA:AA),IF(_xlpm.Result="","",_xlpm.Result))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AB91">IFERROR(IF(_xlfn.XLOOKUP(B91,Input!J:J,Input!N:U)=0,"",
          _xlfn.XLOOKUP(B91,Input!J:J,Input!N:U)),"")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s="13" t="str">
        <v/>
      </c>
      <c r="AB91" s="13" t="str">
        <v/>
      </c>
      <c r="AC91" t="str">
        <f t="shared" si="5"/>
        <v/>
      </c>
      <c r="AD91" t="str">
        <f>_xlfn.XLOOKUP(B:B,Disk_Pivot!G:G,Disk_Pivot!I:I)</f>
        <v>Yes</v>
      </c>
      <c r="AE91" t="str">
        <f>_xlfn.XLOOKUP(B91,Disk_Pivot!G:G,Disk_Pivot!N:N)</f>
        <v>Fail</v>
      </c>
    </row>
    <row r="92" spans="1:31">
      <c r="F92">
        <f>_xlfn.XLOOKUP(H92,Models!B:B,Models!F:F,"")</f>
        <v>0</v>
      </c>
      <c r="K92">
        <f>_xlfn.XLOOKUP(B92,CPU_Formula!A:A,CPU_Formula!I:I)</f>
        <v>0</v>
      </c>
      <c r="L92" s="13" t="e">
        <f>INDEX(Input!$D$2:$AC$500,
       MATCH(B92, Input!$J$2:$J$500, 0),
       MATCH("Memory Capacity", Input!$D$1:$AC$1, 0))</f>
        <v>#N/A</v>
      </c>
      <c r="M92" s="13" t="e">
        <f>INDEX(Input!$D$2:$AC$500,
       MATCH(B92, Input!$J$2:$J$500, 0),
       MATCH("Memory Type", Input!$D$1:$AC$1, 0))</f>
        <v>#N/A</v>
      </c>
      <c r="N92" s="13" t="e">
        <f t="shared" si="3"/>
        <v>#N/A</v>
      </c>
      <c r="Q92" t="e">
        <f>INDEX(Input!$D$2:$AC$500,
       MATCH(B92, Input!$J$2:$J$500, 0),
       MATCH("Disk Capacity", Input!$D$1:$AC$1, 0))</f>
        <v>#N/A</v>
      </c>
      <c r="S92" s="13" t="str">
        <f>_xlfn.LET(_xlpm.Result,_xlfn.XLOOKUP(B92,Input!J:J,Input!AA:AA),IF(_xlpm.Result="","",_xlpm.Result))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AB92">IFERROR(IF(_xlfn.XLOOKUP(B92,Input!J:J,Input!N:U)=0,"",
          _xlfn.XLOOKUP(B92,Input!J:J,Input!N:U)),"")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s="13" t="str">
        <v/>
      </c>
      <c r="AB92" s="13" t="str">
        <v/>
      </c>
      <c r="AC92" t="str">
        <f t="shared" si="5"/>
        <v/>
      </c>
      <c r="AD92" t="str">
        <f>_xlfn.XLOOKUP(B:B,Disk_Pivot!G:G,Disk_Pivot!I:I)</f>
        <v>Yes</v>
      </c>
      <c r="AE92" t="str">
        <f>_xlfn.XLOOKUP(B92,Disk_Pivot!G:G,Disk_Pivot!N:N)</f>
        <v>Fail</v>
      </c>
    </row>
    <row r="93" spans="1:31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INDEX(Input!$D$2:$AC$500,
       MATCH(B93, Input!$J$2:$J$500, 0),
       MATCH("Memory Capacity", Input!$D$1:$AC$1, 0))</f>
        <v>#N/A</v>
      </c>
      <c r="M93" s="13" t="e">
        <f>INDEX(Input!$D$2:$AC$500,
       MATCH(B93, Input!$J$2:$J$500, 0),
       MATCH("Memory Type", Input!$D$1:$AC$1, 0))</f>
        <v>#N/A</v>
      </c>
      <c r="N93" s="13" t="e">
        <f t="shared" si="3"/>
        <v>#N/A</v>
      </c>
      <c r="Q93" t="e">
        <f>INDEX(Input!$D$2:$AC$500,
       MATCH(B93, Input!$J$2:$J$500, 0),
       MATCH("Disk Capacity", Input!$D$1:$AC$1, 0))</f>
        <v>#N/A</v>
      </c>
      <c r="S93" s="13" t="str">
        <f>_xlfn.LET(_xlpm.Result,_xlfn.XLOOKUP(B93,Input!J:J,Input!AA:AA),IF(_xlpm.Result="","",_xlpm.Result))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AB93">IFERROR(IF(_xlfn.XLOOKUP(B93,Input!J:J,Input!N:U)=0,"",
          _xlfn.XLOOKUP(B93,Input!J:J,Input!N:U)),"")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s="13" t="str">
        <v/>
      </c>
      <c r="AB93" s="13" t="str">
        <v/>
      </c>
      <c r="AC93" t="str">
        <f t="shared" si="5"/>
        <v/>
      </c>
      <c r="AD93" t="str">
        <f>_xlfn.XLOOKUP(B:B,Disk_Pivot!G:G,Disk_Pivot!I:I)</f>
        <v>Yes</v>
      </c>
      <c r="AE93" t="str">
        <f>_xlfn.XLOOKUP(B93,Disk_Pivot!G:G,Disk_Pivot!N:N)</f>
        <v>Fail</v>
      </c>
    </row>
    <row r="94" spans="1:31">
      <c r="F94">
        <f>_xlfn.XLOOKUP(H94,Models!B:B,Models!F:F,"")</f>
        <v>0</v>
      </c>
      <c r="K94">
        <f>_xlfn.XLOOKUP(B94,CPU_Formula!A:A,CPU_Formula!I:I)</f>
        <v>0</v>
      </c>
      <c r="L94" s="13" t="e">
        <f>INDEX(Input!$D$2:$AC$500,
       MATCH(B94, Input!$J$2:$J$500, 0),
       MATCH("Memory Capacity", Input!$D$1:$AC$1, 0))</f>
        <v>#N/A</v>
      </c>
      <c r="M94" s="13" t="e">
        <f>INDEX(Input!$D$2:$AC$500,
       MATCH(B94, Input!$J$2:$J$500, 0),
       MATCH("Memory Type", Input!$D$1:$AC$1, 0))</f>
        <v>#N/A</v>
      </c>
      <c r="N94" s="13" t="e">
        <f t="shared" si="3"/>
        <v>#N/A</v>
      </c>
      <c r="Q94" t="e">
        <f>INDEX(Input!$D$2:$AC$500,
       MATCH(B94, Input!$J$2:$J$500, 0),
       MATCH("Disk Capacity", Input!$D$1:$AC$1, 0))</f>
        <v>#N/A</v>
      </c>
      <c r="S94" s="13" t="str">
        <f>_xlfn.LET(_xlpm.Result,_xlfn.XLOOKUP(B94,Input!J:J,Input!AA:AA),IF(_xlpm.Result="","",_xlpm.Result))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AB94">IFERROR(IF(_xlfn.XLOOKUP(B94,Input!J:J,Input!N:U)=0,"",
          _xlfn.XLOOKUP(B94,Input!J:J,Input!N:U)),"")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s="13" t="str">
        <v/>
      </c>
      <c r="AB94" s="13" t="str">
        <v/>
      </c>
      <c r="AC94" t="str">
        <f t="shared" si="5"/>
        <v/>
      </c>
      <c r="AD94" t="str">
        <f>_xlfn.XLOOKUP(B:B,Disk_Pivot!G:G,Disk_Pivot!I:I)</f>
        <v>Yes</v>
      </c>
      <c r="AE94" t="str">
        <f>_xlfn.XLOOKUP(B94,Disk_Pivot!G:G,Disk_Pivot!N:N)</f>
        <v>Fail</v>
      </c>
    </row>
    <row r="95" spans="1:31">
      <c r="F95">
        <f>_xlfn.XLOOKUP(H95,Models!B:B,Models!F:F,"")</f>
        <v>0</v>
      </c>
      <c r="K95">
        <f>_xlfn.XLOOKUP(B95,CPU_Formula!A:A,CPU_Formula!I:I)</f>
        <v>0</v>
      </c>
      <c r="L95" s="13" t="e">
        <f>INDEX(Input!$D$2:$AC$500,
       MATCH(B95, Input!$J$2:$J$500, 0),
       MATCH("Memory Capacity", Input!$D$1:$AC$1, 0))</f>
        <v>#N/A</v>
      </c>
      <c r="M95" s="13" t="e">
        <f>INDEX(Input!$D$2:$AC$500,
       MATCH(B95, Input!$J$2:$J$500, 0),
       MATCH("Memory Type", Input!$D$1:$AC$1, 0))</f>
        <v>#N/A</v>
      </c>
      <c r="N95" s="13" t="e">
        <f t="shared" si="3"/>
        <v>#N/A</v>
      </c>
      <c r="Q95" t="e">
        <f>INDEX(Input!$D$2:$AC$500,
       MATCH(B95, Input!$J$2:$J$500, 0),
       MATCH("Disk Capacity", Input!$D$1:$AC$1, 0))</f>
        <v>#N/A</v>
      </c>
      <c r="S95" s="13" t="str">
        <f>_xlfn.LET(_xlpm.Result,_xlfn.XLOOKUP(B95,Input!J:J,Input!AA:AA),IF(_xlpm.Result="","",_xlpm.Result))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AB95">IFERROR(IF(_xlfn.XLOOKUP(B95,Input!J:J,Input!N:U)=0,"",
          _xlfn.XLOOKUP(B95,Input!J:J,Input!N:U)),"")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s="13" t="str">
        <v/>
      </c>
      <c r="AB95" s="13" t="str">
        <v/>
      </c>
      <c r="AC95" t="str">
        <f t="shared" si="5"/>
        <v/>
      </c>
      <c r="AD95" t="str">
        <f>_xlfn.XLOOKUP(B:B,Disk_Pivot!G:G,Disk_Pivot!I:I)</f>
        <v>Yes</v>
      </c>
      <c r="AE95" t="str">
        <f>_xlfn.XLOOKUP(B95,Disk_Pivot!G:G,Disk_Pivot!N:N)</f>
        <v>Fail</v>
      </c>
    </row>
    <row r="96" spans="1:31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INDEX(Input!$D$2:$AC$500,
       MATCH(B96, Input!$J$2:$J$500, 0),
       MATCH("Memory Capacity", Input!$D$1:$AC$1, 0))</f>
        <v>#N/A</v>
      </c>
      <c r="M96" s="13" t="e">
        <f>INDEX(Input!$D$2:$AC$500,
       MATCH(B96, Input!$J$2:$J$500, 0),
       MATCH("Memory Type", Input!$D$1:$AC$1, 0))</f>
        <v>#N/A</v>
      </c>
      <c r="N96" s="13" t="e">
        <f t="shared" si="3"/>
        <v>#N/A</v>
      </c>
      <c r="Q96" t="e">
        <f>INDEX(Input!$D$2:$AC$500,
       MATCH(B96, Input!$J$2:$J$500, 0),
       MATCH("Disk Capacity", Input!$D$1:$AC$1, 0))</f>
        <v>#N/A</v>
      </c>
      <c r="S96" s="13" t="str">
        <f>_xlfn.LET(_xlpm.Result,_xlfn.XLOOKUP(B96,Input!J:J,Input!AA:AA),IF(_xlpm.Result="","",_xlpm.Result))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AB96">IFERROR(IF(_xlfn.XLOOKUP(B96,Input!J:J,Input!N:U)=0,"",
          _xlfn.XLOOKUP(B96,Input!J:J,Input!N:U)),"")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s="13" t="str">
        <v/>
      </c>
      <c r="AB96" s="13" t="str">
        <v/>
      </c>
      <c r="AC96" t="str">
        <f t="shared" si="5"/>
        <v/>
      </c>
      <c r="AD96" t="str">
        <f>_xlfn.XLOOKUP(B:B,Disk_Pivot!G:G,Disk_Pivot!I:I)</f>
        <v>Yes</v>
      </c>
      <c r="AE96" t="str">
        <f>_xlfn.XLOOKUP(B96,Disk_Pivot!G:G,Disk_Pivot!N:N)</f>
        <v>Fail</v>
      </c>
    </row>
    <row r="97" spans="6:31">
      <c r="F97">
        <f>_xlfn.XLOOKUP(H97,Models!B:B,Models!F:F,"")</f>
        <v>0</v>
      </c>
      <c r="K97">
        <f>_xlfn.XLOOKUP(B97,CPU_Formula!A:A,CPU_Formula!I:I)</f>
        <v>0</v>
      </c>
      <c r="L97" s="13" t="e">
        <f>INDEX(Input!$D$2:$AC$500,
       MATCH(B97, Input!$J$2:$J$500, 0),
       MATCH("Memory Capacity", Input!$D$1:$AC$1, 0))</f>
        <v>#N/A</v>
      </c>
      <c r="M97" s="13" t="e">
        <f>INDEX(Input!$D$2:$AC$500,
       MATCH(B97, Input!$J$2:$J$500, 0),
       MATCH("Memory Type", Input!$D$1:$AC$1, 0))</f>
        <v>#N/A</v>
      </c>
      <c r="N97" s="13" t="e">
        <f t="shared" si="3"/>
        <v>#N/A</v>
      </c>
      <c r="Q97" t="e">
        <f>INDEX(Input!$D$2:$AC$500,
       MATCH(B97, Input!$J$2:$J$500, 0),
       MATCH("Disk Capacity", Input!$D$1:$AC$1, 0))</f>
        <v>#N/A</v>
      </c>
      <c r="S97" s="13" t="str">
        <f>_xlfn.LET(_xlpm.Result,_xlfn.XLOOKUP(B97,Input!J:J,Input!AA:AA),IF(_xlpm.Result="","",_xlpm.Result))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AB97">IFERROR(IF(_xlfn.XLOOKUP(B97,Input!J:J,Input!N:U)=0,"",
          _xlfn.XLOOKUP(B97,Input!J:J,Input!N:U)),"")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s="13" t="str">
        <v/>
      </c>
      <c r="AB97" s="13" t="str">
        <v/>
      </c>
      <c r="AC97" t="str">
        <f t="shared" si="5"/>
        <v/>
      </c>
      <c r="AD97" t="str">
        <f>_xlfn.XLOOKUP(B:B,Disk_Pivot!G:G,Disk_Pivot!I:I)</f>
        <v>Yes</v>
      </c>
      <c r="AE97" t="str">
        <f>_xlfn.XLOOKUP(B97,Disk_Pivot!G:G,Disk_Pivot!N:N)</f>
        <v>Fail</v>
      </c>
    </row>
    <row r="98" spans="6:31">
      <c r="F98">
        <f>_xlfn.XLOOKUP(H98,Models!B:B,Models!F:F,"")</f>
        <v>0</v>
      </c>
      <c r="K98">
        <f>_xlfn.XLOOKUP(B98,CPU_Formula!A:A,CPU_Formula!I:I)</f>
        <v>0</v>
      </c>
      <c r="L98" s="13" t="e">
        <f>INDEX(Input!$D$2:$AC$500,
       MATCH(B98, Input!$J$2:$J$500, 0),
       MATCH("Memory Capacity", Input!$D$1:$AC$1, 0))</f>
        <v>#N/A</v>
      </c>
      <c r="M98" s="13" t="e">
        <f>INDEX(Input!$D$2:$AC$500,
       MATCH(B98, Input!$J$2:$J$500, 0),
       MATCH("Memory Type", Input!$D$1:$AC$1, 0))</f>
        <v>#N/A</v>
      </c>
      <c r="N98" s="13" t="e">
        <f t="shared" si="3"/>
        <v>#N/A</v>
      </c>
      <c r="Q98" t="e">
        <f>INDEX(Input!$D$2:$AC$500,
       MATCH(B98, Input!$J$2:$J$500, 0),
       MATCH("Disk Capacity", Input!$D$1:$AC$1, 0))</f>
        <v>#N/A</v>
      </c>
      <c r="S98" s="13" t="str">
        <f>_xlfn.LET(_xlpm.Result,_xlfn.XLOOKUP(B98,Input!J:J,Input!AA:AA),IF(_xlpm.Result="","",_xlpm.Result))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AB98">IFERROR(IF(_xlfn.XLOOKUP(B98,Input!J:J,Input!N:U)=0,"",
          _xlfn.XLOOKUP(B98,Input!J:J,Input!N:U)),"")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s="13" t="str">
        <v/>
      </c>
      <c r="AB98" s="13" t="str">
        <v/>
      </c>
      <c r="AC98" t="str">
        <f t="shared" si="5"/>
        <v/>
      </c>
      <c r="AD98" t="str">
        <f>_xlfn.XLOOKUP(B:B,Disk_Pivot!G:G,Disk_Pivot!I:I)</f>
        <v>Yes</v>
      </c>
      <c r="AE98" t="str">
        <f>_xlfn.XLOOKUP(B98,Disk_Pivot!G:G,Disk_Pivot!N:N)</f>
        <v>Fail</v>
      </c>
    </row>
    <row r="99" spans="6:31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INDEX(Input!$D$2:$AC$500,
       MATCH(B99, Input!$J$2:$J$500, 0),
       MATCH("Memory Capacity", Input!$D$1:$AC$1, 0))</f>
        <v>#N/A</v>
      </c>
      <c r="M99" s="13" t="e">
        <f>INDEX(Input!$D$2:$AC$500,
       MATCH(B99, Input!$J$2:$J$500, 0),
       MATCH("Memory Type", Input!$D$1:$AC$1, 0))</f>
        <v>#N/A</v>
      </c>
      <c r="N99" s="13" t="e">
        <f t="shared" si="3"/>
        <v>#N/A</v>
      </c>
      <c r="Q99" t="e">
        <f>INDEX(Input!$D$2:$AC$500,
       MATCH(B99, Input!$J$2:$J$500, 0),
       MATCH("Disk Capacity", Input!$D$1:$AC$1, 0))</f>
        <v>#N/A</v>
      </c>
      <c r="S99" s="13" t="str">
        <f>_xlfn.LET(_xlpm.Result,_xlfn.XLOOKUP(B99,Input!J:J,Input!AA:AA),IF(_xlpm.Result="","",_xlpm.Result))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AB99">IFERROR(IF(_xlfn.XLOOKUP(B99,Input!J:J,Input!N:U)=0,"",
          _xlfn.XLOOKUP(B99,Input!J:J,Input!N:U)),"")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s="13" t="str">
        <v/>
      </c>
      <c r="AB99" s="13" t="str">
        <v/>
      </c>
      <c r="AC99" t="str">
        <f t="shared" si="5"/>
        <v/>
      </c>
      <c r="AD99" t="str">
        <f>_xlfn.XLOOKUP(B:B,Disk_Pivot!G:G,Disk_Pivot!I:I)</f>
        <v>Yes</v>
      </c>
      <c r="AE99" t="str">
        <f>_xlfn.XLOOKUP(B99,Disk_Pivot!G:G,Disk_Pivot!N:N)</f>
        <v>Fail</v>
      </c>
    </row>
    <row r="100" spans="6:31">
      <c r="F100">
        <f>_xlfn.XLOOKUP(H100,Models!B:B,Models!F:F,"")</f>
        <v>0</v>
      </c>
      <c r="K100">
        <f>_xlfn.XLOOKUP(B100,CPU_Formula!A:A,CPU_Formula!I:I)</f>
        <v>0</v>
      </c>
      <c r="L100" s="13" t="e">
        <f>INDEX(Input!$D$2:$AC$500,
       MATCH(B100, Input!$J$2:$J$500, 0),
       MATCH("Memory Capacity", Input!$D$1:$AC$1, 0))</f>
        <v>#N/A</v>
      </c>
      <c r="M100" s="13" t="e">
        <f>INDEX(Input!$D$2:$AC$500,
       MATCH(B100, Input!$J$2:$J$500, 0),
       MATCH("Memory Type", Input!$D$1:$AC$1, 0))</f>
        <v>#N/A</v>
      </c>
      <c r="N100" s="13" t="e">
        <f t="shared" si="3"/>
        <v>#N/A</v>
      </c>
      <c r="Q100" t="e">
        <f>INDEX(Input!$D$2:$AC$500,
       MATCH(B100, Input!$J$2:$J$500, 0),
       MATCH("Disk Capacity", Input!$D$1:$AC$1, 0))</f>
        <v>#N/A</v>
      </c>
      <c r="S100" s="13" t="str">
        <f>_xlfn.LET(_xlpm.Result,_xlfn.XLOOKUP(B100,Input!J:J,Input!AA:AA),IF(_xlpm.Result="","",_xlpm.Result))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AB100">IFERROR(IF(_xlfn.XLOOKUP(B100,Input!J:J,Input!N:U)=0,"",
          _xlfn.XLOOKUP(B100,Input!J:J,Input!N:U)),"")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s="13" t="str">
        <v/>
      </c>
      <c r="AB100" s="13" t="str">
        <v/>
      </c>
      <c r="AC100" t="str">
        <f t="shared" si="5"/>
        <v/>
      </c>
      <c r="AD100" t="str">
        <f>_xlfn.XLOOKUP(B:B,Disk_Pivot!G:G,Disk_Pivot!I:I)</f>
        <v>Yes</v>
      </c>
      <c r="AE100" t="str">
        <f>_xlfn.XLOOKUP(B100,Disk_Pivot!G:G,Disk_Pivot!N:N)</f>
        <v>Fail</v>
      </c>
    </row>
    <row r="101" spans="6:31">
      <c r="F101">
        <f>_xlfn.XLOOKUP(H101,Models!B:B,Models!F:F,"")</f>
        <v>0</v>
      </c>
      <c r="K101">
        <f>_xlfn.XLOOKUP(B101,CPU_Formula!A:A,CPU_Formula!I:I)</f>
        <v>0</v>
      </c>
      <c r="L101" s="13" t="e">
        <f>INDEX(Input!$D$2:$AC$500,
       MATCH(B101, Input!$J$2:$J$500, 0),
       MATCH("Memory Capacity", Input!$D$1:$AC$1, 0))</f>
        <v>#N/A</v>
      </c>
      <c r="M101" s="13" t="e">
        <f>INDEX(Input!$D$2:$AC$500,
       MATCH(B101, Input!$J$2:$J$500, 0),
       MATCH("Memory Type", Input!$D$1:$AC$1, 0))</f>
        <v>#N/A</v>
      </c>
      <c r="N101" s="13" t="e">
        <f t="shared" si="3"/>
        <v>#N/A</v>
      </c>
      <c r="Q101" t="e">
        <f>INDEX(Input!$D$2:$AC$500,
       MATCH(B101, Input!$J$2:$J$500, 0),
       MATCH("Disk Capacity", Input!$D$1:$AC$1, 0))</f>
        <v>#N/A</v>
      </c>
      <c r="S101" s="13" t="str">
        <f>_xlfn.LET(_xlpm.Result,_xlfn.XLOOKUP(B101,Input!J:J,Input!AA:AA),IF(_xlpm.Result="","",_xlpm.Result))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AB101">IFERROR(IF(_xlfn.XLOOKUP(B101,Input!J:J,Input!N:U)=0,"",
          _xlfn.XLOOKUP(B101,Input!J:J,Input!N:U)),"")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s="13" t="str">
        <v/>
      </c>
      <c r="AB101" s="13" t="str">
        <v/>
      </c>
      <c r="AC101" t="str">
        <f t="shared" si="5"/>
        <v/>
      </c>
      <c r="AD101" t="str">
        <f>_xlfn.XLOOKUP(B:B,Disk_Pivot!G:G,Disk_Pivot!I:I)</f>
        <v>Yes</v>
      </c>
      <c r="AE101" t="str">
        <f>_xlfn.XLOOKUP(B101,Disk_Pivot!G:G,Disk_Pivot!N:N)</f>
        <v>Fail</v>
      </c>
    </row>
    <row r="102" spans="6:31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INDEX(Input!$D$2:$AC$500,
       MATCH(B102, Input!$J$2:$J$500, 0),
       MATCH("Memory Capacity", Input!$D$1:$AC$1, 0))</f>
        <v>#N/A</v>
      </c>
      <c r="M102" s="13" t="e">
        <f>INDEX(Input!$D$2:$AC$500,
       MATCH(B102, Input!$J$2:$J$500, 0),
       MATCH("Memory Type", Input!$D$1:$AC$1, 0))</f>
        <v>#N/A</v>
      </c>
      <c r="N102" s="13" t="e">
        <f t="shared" si="3"/>
        <v>#N/A</v>
      </c>
      <c r="Q102" t="e">
        <f>INDEX(Input!$D$2:$AC$500,
       MATCH(B102, Input!$J$2:$J$500, 0),
       MATCH("Disk Capacity", Input!$D$1:$AC$1, 0))</f>
        <v>#N/A</v>
      </c>
      <c r="S102" s="13" t="str">
        <f>_xlfn.LET(_xlpm.Result,_xlfn.XLOOKUP(B102,Input!J:J,Input!AA:AA),IF(_xlpm.Result="","",_xlpm.Result))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AB102">IFERROR(IF(_xlfn.XLOOKUP(B102,Input!J:J,Input!N:U)=0,"",
          _xlfn.XLOOKUP(B102,Input!J:J,Input!N:U)),"")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s="13" t="str">
        <v/>
      </c>
      <c r="AB102" s="13" t="str">
        <v/>
      </c>
      <c r="AC102" t="str">
        <f t="shared" si="5"/>
        <v/>
      </c>
      <c r="AD102" t="str">
        <f>_xlfn.XLOOKUP(B:B,Disk_Pivot!G:G,Disk_Pivot!I:I)</f>
        <v>Yes</v>
      </c>
      <c r="AE102" t="str">
        <f>_xlfn.XLOOKUP(B102,Disk_Pivot!G:G,Disk_Pivot!N:N)</f>
        <v>Fail</v>
      </c>
    </row>
    <row r="103" spans="6:31">
      <c r="F103" t="str">
        <f>_xlfn.XLOOKUP(H103,Models!B:B,Models!F:F,"")</f>
        <v/>
      </c>
      <c r="K103">
        <f>_xlfn.XLOOKUP(B103,CPU_Formula!A:A,CPU_Formula!I:I)</f>
        <v>0</v>
      </c>
      <c r="L103" s="13" t="e">
        <f>INDEX(Input!$D$2:$AC$500,
       MATCH(B103, Input!$J$2:$J$500, 0),
       MATCH("Memory Capacity", Input!$D$1:$AC$1, 0))</f>
        <v>#N/A</v>
      </c>
      <c r="M103" s="13" t="e">
        <f>INDEX(Input!$D$2:$AC$500,
       MATCH(B103, Input!$J$2:$J$500, 0),
       MATCH("Memory Type", Input!$D$1:$AC$1, 0))</f>
        <v>#N/A</v>
      </c>
      <c r="N103" s="13" t="e">
        <f t="shared" si="3"/>
        <v>#N/A</v>
      </c>
      <c r="Q103" t="e">
        <f>INDEX(Input!$D$2:$AC$500,
       MATCH(B103, Input!$J$2:$J$500, 0),
       MATCH("Disk Capacity", Input!$D$1:$AC$1, 0))</f>
        <v>#N/A</v>
      </c>
      <c r="S103" s="13" t="str">
        <f>_xlfn.LET(_xlpm.Result,_xlfn.XLOOKUP(B103,Input!J:J,Input!AA:AA),IF(_xlpm.Result="","",_xlpm.Result))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AB103">IFERROR(IF(_xlfn.XLOOKUP(B103,Input!J:J,Input!N:U)=0,"",
          _xlfn.XLOOKUP(B103,Input!J:J,Input!N:U)),"")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s="13" t="str">
        <v/>
      </c>
      <c r="AB103" s="13" t="str">
        <v/>
      </c>
      <c r="AC103" t="str">
        <f t="shared" si="5"/>
        <v/>
      </c>
      <c r="AD103" t="str">
        <f>_xlfn.XLOOKUP(B:B,Disk_Pivot!G:G,Disk_Pivot!I:I)</f>
        <v>Yes</v>
      </c>
      <c r="AE103" t="str">
        <f>_xlfn.XLOOKUP(B103,Disk_Pivot!G:G,Disk_Pivot!N:N)</f>
        <v>Fail</v>
      </c>
    </row>
    <row r="104" spans="6:31">
      <c r="F104" t="str">
        <f>_xlfn.XLOOKUP(H104,Models!B:B,Models!F:F,"")</f>
        <v/>
      </c>
      <c r="K104">
        <f>_xlfn.XLOOKUP(B104,CPU_Formula!A:A,CPU_Formula!I:I)</f>
        <v>0</v>
      </c>
      <c r="L104" s="13" t="e">
        <f>INDEX(Input!$D$2:$AC$500,
       MATCH(B104, Input!$J$2:$J$500, 0),
       MATCH("Memory Capacity", Input!$D$1:$AC$1, 0))</f>
        <v>#N/A</v>
      </c>
      <c r="M104" s="13" t="e">
        <f>INDEX(Input!$D$2:$AC$500,
       MATCH(B104, Input!$J$2:$J$500, 0),
       MATCH("Memory Type", Input!$D$1:$AC$1, 0))</f>
        <v>#N/A</v>
      </c>
      <c r="N104" s="13" t="e">
        <f t="shared" si="3"/>
        <v>#N/A</v>
      </c>
      <c r="Q104" t="e">
        <f>INDEX(Input!$D$2:$AC$500,
       MATCH(B104, Input!$J$2:$J$500, 0),
       MATCH("Disk Capacity", Input!$D$1:$AC$1, 0))</f>
        <v>#N/A</v>
      </c>
      <c r="S104" s="13" t="str">
        <f>_xlfn.LET(_xlpm.Result,_xlfn.XLOOKUP(B104,Input!J:J,Input!AA:AA),IF(_xlpm.Result="","",_xlpm.Result))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AB104">IFERROR(IF(_xlfn.XLOOKUP(B104,Input!J:J,Input!N:U)=0,"",
          _xlfn.XLOOKUP(B104,Input!J:J,Input!N:U)),"")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s="13" t="str">
        <v/>
      </c>
      <c r="AB104" s="13" t="str">
        <v/>
      </c>
      <c r="AC104" t="str">
        <f t="shared" si="5"/>
        <v/>
      </c>
      <c r="AD104" t="str">
        <f>_xlfn.XLOOKUP(B:B,Disk_Pivot!G:G,Disk_Pivot!I:I)</f>
        <v>Yes</v>
      </c>
      <c r="AE104" t="str">
        <f>_xlfn.XLOOKUP(B104,Disk_Pivot!G:G,Disk_Pivot!N:N)</f>
        <v>Fail</v>
      </c>
    </row>
    <row r="105" spans="6:31">
      <c r="F105" t="str">
        <f>_xlfn.XLOOKUP(H105,Models!B:B,Models!F:F,"")</f>
        <v/>
      </c>
      <c r="K105">
        <f>_xlfn.XLOOKUP(B105,CPU_Formula!A:A,CPU_Formula!I:I)</f>
        <v>0</v>
      </c>
      <c r="L105" s="13" t="e">
        <f>INDEX(Input!$D$2:$AC$500,
       MATCH(B105, Input!$J$2:$J$500, 0),
       MATCH("Memory Capacity", Input!$D$1:$AC$1, 0))</f>
        <v>#N/A</v>
      </c>
      <c r="M105" s="13" t="e">
        <f>INDEX(Input!$D$2:$AC$500,
       MATCH(B105, Input!$J$2:$J$500, 0),
       MATCH("Memory Type", Input!$D$1:$AC$1, 0))</f>
        <v>#N/A</v>
      </c>
      <c r="N105" s="13" t="e">
        <f t="shared" si="3"/>
        <v>#N/A</v>
      </c>
      <c r="Q105" t="e">
        <f>INDEX(Input!$D$2:$AC$500,
       MATCH(B105, Input!$J$2:$J$500, 0),
       MATCH("Disk Capacity", Input!$D$1:$AC$1, 0))</f>
        <v>#N/A</v>
      </c>
      <c r="S105" s="13" t="str">
        <f>_xlfn.LET(_xlpm.Result,_xlfn.XLOOKUP(B105,Input!J:J,Input!AA:AA),IF(_xlpm.Result="","",_xlpm.Result))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AB105">IFERROR(IF(_xlfn.XLOOKUP(B105,Input!J:J,Input!N:U)=0,"",
          _xlfn.XLOOKUP(B105,Input!J:J,Input!N:U)),"")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s="13" t="str">
        <v/>
      </c>
      <c r="AB105" s="13" t="str">
        <v/>
      </c>
      <c r="AC105" t="str">
        <f t="shared" si="5"/>
        <v/>
      </c>
      <c r="AD105" t="str">
        <f>_xlfn.XLOOKUP(B:B,Disk_Pivot!G:G,Disk_Pivot!I:I)</f>
        <v>Yes</v>
      </c>
      <c r="AE105" t="str">
        <f>_xlfn.XLOOKUP(B105,Disk_Pivot!G:G,Disk_Pivot!N:N)</f>
        <v>Fail</v>
      </c>
    </row>
    <row r="106" spans="6:31">
      <c r="F106" t="str">
        <f>_xlfn.XLOOKUP(H106,Models!B:B,Models!F:F,"")</f>
        <v/>
      </c>
      <c r="K106">
        <f>_xlfn.XLOOKUP(B106,CPU_Formula!A:A,CPU_Formula!I:I)</f>
        <v>0</v>
      </c>
      <c r="L106" s="13" t="e">
        <f>INDEX(Input!$D$2:$AC$500,
       MATCH(B106, Input!$J$2:$J$500, 0),
       MATCH("Memory Capacity", Input!$D$1:$AC$1, 0))</f>
        <v>#N/A</v>
      </c>
      <c r="M106" s="13" t="e">
        <f>INDEX(Input!$D$2:$AC$500,
       MATCH(B106, Input!$J$2:$J$500, 0),
       MATCH("Memory Type", Input!$D$1:$AC$1, 0))</f>
        <v>#N/A</v>
      </c>
      <c r="N106" s="13" t="e">
        <f t="shared" si="3"/>
        <v>#N/A</v>
      </c>
      <c r="Q106" t="e">
        <f>INDEX(Input!$D$2:$AC$500,
       MATCH(B106, Input!$J$2:$J$500, 0),
       MATCH("Disk Capacity", Input!$D$1:$AC$1, 0))</f>
        <v>#N/A</v>
      </c>
      <c r="S106" s="13" t="str">
        <f>_xlfn.LET(_xlpm.Result,_xlfn.XLOOKUP(B106,Input!J:J,Input!AA:AA),IF(_xlpm.Result="","",_xlpm.Result))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AB106">IFERROR(IF(_xlfn.XLOOKUP(B106,Input!J:J,Input!N:U)=0,"",
          _xlfn.XLOOKUP(B106,Input!J:J,Input!N:U)),"")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s="13" t="str">
        <v/>
      </c>
      <c r="AB106" s="13" t="str">
        <v/>
      </c>
      <c r="AC106" t="str">
        <f t="shared" si="5"/>
        <v/>
      </c>
      <c r="AD106" t="str">
        <f>_xlfn.XLOOKUP(B:B,Disk_Pivot!G:G,Disk_Pivot!I:I)</f>
        <v>Yes</v>
      </c>
      <c r="AE106" t="str">
        <f>_xlfn.XLOOKUP(B106,Disk_Pivot!G:G,Disk_Pivot!N:N)</f>
        <v>Fail</v>
      </c>
    </row>
    <row r="107" spans="6:31">
      <c r="F107" t="str">
        <f>_xlfn.XLOOKUP(H107,Models!B:B,Models!F:F,"")</f>
        <v/>
      </c>
      <c r="K107">
        <f>_xlfn.XLOOKUP(B107,CPU_Formula!A:A,CPU_Formula!I:I)</f>
        <v>0</v>
      </c>
      <c r="L107" s="13" t="e">
        <f>INDEX(Input!$D$2:$AC$500,
       MATCH(B107, Input!$J$2:$J$500, 0),
       MATCH("Memory Capacity", Input!$D$1:$AC$1, 0))</f>
        <v>#N/A</v>
      </c>
      <c r="M107" s="13" t="e">
        <f>INDEX(Input!$D$2:$AC$500,
       MATCH(B107, Input!$J$2:$J$500, 0),
       MATCH("Memory Type", Input!$D$1:$AC$1, 0))</f>
        <v>#N/A</v>
      </c>
      <c r="N107" s="13" t="e">
        <f t="shared" si="3"/>
        <v>#N/A</v>
      </c>
      <c r="Q107" t="e">
        <f>INDEX(Input!$D$2:$AC$500,
       MATCH(B107, Input!$J$2:$J$500, 0),
       MATCH("Disk Capacity", Input!$D$1:$AC$1, 0))</f>
        <v>#N/A</v>
      </c>
      <c r="S107" s="13" t="str">
        <f>_xlfn.LET(_xlpm.Result,_xlfn.XLOOKUP(B107,Input!J:J,Input!AA:AA),IF(_xlpm.Result="","",_xlpm.Result))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AB107">IFERROR(IF(_xlfn.XLOOKUP(B107,Input!J:J,Input!N:U)=0,"",
          _xlfn.XLOOKUP(B107,Input!J:J,Input!N:U)),"")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s="13" t="str">
        <v/>
      </c>
      <c r="AB107" s="13" t="str">
        <v/>
      </c>
      <c r="AC107" t="str">
        <f t="shared" si="5"/>
        <v/>
      </c>
      <c r="AD107" t="str">
        <f>_xlfn.XLOOKUP(B:B,Disk_Pivot!G:G,Disk_Pivot!I:I)</f>
        <v>Yes</v>
      </c>
      <c r="AE107" t="str">
        <f>_xlfn.XLOOKUP(B107,Disk_Pivot!G:G,Disk_Pivot!N:N)</f>
        <v>Fail</v>
      </c>
    </row>
    <row r="108" spans="6:31">
      <c r="F108" t="str">
        <f>_xlfn.XLOOKUP(H108,Models!B:B,Models!F:F,"")</f>
        <v/>
      </c>
      <c r="K108">
        <f>_xlfn.XLOOKUP(B108,CPU_Formula!A:A,CPU_Formula!I:I)</f>
        <v>0</v>
      </c>
      <c r="L108" s="13" t="e">
        <f>INDEX(Input!$D$2:$AC$500,
       MATCH(B108, Input!$J$2:$J$500, 0),
       MATCH("Memory Capacity", Input!$D$1:$AC$1, 0))</f>
        <v>#N/A</v>
      </c>
      <c r="M108" s="13" t="e">
        <f>INDEX(Input!$D$2:$AC$500,
       MATCH(B108, Input!$J$2:$J$500, 0),
       MATCH("Memory Type", Input!$D$1:$AC$1, 0))</f>
        <v>#N/A</v>
      </c>
      <c r="N108" s="13" t="e">
        <f t="shared" si="3"/>
        <v>#N/A</v>
      </c>
      <c r="Q108" t="e">
        <f>INDEX(Input!$D$2:$AC$500,
       MATCH(B108, Input!$J$2:$J$500, 0),
       MATCH("Disk Capacity", Input!$D$1:$AC$1, 0))</f>
        <v>#N/A</v>
      </c>
      <c r="S108" s="13" t="str">
        <f>_xlfn.LET(_xlpm.Result,_xlfn.XLOOKUP(B108,Input!J:J,Input!AA:AA),IF(_xlpm.Result="","",_xlpm.Result))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AB108">IFERROR(IF(_xlfn.XLOOKUP(B108,Input!J:J,Input!N:U)=0,"",
          _xlfn.XLOOKUP(B108,Input!J:J,Input!N:U)),"")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s="13" t="str">
        <v/>
      </c>
      <c r="AB108" s="13" t="str">
        <v/>
      </c>
      <c r="AC108" t="str">
        <f t="shared" si="5"/>
        <v/>
      </c>
      <c r="AD108" t="str">
        <f>_xlfn.XLOOKUP(B:B,Disk_Pivot!G:G,Disk_Pivot!I:I)</f>
        <v>Yes</v>
      </c>
      <c r="AE108" t="str">
        <f>_xlfn.XLOOKUP(B108,Disk_Pivot!G:G,Disk_Pivot!N:N)</f>
        <v>Fail</v>
      </c>
    </row>
    <row r="109" spans="6:31">
      <c r="F109" t="str">
        <f>_xlfn.XLOOKUP(H109,Models!B:B,Models!F:F,"")</f>
        <v/>
      </c>
      <c r="K109">
        <f>_xlfn.XLOOKUP(B109,CPU_Formula!A:A,CPU_Formula!I:I)</f>
        <v>0</v>
      </c>
      <c r="L109" s="13" t="e">
        <f>INDEX(Input!$D$2:$AC$500,
       MATCH(B109, Input!$J$2:$J$500, 0),
       MATCH("Memory Capacity", Input!$D$1:$AC$1, 0))</f>
        <v>#N/A</v>
      </c>
      <c r="M109" s="13" t="e">
        <f>INDEX(Input!$D$2:$AC$500,
       MATCH(B109, Input!$J$2:$J$500, 0),
       MATCH("Memory Type", Input!$D$1:$AC$1, 0))</f>
        <v>#N/A</v>
      </c>
      <c r="N109" s="13" t="e">
        <f t="shared" si="3"/>
        <v>#N/A</v>
      </c>
      <c r="Q109" t="e">
        <f>INDEX(Input!$D$2:$AC$500,
       MATCH(B109, Input!$J$2:$J$500, 0),
       MATCH("Disk Capacity", Input!$D$1:$AC$1, 0))</f>
        <v>#N/A</v>
      </c>
      <c r="S109" s="13" t="str">
        <f>_xlfn.LET(_xlpm.Result,_xlfn.XLOOKUP(B109,Input!J:J,Input!AA:AA),IF(_xlpm.Result="","",_xlpm.Result))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AB109">IFERROR(IF(_xlfn.XLOOKUP(B109,Input!J:J,Input!N:U)=0,"",
          _xlfn.XLOOKUP(B109,Input!J:J,Input!N:U)),"")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s="13" t="str">
        <v/>
      </c>
      <c r="AB109" s="13" t="str">
        <v/>
      </c>
      <c r="AC109" t="str">
        <f t="shared" si="5"/>
        <v/>
      </c>
      <c r="AD109" t="str">
        <f>_xlfn.XLOOKUP(B:B,Disk_Pivot!G:G,Disk_Pivot!I:I)</f>
        <v>Yes</v>
      </c>
      <c r="AE109" t="str">
        <f>_xlfn.XLOOKUP(B109,Disk_Pivot!G:G,Disk_Pivot!N:N)</f>
        <v>Fail</v>
      </c>
    </row>
    <row r="110" spans="6:31">
      <c r="F110" t="str">
        <f>_xlfn.XLOOKUP(H110,Models!B:B,Models!F:F,"")</f>
        <v/>
      </c>
      <c r="K110">
        <f>_xlfn.XLOOKUP(B110,CPU_Formula!A:A,CPU_Formula!I:I)</f>
        <v>0</v>
      </c>
      <c r="L110" s="13" t="e">
        <f>INDEX(Input!$D$2:$AC$500,
       MATCH(B110, Input!$J$2:$J$500, 0),
       MATCH("Memory Capacity", Input!$D$1:$AC$1, 0))</f>
        <v>#N/A</v>
      </c>
      <c r="M110" s="13" t="e">
        <f>INDEX(Input!$D$2:$AC$500,
       MATCH(B110, Input!$J$2:$J$500, 0),
       MATCH("Memory Type", Input!$D$1:$AC$1, 0))</f>
        <v>#N/A</v>
      </c>
      <c r="N110" s="13" t="e">
        <f t="shared" si="3"/>
        <v>#N/A</v>
      </c>
      <c r="Q110" t="e">
        <f>INDEX(Input!$D$2:$AC$500,
       MATCH(B110, Input!$J$2:$J$500, 0),
       MATCH("Disk Capacity", Input!$D$1:$AC$1, 0))</f>
        <v>#N/A</v>
      </c>
      <c r="S110" s="13" t="str">
        <f>_xlfn.LET(_xlpm.Result,_xlfn.XLOOKUP(B110,Input!J:J,Input!AA:AA),IF(_xlpm.Result="","",_xlpm.Result))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AB110">IFERROR(IF(_xlfn.XLOOKUP(B110,Input!J:J,Input!N:U)=0,"",
          _xlfn.XLOOKUP(B110,Input!J:J,Input!N:U)),"")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s="13" t="str">
        <v/>
      </c>
      <c r="AB110" s="13" t="str">
        <v/>
      </c>
      <c r="AC110" t="str">
        <f t="shared" si="5"/>
        <v/>
      </c>
      <c r="AD110" t="str">
        <f>_xlfn.XLOOKUP(B:B,Disk_Pivot!G:G,Disk_Pivot!I:I)</f>
        <v>Yes</v>
      </c>
      <c r="AE110" t="str">
        <f>_xlfn.XLOOKUP(B110,Disk_Pivot!G:G,Disk_Pivot!N:N)</f>
        <v>Fail</v>
      </c>
    </row>
    <row r="111" spans="6:31">
      <c r="F111" t="str">
        <f>_xlfn.XLOOKUP(H111,Models!B:B,Models!F:F,"")</f>
        <v/>
      </c>
      <c r="K111">
        <f>_xlfn.XLOOKUP(B111,CPU_Formula!A:A,CPU_Formula!I:I)</f>
        <v>0</v>
      </c>
      <c r="L111" s="13" t="e">
        <f>INDEX(Input!$D$2:$AC$500,
       MATCH(B111, Input!$J$2:$J$500, 0),
       MATCH("Memory Capacity", Input!$D$1:$AC$1, 0))</f>
        <v>#N/A</v>
      </c>
      <c r="M111" s="13" t="e">
        <f>INDEX(Input!$D$2:$AC$500,
       MATCH(B111, Input!$J$2:$J$500, 0),
       MATCH("Memory Type", Input!$D$1:$AC$1, 0))</f>
        <v>#N/A</v>
      </c>
      <c r="N111" s="13" t="e">
        <f t="shared" si="3"/>
        <v>#N/A</v>
      </c>
      <c r="Q111" t="e">
        <f>INDEX(Input!$D$2:$AC$500,
       MATCH(B111, Input!$J$2:$J$500, 0),
       MATCH("Disk Capacity", Input!$D$1:$AC$1, 0))</f>
        <v>#N/A</v>
      </c>
      <c r="S111" s="13" t="str">
        <f>_xlfn.LET(_xlpm.Result,_xlfn.XLOOKUP(B111,Input!J:J,Input!AA:AA),IF(_xlpm.Result="","",_xlpm.Result))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AB111">IFERROR(IF(_xlfn.XLOOKUP(B111,Input!J:J,Input!N:U)=0,"",
          _xlfn.XLOOKUP(B111,Input!J:J,Input!N:U)),"")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s="13" t="str">
        <v/>
      </c>
      <c r="AB111" s="13" t="str">
        <v/>
      </c>
      <c r="AC111" t="str">
        <f t="shared" si="5"/>
        <v/>
      </c>
      <c r="AD111" t="str">
        <f>_xlfn.XLOOKUP(B:B,Disk_Pivot!G:G,Disk_Pivot!I:I)</f>
        <v>Yes</v>
      </c>
      <c r="AE111" t="str">
        <f>_xlfn.XLOOKUP(B111,Disk_Pivot!G:G,Disk_Pivot!N:N)</f>
        <v>Fail</v>
      </c>
    </row>
    <row r="112" spans="6:31">
      <c r="F112" t="str">
        <f>_xlfn.XLOOKUP(H112,Models!B:B,Models!F:F,"")</f>
        <v/>
      </c>
      <c r="K112">
        <f>_xlfn.XLOOKUP(B112,CPU_Formula!A:A,CPU_Formula!I:I)</f>
        <v>0</v>
      </c>
      <c r="L112" s="13" t="e">
        <f>INDEX(Input!$D$2:$AC$500,
       MATCH(B112, Input!$J$2:$J$500, 0),
       MATCH("Memory Capacity", Input!$D$1:$AC$1, 0))</f>
        <v>#N/A</v>
      </c>
      <c r="M112" s="13" t="e">
        <f>INDEX(Input!$D$2:$AC$500,
       MATCH(B112, Input!$J$2:$J$500, 0),
       MATCH("Memory Type", Input!$D$1:$AC$1, 0))</f>
        <v>#N/A</v>
      </c>
      <c r="N112" s="13" t="e">
        <f t="shared" si="3"/>
        <v>#N/A</v>
      </c>
      <c r="Q112" t="e">
        <f>INDEX(Input!$D$2:$AC$500,
       MATCH(B112, Input!$J$2:$J$500, 0),
       MATCH("Disk Capacity", Input!$D$1:$AC$1, 0))</f>
        <v>#N/A</v>
      </c>
      <c r="S112" s="13" t="str">
        <f>_xlfn.LET(_xlpm.Result,_xlfn.XLOOKUP(B112,Input!J:J,Input!AA:AA),IF(_xlpm.Result="","",_xlpm.Result))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AB112">IFERROR(IF(_xlfn.XLOOKUP(B112,Input!J:J,Input!N:U)=0,"",
          _xlfn.XLOOKUP(B112,Input!J:J,Input!N:U)),"")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s="13" t="str">
        <v/>
      </c>
      <c r="AB112" s="13" t="str">
        <v/>
      </c>
      <c r="AC112" t="str">
        <f t="shared" si="5"/>
        <v/>
      </c>
      <c r="AD112" t="str">
        <f>_xlfn.XLOOKUP(B:B,Disk_Pivot!G:G,Disk_Pivot!I:I)</f>
        <v>Yes</v>
      </c>
      <c r="AE112" t="str">
        <f>_xlfn.XLOOKUP(B112,Disk_Pivot!G:G,Disk_Pivot!N:N)</f>
        <v>Fail</v>
      </c>
    </row>
    <row r="113" spans="6:31">
      <c r="F113" t="str">
        <f>_xlfn.XLOOKUP(H113,Models!B:B,Models!F:F,"")</f>
        <v/>
      </c>
      <c r="K113">
        <f>_xlfn.XLOOKUP(B113,CPU_Formula!A:A,CPU_Formula!I:I)</f>
        <v>0</v>
      </c>
      <c r="L113" s="13" t="e">
        <f>INDEX(Input!$D$2:$AC$500,
       MATCH(B113, Input!$J$2:$J$500, 0),
       MATCH("Memory Capacity", Input!$D$1:$AC$1, 0))</f>
        <v>#N/A</v>
      </c>
      <c r="M113" s="13" t="e">
        <f>INDEX(Input!$D$2:$AC$500,
       MATCH(B113, Input!$J$2:$J$500, 0),
       MATCH("Memory Type", Input!$D$1:$AC$1, 0))</f>
        <v>#N/A</v>
      </c>
      <c r="N113" s="13" t="e">
        <f t="shared" si="3"/>
        <v>#N/A</v>
      </c>
      <c r="Q113" t="e">
        <f>INDEX(Input!$D$2:$AC$500,
       MATCH(B113, Input!$J$2:$J$500, 0),
       MATCH("Disk Capacity", Input!$D$1:$AC$1, 0))</f>
        <v>#N/A</v>
      </c>
      <c r="S113" s="13" t="str">
        <f>_xlfn.LET(_xlpm.Result,_xlfn.XLOOKUP(B113,Input!J:J,Input!AA:AA),IF(_xlpm.Result="","",_xlpm.Result))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AB113">IFERROR(IF(_xlfn.XLOOKUP(B113,Input!J:J,Input!N:U)=0,"",
          _xlfn.XLOOKUP(B113,Input!J:J,Input!N:U)),"")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s="13" t="str">
        <v/>
      </c>
      <c r="AB113" s="13" t="str">
        <v/>
      </c>
      <c r="AC113" t="str">
        <f t="shared" si="5"/>
        <v/>
      </c>
      <c r="AD113" t="str">
        <f>_xlfn.XLOOKUP(B:B,Disk_Pivot!G:G,Disk_Pivot!I:I)</f>
        <v>Yes</v>
      </c>
      <c r="AE113" t="str">
        <f>_xlfn.XLOOKUP(B113,Disk_Pivot!G:G,Disk_Pivot!N:N)</f>
        <v>Fail</v>
      </c>
    </row>
    <row r="114" spans="6:31">
      <c r="F114" t="str">
        <f>_xlfn.XLOOKUP(H114,Models!B:B,Models!F:F,"")</f>
        <v/>
      </c>
      <c r="K114">
        <f>_xlfn.XLOOKUP(B114,CPU_Formula!A:A,CPU_Formula!I:I)</f>
        <v>0</v>
      </c>
      <c r="L114" s="13" t="e">
        <f>INDEX(Input!$D$2:$AC$500,
       MATCH(B114, Input!$J$2:$J$500, 0),
       MATCH("Memory Capacity", Input!$D$1:$AC$1, 0))</f>
        <v>#N/A</v>
      </c>
      <c r="M114" s="13" t="e">
        <f>INDEX(Input!$D$2:$AC$500,
       MATCH(B114, Input!$J$2:$J$500, 0),
       MATCH("Memory Type", Input!$D$1:$AC$1, 0))</f>
        <v>#N/A</v>
      </c>
      <c r="N114" s="13" t="e">
        <f t="shared" si="3"/>
        <v>#N/A</v>
      </c>
      <c r="Q114" t="e">
        <f>INDEX(Input!$D$2:$AC$500,
       MATCH(B114, Input!$J$2:$J$500, 0),
       MATCH("Disk Capacity", Input!$D$1:$AC$1, 0))</f>
        <v>#N/A</v>
      </c>
      <c r="S114" s="13" t="str">
        <f>_xlfn.LET(_xlpm.Result,_xlfn.XLOOKUP(B114,Input!J:J,Input!AA:AA),IF(_xlpm.Result="","",_xlpm.Result))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AB114">IFERROR(IF(_xlfn.XLOOKUP(B114,Input!J:J,Input!N:U)=0,"",
          _xlfn.XLOOKUP(B114,Input!J:J,Input!N:U)),"")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s="13" t="str">
        <v/>
      </c>
      <c r="AB114" s="13" t="str">
        <v/>
      </c>
      <c r="AC114" t="str">
        <f t="shared" si="5"/>
        <v/>
      </c>
      <c r="AD114" t="str">
        <f>_xlfn.XLOOKUP(B:B,Disk_Pivot!G:G,Disk_Pivot!I:I)</f>
        <v>Yes</v>
      </c>
      <c r="AE114" t="str">
        <f>_xlfn.XLOOKUP(B114,Disk_Pivot!G:G,Disk_Pivot!N:N)</f>
        <v>Fail</v>
      </c>
    </row>
    <row r="115" spans="6:31">
      <c r="F115" t="str">
        <f>_xlfn.XLOOKUP(H115,Models!B:B,Models!F:F,"")</f>
        <v/>
      </c>
      <c r="K115">
        <f>_xlfn.XLOOKUP(B115,CPU_Formula!A:A,CPU_Formula!I:I)</f>
        <v>0</v>
      </c>
      <c r="L115" s="13" t="e">
        <f>INDEX(Input!$D$2:$AC$500,
       MATCH(B115, Input!$J$2:$J$500, 0),
       MATCH("Memory Capacity", Input!$D$1:$AC$1, 0))</f>
        <v>#N/A</v>
      </c>
      <c r="M115" s="13" t="e">
        <f>INDEX(Input!$D$2:$AC$500,
       MATCH(B115, Input!$J$2:$J$500, 0),
       MATCH("Memory Type", Input!$D$1:$AC$1, 0))</f>
        <v>#N/A</v>
      </c>
      <c r="N115" s="13" t="e">
        <f t="shared" si="3"/>
        <v>#N/A</v>
      </c>
      <c r="Q115" t="e">
        <f>INDEX(Input!$D$2:$AC$500,
       MATCH(B115, Input!$J$2:$J$500, 0),
       MATCH("Disk Capacity", Input!$D$1:$AC$1, 0))</f>
        <v>#N/A</v>
      </c>
      <c r="S115" s="13" t="str">
        <f>_xlfn.LET(_xlpm.Result,_xlfn.XLOOKUP(B115,Input!J:J,Input!AA:AA),IF(_xlpm.Result="","",_xlpm.Result))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AB115">IFERROR(IF(_xlfn.XLOOKUP(B115,Input!J:J,Input!N:U)=0,"",
          _xlfn.XLOOKUP(B115,Input!J:J,Input!N:U)),"")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s="13" t="str">
        <v/>
      </c>
      <c r="AB115" s="13" t="str">
        <v/>
      </c>
      <c r="AC115" t="str">
        <f t="shared" si="5"/>
        <v/>
      </c>
      <c r="AD115" t="str">
        <f>_xlfn.XLOOKUP(B:B,Disk_Pivot!G:G,Disk_Pivot!I:I)</f>
        <v>Yes</v>
      </c>
      <c r="AE115" t="str">
        <f>_xlfn.XLOOKUP(B115,Disk_Pivot!G:G,Disk_Pivot!N:N)</f>
        <v>Fail</v>
      </c>
    </row>
    <row r="116" spans="6:31">
      <c r="F116" t="str">
        <f>_xlfn.XLOOKUP(H116,Models!B:B,Models!F:F,"")</f>
        <v/>
      </c>
      <c r="K116">
        <f>_xlfn.XLOOKUP(B116,CPU_Formula!A:A,CPU_Formula!I:I)</f>
        <v>0</v>
      </c>
      <c r="L116" s="13" t="e">
        <f>INDEX(Input!$D$2:$AC$500,
       MATCH(B116, Input!$J$2:$J$500, 0),
       MATCH("Memory Capacity", Input!$D$1:$AC$1, 0))</f>
        <v>#N/A</v>
      </c>
      <c r="M116" s="13" t="e">
        <f>INDEX(Input!$D$2:$AC$500,
       MATCH(B116, Input!$J$2:$J$500, 0),
       MATCH("Memory Type", Input!$D$1:$AC$1, 0))</f>
        <v>#N/A</v>
      </c>
      <c r="N116" s="13" t="e">
        <f t="shared" si="3"/>
        <v>#N/A</v>
      </c>
      <c r="Q116" t="e">
        <f>INDEX(Input!$D$2:$AC$500,
       MATCH(B116, Input!$J$2:$J$500, 0),
       MATCH("Disk Capacity", Input!$D$1:$AC$1, 0))</f>
        <v>#N/A</v>
      </c>
      <c r="S116" s="13" t="str">
        <f>_xlfn.LET(_xlpm.Result,_xlfn.XLOOKUP(B116,Input!J:J,Input!AA:AA),IF(_xlpm.Result="","",_xlpm.Result))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AB116">IFERROR(IF(_xlfn.XLOOKUP(B116,Input!J:J,Input!N:U)=0,"",
          _xlfn.XLOOKUP(B116,Input!J:J,Input!N:U)),"")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s="13" t="str">
        <v/>
      </c>
      <c r="AB116" s="13" t="str">
        <v/>
      </c>
      <c r="AC116" t="str">
        <f t="shared" si="5"/>
        <v/>
      </c>
      <c r="AD116" t="str">
        <f>_xlfn.XLOOKUP(B:B,Disk_Pivot!G:G,Disk_Pivot!I:I)</f>
        <v>Yes</v>
      </c>
      <c r="AE116" t="str">
        <f>_xlfn.XLOOKUP(B116,Disk_Pivot!G:G,Disk_Pivot!N:N)</f>
        <v>Fail</v>
      </c>
    </row>
    <row r="117" spans="6:31">
      <c r="F117" t="str">
        <f>_xlfn.XLOOKUP(H117,Models!B:B,Models!F:F,"")</f>
        <v/>
      </c>
      <c r="K117">
        <f>_xlfn.XLOOKUP(B117,CPU_Formula!A:A,CPU_Formula!I:I)</f>
        <v>0</v>
      </c>
      <c r="L117" s="13" t="e">
        <f>INDEX(Input!$D$2:$AC$500,
       MATCH(B117, Input!$J$2:$J$500, 0),
       MATCH("Memory Capacity", Input!$D$1:$AC$1, 0))</f>
        <v>#N/A</v>
      </c>
      <c r="M117" s="13" t="e">
        <f>INDEX(Input!$D$2:$AC$500,
       MATCH(B117, Input!$J$2:$J$500, 0),
       MATCH("Memory Type", Input!$D$1:$AC$1, 0))</f>
        <v>#N/A</v>
      </c>
      <c r="N117" s="13" t="e">
        <f t="shared" si="3"/>
        <v>#N/A</v>
      </c>
      <c r="Q117" t="e">
        <f>INDEX(Input!$D$2:$AC$500,
       MATCH(B117, Input!$J$2:$J$500, 0),
       MATCH("Disk Capacity", Input!$D$1:$AC$1, 0))</f>
        <v>#N/A</v>
      </c>
      <c r="S117" s="13" t="str">
        <f>_xlfn.LET(_xlpm.Result,_xlfn.XLOOKUP(B117,Input!J:J,Input!AA:AA),IF(_xlpm.Result="","",_xlpm.Result))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AB117">IFERROR(IF(_xlfn.XLOOKUP(B117,Input!J:J,Input!N:U)=0,"",
          _xlfn.XLOOKUP(B117,Input!J:J,Input!N:U)),"")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s="13" t="str">
        <v/>
      </c>
      <c r="AB117" s="13" t="str">
        <v/>
      </c>
      <c r="AC117" t="str">
        <f t="shared" si="5"/>
        <v/>
      </c>
      <c r="AD117" t="str">
        <f>_xlfn.XLOOKUP(B:B,Disk_Pivot!G:G,Disk_Pivot!I:I)</f>
        <v>Yes</v>
      </c>
      <c r="AE117" t="str">
        <f>_xlfn.XLOOKUP(B117,Disk_Pivot!G:G,Disk_Pivot!N:N)</f>
        <v>Fail</v>
      </c>
    </row>
    <row r="118" spans="6:31">
      <c r="F118" t="str">
        <f>_xlfn.XLOOKUP(H118,Models!B:B,Models!F:F,"")</f>
        <v/>
      </c>
      <c r="K118">
        <f>_xlfn.XLOOKUP(B118,CPU_Formula!A:A,CPU_Formula!I:I)</f>
        <v>0</v>
      </c>
      <c r="L118" s="13" t="e">
        <f>INDEX(Input!$D$2:$AC$500,
       MATCH(B118, Input!$J$2:$J$500, 0),
       MATCH("Memory Capacity", Input!$D$1:$AC$1, 0))</f>
        <v>#N/A</v>
      </c>
      <c r="M118" s="13" t="e">
        <f>INDEX(Input!$D$2:$AC$500,
       MATCH(B118, Input!$J$2:$J$500, 0),
       MATCH("Memory Type", Input!$D$1:$AC$1, 0))</f>
        <v>#N/A</v>
      </c>
      <c r="N118" s="13" t="e">
        <f t="shared" si="3"/>
        <v>#N/A</v>
      </c>
      <c r="Q118" t="e">
        <f>INDEX(Input!$D$2:$AC$500,
       MATCH(B118, Input!$J$2:$J$500, 0),
       MATCH("Disk Capacity", Input!$D$1:$AC$1, 0))</f>
        <v>#N/A</v>
      </c>
      <c r="S118" s="13" t="str">
        <f>_xlfn.LET(_xlpm.Result,_xlfn.XLOOKUP(B118,Input!J:J,Input!AA:AA),IF(_xlpm.Result="","",_xlpm.Result))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AB118">IFERROR(IF(_xlfn.XLOOKUP(B118,Input!J:J,Input!N:U)=0,"",
          _xlfn.XLOOKUP(B118,Input!J:J,Input!N:U)),"")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s="13" t="str">
        <v/>
      </c>
      <c r="AB118" s="13" t="str">
        <v/>
      </c>
      <c r="AC118" t="str">
        <f t="shared" si="5"/>
        <v/>
      </c>
      <c r="AD118" t="str">
        <f>_xlfn.XLOOKUP(B:B,Disk_Pivot!G:G,Disk_Pivot!I:I)</f>
        <v>Yes</v>
      </c>
      <c r="AE118" t="str">
        <f>_xlfn.XLOOKUP(B118,Disk_Pivot!G:G,Disk_Pivot!N:N)</f>
        <v>Fail</v>
      </c>
    </row>
    <row r="119" spans="6:31">
      <c r="F119" t="str">
        <f>_xlfn.XLOOKUP(H119,Models!B:B,Models!F:F,"")</f>
        <v/>
      </c>
      <c r="K119">
        <f>_xlfn.XLOOKUP(B119,CPU_Formula!A:A,CPU_Formula!I:I)</f>
        <v>0</v>
      </c>
      <c r="L119" s="13" t="e">
        <f>INDEX(Input!$D$2:$AC$500,
       MATCH(B119, Input!$J$2:$J$500, 0),
       MATCH("Memory Capacity", Input!$D$1:$AC$1, 0))</f>
        <v>#N/A</v>
      </c>
      <c r="M119" s="13" t="e">
        <f>INDEX(Input!$D$2:$AC$500,
       MATCH(B119, Input!$J$2:$J$500, 0),
       MATCH("Memory Type", Input!$D$1:$AC$1, 0))</f>
        <v>#N/A</v>
      </c>
      <c r="N119" s="13" t="e">
        <f t="shared" si="3"/>
        <v>#N/A</v>
      </c>
      <c r="Q119" t="e">
        <f>INDEX(Input!$D$2:$AC$500,
       MATCH(B119, Input!$J$2:$J$500, 0),
       MATCH("Disk Capacity", Input!$D$1:$AC$1, 0))</f>
        <v>#N/A</v>
      </c>
      <c r="S119" s="13" t="str">
        <f>_xlfn.LET(_xlpm.Result,_xlfn.XLOOKUP(B119,Input!J:J,Input!AA:AA),IF(_xlpm.Result="","",_xlpm.Result))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AB119">IFERROR(IF(_xlfn.XLOOKUP(B119,Input!J:J,Input!N:U)=0,"",
          _xlfn.XLOOKUP(B119,Input!J:J,Input!N:U)),"")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s="13" t="str">
        <v/>
      </c>
      <c r="AB119" s="13" t="str">
        <v/>
      </c>
      <c r="AC119" t="str">
        <f t="shared" si="5"/>
        <v/>
      </c>
      <c r="AD119" t="str">
        <f>_xlfn.XLOOKUP(B:B,Disk_Pivot!G:G,Disk_Pivot!I:I)</f>
        <v>Yes</v>
      </c>
      <c r="AE119" t="str">
        <f>_xlfn.XLOOKUP(B119,Disk_Pivot!G:G,Disk_Pivot!N:N)</f>
        <v>Fail</v>
      </c>
    </row>
    <row r="120" spans="6:31">
      <c r="F120" t="str">
        <f>_xlfn.XLOOKUP(H120,Models!B:B,Models!F:F,"")</f>
        <v/>
      </c>
      <c r="K120">
        <f>_xlfn.XLOOKUP(B120,CPU_Formula!A:A,CPU_Formula!I:I)</f>
        <v>0</v>
      </c>
      <c r="L120" s="13" t="e">
        <f>INDEX(Input!$D$2:$AC$500,
       MATCH(B120, Input!$J$2:$J$500, 0),
       MATCH("Memory Capacity", Input!$D$1:$AC$1, 0))</f>
        <v>#N/A</v>
      </c>
      <c r="M120" s="13" t="e">
        <f>INDEX(Input!$D$2:$AC$500,
       MATCH(B120, Input!$J$2:$J$500, 0),
       MATCH("Memory Type", Input!$D$1:$AC$1, 0))</f>
        <v>#N/A</v>
      </c>
      <c r="N120" s="13" t="e">
        <f t="shared" si="3"/>
        <v>#N/A</v>
      </c>
      <c r="Q120" t="e">
        <f>INDEX(Input!$D$2:$AC$500,
       MATCH(B120, Input!$J$2:$J$500, 0),
       MATCH("Disk Capacity", Input!$D$1:$AC$1, 0))</f>
        <v>#N/A</v>
      </c>
      <c r="S120" s="13" t="str">
        <f>_xlfn.LET(_xlpm.Result,_xlfn.XLOOKUP(B120,Input!J:J,Input!AA:AA),IF(_xlpm.Result="","",_xlpm.Result))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AB120">IFERROR(IF(_xlfn.XLOOKUP(B120,Input!J:J,Input!N:U)=0,"",
          _xlfn.XLOOKUP(B120,Input!J:J,Input!N:U)),"")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s="13" t="str">
        <v/>
      </c>
      <c r="AB120" s="13" t="str">
        <v/>
      </c>
      <c r="AC120" t="str">
        <f t="shared" si="5"/>
        <v/>
      </c>
      <c r="AD120" t="str">
        <f>_xlfn.XLOOKUP(B:B,Disk_Pivot!G:G,Disk_Pivot!I:I)</f>
        <v>Yes</v>
      </c>
      <c r="AE120" t="str">
        <f>_xlfn.XLOOKUP(B120,Disk_Pivot!G:G,Disk_Pivot!N:N)</f>
        <v>Fail</v>
      </c>
    </row>
    <row r="121" spans="6:31">
      <c r="F121" t="str">
        <f>_xlfn.XLOOKUP(H121,Models!B:B,Models!F:F,"")</f>
        <v/>
      </c>
      <c r="K121">
        <f>_xlfn.XLOOKUP(B121,CPU_Formula!A:A,CPU_Formula!I:I)</f>
        <v>0</v>
      </c>
      <c r="L121" s="13" t="e">
        <f>INDEX(Input!$D$2:$AC$500,
       MATCH(B121, Input!$J$2:$J$500, 0),
       MATCH("Memory Capacity", Input!$D$1:$AC$1, 0))</f>
        <v>#N/A</v>
      </c>
      <c r="M121" s="13" t="e">
        <f>INDEX(Input!$D$2:$AC$500,
       MATCH(B121, Input!$J$2:$J$500, 0),
       MATCH("Memory Type", Input!$D$1:$AC$1, 0))</f>
        <v>#N/A</v>
      </c>
      <c r="N121" s="13" t="e">
        <f t="shared" si="3"/>
        <v>#N/A</v>
      </c>
      <c r="Q121" t="e">
        <f>INDEX(Input!$D$2:$AC$500,
       MATCH(B121, Input!$J$2:$J$500, 0),
       MATCH("Disk Capacity", Input!$D$1:$AC$1, 0))</f>
        <v>#N/A</v>
      </c>
      <c r="S121" s="13" t="str">
        <f>_xlfn.LET(_xlpm.Result,_xlfn.XLOOKUP(B121,Input!J:J,Input!AA:AA),IF(_xlpm.Result="","",_xlpm.Result))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AB121">IFERROR(IF(_xlfn.XLOOKUP(B121,Input!J:J,Input!N:U)=0,"",
          _xlfn.XLOOKUP(B121,Input!J:J,Input!N:U)),"")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s="13" t="str">
        <v/>
      </c>
      <c r="AB121" s="13" t="str">
        <v/>
      </c>
      <c r="AC121" t="str">
        <f t="shared" si="5"/>
        <v/>
      </c>
      <c r="AD121" t="str">
        <f>_xlfn.XLOOKUP(B:B,Disk_Pivot!G:G,Disk_Pivot!I:I)</f>
        <v>Yes</v>
      </c>
      <c r="AE121" t="str">
        <f>_xlfn.XLOOKUP(B121,Disk_Pivot!G:G,Disk_Pivot!N:N)</f>
        <v>Fail</v>
      </c>
    </row>
    <row r="122" spans="6:31">
      <c r="F122" t="str">
        <f>_xlfn.XLOOKUP(H122,Models!B:B,Models!F:F,"")</f>
        <v/>
      </c>
      <c r="K122">
        <f>_xlfn.XLOOKUP(B122,CPU_Formula!A:A,CPU_Formula!I:I)</f>
        <v>0</v>
      </c>
      <c r="L122" s="13" t="e">
        <f>INDEX(Input!$D$2:$AC$500,
       MATCH(B122, Input!$J$2:$J$500, 0),
       MATCH("Memory Capacity", Input!$D$1:$AC$1, 0))</f>
        <v>#N/A</v>
      </c>
      <c r="M122" s="13" t="e">
        <f>INDEX(Input!$D$2:$AC$500,
       MATCH(B122, Input!$J$2:$J$500, 0),
       MATCH("Memory Type", Input!$D$1:$AC$1, 0))</f>
        <v>#N/A</v>
      </c>
      <c r="N122" s="13" t="e">
        <f t="shared" si="3"/>
        <v>#N/A</v>
      </c>
      <c r="Q122" t="e">
        <f>INDEX(Input!$D$2:$AC$500,
       MATCH(B122, Input!$J$2:$J$500, 0),
       MATCH("Disk Capacity", Input!$D$1:$AC$1, 0))</f>
        <v>#N/A</v>
      </c>
      <c r="S122" s="13" t="str">
        <f>_xlfn.LET(_xlpm.Result,_xlfn.XLOOKUP(B122,Input!J:J,Input!AA:AA),IF(_xlpm.Result="","",_xlpm.Result))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AB122">IFERROR(IF(_xlfn.XLOOKUP(B122,Input!J:J,Input!N:U)=0,"",
          _xlfn.XLOOKUP(B122,Input!J:J,Input!N:U)),"")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s="13" t="str">
        <v/>
      </c>
      <c r="AB122" s="13" t="str">
        <v/>
      </c>
      <c r="AC122" t="str">
        <f t="shared" si="5"/>
        <v/>
      </c>
      <c r="AD122" t="str">
        <f>_xlfn.XLOOKUP(B:B,Disk_Pivot!G:G,Disk_Pivot!I:I)</f>
        <v>Yes</v>
      </c>
      <c r="AE122" t="str">
        <f>_xlfn.XLOOKUP(B122,Disk_Pivot!G:G,Disk_Pivot!N:N)</f>
        <v>Fail</v>
      </c>
    </row>
    <row r="123" spans="6:31">
      <c r="F123" t="str">
        <f>_xlfn.XLOOKUP(H123,Models!B:B,Models!F:F,"")</f>
        <v/>
      </c>
      <c r="K123">
        <f>_xlfn.XLOOKUP(B123,CPU_Formula!A:A,CPU_Formula!I:I)</f>
        <v>0</v>
      </c>
      <c r="L123" s="13" t="e">
        <f>INDEX(Input!$D$2:$AC$500,
       MATCH(B123, Input!$J$2:$J$500, 0),
       MATCH("Memory Capacity", Input!$D$1:$AC$1, 0))</f>
        <v>#N/A</v>
      </c>
      <c r="M123" s="13" t="e">
        <f>INDEX(Input!$D$2:$AC$500,
       MATCH(B123, Input!$J$2:$J$500, 0),
       MATCH("Memory Type", Input!$D$1:$AC$1, 0))</f>
        <v>#N/A</v>
      </c>
      <c r="N123" s="13" t="e">
        <f t="shared" si="3"/>
        <v>#N/A</v>
      </c>
      <c r="Q123" t="e">
        <f>INDEX(Input!$D$2:$AC$500,
       MATCH(B123, Input!$J$2:$J$500, 0),
       MATCH("Disk Capacity", Input!$D$1:$AC$1, 0))</f>
        <v>#N/A</v>
      </c>
      <c r="S123" s="13" t="str">
        <f>_xlfn.LET(_xlpm.Result,_xlfn.XLOOKUP(B123,Input!J:J,Input!AA:AA),IF(_xlpm.Result="","",_xlpm.Result))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AB123">IFERROR(IF(_xlfn.XLOOKUP(B123,Input!J:J,Input!N:U)=0,"",
          _xlfn.XLOOKUP(B123,Input!J:J,Input!N:U)),"")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s="13" t="str">
        <v/>
      </c>
      <c r="AB123" s="13" t="str">
        <v/>
      </c>
      <c r="AC123" t="str">
        <f t="shared" si="5"/>
        <v/>
      </c>
      <c r="AD123" t="str">
        <f>_xlfn.XLOOKUP(B:B,Disk_Pivot!G:G,Disk_Pivot!I:I)</f>
        <v>Yes</v>
      </c>
      <c r="AE123" t="str">
        <f>_xlfn.XLOOKUP(B123,Disk_Pivot!G:G,Disk_Pivot!N:N)</f>
        <v>Fail</v>
      </c>
    </row>
    <row r="124" spans="6:31">
      <c r="F124" t="str">
        <f>_xlfn.XLOOKUP(H124,Models!B:B,Models!F:F,"")</f>
        <v/>
      </c>
      <c r="K124">
        <f>_xlfn.XLOOKUP(B124,CPU_Formula!A:A,CPU_Formula!I:I)</f>
        <v>0</v>
      </c>
      <c r="L124" s="13" t="e">
        <f>INDEX(Input!$D$2:$AC$500,
       MATCH(B124, Input!$J$2:$J$500, 0),
       MATCH("Memory Capacity", Input!$D$1:$AC$1, 0))</f>
        <v>#N/A</v>
      </c>
      <c r="M124" s="13" t="e">
        <f>INDEX(Input!$D$2:$AC$500,
       MATCH(B124, Input!$J$2:$J$500, 0),
       MATCH("Memory Type", Input!$D$1:$AC$1, 0))</f>
        <v>#N/A</v>
      </c>
      <c r="N124" s="13" t="e">
        <f t="shared" si="3"/>
        <v>#N/A</v>
      </c>
      <c r="Q124" t="e">
        <f>INDEX(Input!$D$2:$AC$500,
       MATCH(B124, Input!$J$2:$J$500, 0),
       MATCH("Disk Capacity", Input!$D$1:$AC$1, 0))</f>
        <v>#N/A</v>
      </c>
      <c r="S124" s="13" t="str">
        <f>_xlfn.LET(_xlpm.Result,_xlfn.XLOOKUP(B124,Input!J:J,Input!AA:AA),IF(_xlpm.Result="","",_xlpm.Result))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AB124">IFERROR(IF(_xlfn.XLOOKUP(B124,Input!J:J,Input!N:U)=0,"",
          _xlfn.XLOOKUP(B124,Input!J:J,Input!N:U)),"")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s="13" t="str">
        <v/>
      </c>
      <c r="AB124" s="13" t="str">
        <v/>
      </c>
      <c r="AC124" t="str">
        <f t="shared" si="5"/>
        <v/>
      </c>
      <c r="AD124" t="str">
        <f>_xlfn.XLOOKUP(B:B,Disk_Pivot!G:G,Disk_Pivot!I:I)</f>
        <v>Yes</v>
      </c>
      <c r="AE124" t="str">
        <f>_xlfn.XLOOKUP(B124,Disk_Pivot!G:G,Disk_Pivot!N:N)</f>
        <v>Fail</v>
      </c>
    </row>
    <row r="125" spans="6:31">
      <c r="F125" t="str">
        <f>_xlfn.XLOOKUP(H125,Models!B:B,Models!F:F,"")</f>
        <v/>
      </c>
      <c r="K125">
        <f>_xlfn.XLOOKUP(B125,CPU_Formula!A:A,CPU_Formula!I:I)</f>
        <v>0</v>
      </c>
      <c r="L125" s="13" t="e">
        <f>INDEX(Input!$D$2:$AC$500,
       MATCH(B125, Input!$J$2:$J$500, 0),
       MATCH("Memory Capacity", Input!$D$1:$AC$1, 0))</f>
        <v>#N/A</v>
      </c>
      <c r="M125" s="13" t="e">
        <f>INDEX(Input!$D$2:$AC$500,
       MATCH(B125, Input!$J$2:$J$500, 0),
       MATCH("Memory Type", Input!$D$1:$AC$1, 0))</f>
        <v>#N/A</v>
      </c>
      <c r="N125" s="13" t="e">
        <f t="shared" si="3"/>
        <v>#N/A</v>
      </c>
      <c r="Q125" t="e">
        <f>INDEX(Input!$D$2:$AC$500,
       MATCH(B125, Input!$J$2:$J$500, 0),
       MATCH("Disk Capacity", Input!$D$1:$AC$1, 0))</f>
        <v>#N/A</v>
      </c>
      <c r="S125" s="13" t="str">
        <f>_xlfn.LET(_xlpm.Result,_xlfn.XLOOKUP(B125,Input!J:J,Input!AA:AA),IF(_xlpm.Result="","",_xlpm.Result))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AB125">IFERROR(IF(_xlfn.XLOOKUP(B125,Input!J:J,Input!N:U)=0,"",
          _xlfn.XLOOKUP(B125,Input!J:J,Input!N:U)),"")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s="13" t="str">
        <v/>
      </c>
      <c r="AB125" s="13" t="str">
        <v/>
      </c>
      <c r="AC125" t="str">
        <f t="shared" si="5"/>
        <v/>
      </c>
      <c r="AD125" t="str">
        <f>_xlfn.XLOOKUP(B:B,Disk_Pivot!G:G,Disk_Pivot!I:I)</f>
        <v>Yes</v>
      </c>
      <c r="AE125" t="str">
        <f>_xlfn.XLOOKUP(B125,Disk_Pivot!G:G,Disk_Pivot!N:N)</f>
        <v>Fail</v>
      </c>
    </row>
    <row r="126" spans="6:31">
      <c r="F126" t="str">
        <f>_xlfn.XLOOKUP(H126,Models!B:B,Models!F:F,"")</f>
        <v/>
      </c>
      <c r="K126">
        <f>_xlfn.XLOOKUP(B126,CPU_Formula!A:A,CPU_Formula!I:I)</f>
        <v>0</v>
      </c>
      <c r="L126" s="13" t="e">
        <f>INDEX(Input!$D$2:$AC$500,
       MATCH(B126, Input!$J$2:$J$500, 0),
       MATCH("Memory Capacity", Input!$D$1:$AC$1, 0))</f>
        <v>#N/A</v>
      </c>
      <c r="M126" s="13" t="e">
        <f>INDEX(Input!$D$2:$AC$500,
       MATCH(B126, Input!$J$2:$J$500, 0),
       MATCH("Memory Type", Input!$D$1:$AC$1, 0))</f>
        <v>#N/A</v>
      </c>
      <c r="N126" s="13" t="e">
        <f t="shared" si="3"/>
        <v>#N/A</v>
      </c>
      <c r="Q126" t="e">
        <f>INDEX(Input!$D$2:$AC$500,
       MATCH(B126, Input!$J$2:$J$500, 0),
       MATCH("Disk Capacity", Input!$D$1:$AC$1, 0))</f>
        <v>#N/A</v>
      </c>
      <c r="S126" s="13" t="str">
        <f>_xlfn.LET(_xlpm.Result,_xlfn.XLOOKUP(B126,Input!J:J,Input!AA:AA),IF(_xlpm.Result="","",_xlpm.Result))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AB126">IFERROR(IF(_xlfn.XLOOKUP(B126,Input!J:J,Input!N:U)=0,"",
          _xlfn.XLOOKUP(B126,Input!J:J,Input!N:U)),"")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s="13" t="str">
        <v/>
      </c>
      <c r="AB126" s="13" t="str">
        <v/>
      </c>
      <c r="AC126" t="str">
        <f t="shared" si="5"/>
        <v/>
      </c>
      <c r="AD126" t="str">
        <f>_xlfn.XLOOKUP(B:B,Disk_Pivot!G:G,Disk_Pivot!I:I)</f>
        <v>Yes</v>
      </c>
      <c r="AE126" t="str">
        <f>_xlfn.XLOOKUP(B126,Disk_Pivot!G:G,Disk_Pivot!N:N)</f>
        <v>Fail</v>
      </c>
    </row>
    <row r="127" spans="6:31">
      <c r="F127" t="str">
        <f>_xlfn.XLOOKUP(H127,Models!B:B,Models!F:F,"")</f>
        <v/>
      </c>
      <c r="K127">
        <f>_xlfn.XLOOKUP(B127,CPU_Formula!A:A,CPU_Formula!I:I)</f>
        <v>0</v>
      </c>
      <c r="L127" s="13" t="e">
        <f>INDEX(Input!$D$2:$AC$500,
       MATCH(B127, Input!$J$2:$J$500, 0),
       MATCH("Memory Capacity", Input!$D$1:$AC$1, 0))</f>
        <v>#N/A</v>
      </c>
      <c r="M127" s="13" t="e">
        <f>INDEX(Input!$D$2:$AC$500,
       MATCH(B127, Input!$J$2:$J$500, 0),
       MATCH("Memory Type", Input!$D$1:$AC$1, 0))</f>
        <v>#N/A</v>
      </c>
      <c r="N127" s="13" t="e">
        <f t="shared" si="3"/>
        <v>#N/A</v>
      </c>
      <c r="Q127" t="e">
        <f>INDEX(Input!$D$2:$AC$500,
       MATCH(B127, Input!$J$2:$J$500, 0),
       MATCH("Disk Capacity", Input!$D$1:$AC$1, 0))</f>
        <v>#N/A</v>
      </c>
      <c r="S127" s="13" t="str">
        <f>_xlfn.LET(_xlpm.Result,_xlfn.XLOOKUP(B127,Input!J:J,Input!AA:AA),IF(_xlpm.Result="","",_xlpm.Result))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AB127">IFERROR(IF(_xlfn.XLOOKUP(B127,Input!J:J,Input!N:U)=0,"",
          _xlfn.XLOOKUP(B127,Input!J:J,Input!N:U)),"")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s="13" t="str">
        <v/>
      </c>
      <c r="AB127" s="13" t="str">
        <v/>
      </c>
      <c r="AC127" t="str">
        <f t="shared" si="5"/>
        <v/>
      </c>
      <c r="AD127" t="str">
        <f>_xlfn.XLOOKUP(B:B,Disk_Pivot!G:G,Disk_Pivot!I:I)</f>
        <v>Yes</v>
      </c>
      <c r="AE127" t="str">
        <f>_xlfn.XLOOKUP(B127,Disk_Pivot!G:G,Disk_Pivot!N:N)</f>
        <v>Fail</v>
      </c>
    </row>
    <row r="128" spans="6:31">
      <c r="F128" t="str">
        <f>_xlfn.XLOOKUP(H128,Models!B:B,Models!F:F,"")</f>
        <v/>
      </c>
      <c r="K128">
        <f>_xlfn.XLOOKUP(B128,CPU_Formula!A:A,CPU_Formula!I:I)</f>
        <v>0</v>
      </c>
      <c r="L128" s="13" t="e">
        <f>INDEX(Input!$D$2:$AC$500,
       MATCH(B128, Input!$J$2:$J$500, 0),
       MATCH("Memory Capacity", Input!$D$1:$AC$1, 0))</f>
        <v>#N/A</v>
      </c>
      <c r="M128" s="13" t="e">
        <f>INDEX(Input!$D$2:$AC$500,
       MATCH(B128, Input!$J$2:$J$500, 0),
       MATCH("Memory Type", Input!$D$1:$AC$1, 0))</f>
        <v>#N/A</v>
      </c>
      <c r="N128" s="13" t="e">
        <f t="shared" si="3"/>
        <v>#N/A</v>
      </c>
      <c r="Q128" t="e">
        <f>INDEX(Input!$D$2:$AC$500,
       MATCH(B128, Input!$J$2:$J$500, 0),
       MATCH("Disk Capacity", Input!$D$1:$AC$1, 0))</f>
        <v>#N/A</v>
      </c>
      <c r="S128" s="13" t="str">
        <f>_xlfn.LET(_xlpm.Result,_xlfn.XLOOKUP(B128,Input!J:J,Input!AA:AA),IF(_xlpm.Result="","",_xlpm.Result))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AB128">IFERROR(IF(_xlfn.XLOOKUP(B128,Input!J:J,Input!N:U)=0,"",
          _xlfn.XLOOKUP(B128,Input!J:J,Input!N:U)),"")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s="13" t="str">
        <v/>
      </c>
      <c r="AB128" s="13" t="str">
        <v/>
      </c>
      <c r="AC128" t="str">
        <f t="shared" si="5"/>
        <v/>
      </c>
      <c r="AD128" t="str">
        <f>_xlfn.XLOOKUP(B:B,Disk_Pivot!G:G,Disk_Pivot!I:I)</f>
        <v>Yes</v>
      </c>
      <c r="AE128" t="str">
        <f>_xlfn.XLOOKUP(B128,Disk_Pivot!G:G,Disk_Pivot!N:N)</f>
        <v>Fail</v>
      </c>
    </row>
    <row r="129" spans="6:31">
      <c r="F129" t="str">
        <f>_xlfn.XLOOKUP(H129,Models!B:B,Models!F:F,"")</f>
        <v/>
      </c>
      <c r="K129">
        <f>_xlfn.XLOOKUP(B129,CPU_Formula!A:A,CPU_Formula!I:I)</f>
        <v>0</v>
      </c>
      <c r="L129" s="13" t="e">
        <f>INDEX(Input!$D$2:$AC$500,
       MATCH(B129, Input!$J$2:$J$500, 0),
       MATCH("Memory Capacity", Input!$D$1:$AC$1, 0))</f>
        <v>#N/A</v>
      </c>
      <c r="M129" s="13" t="e">
        <f>INDEX(Input!$D$2:$AC$500,
       MATCH(B129, Input!$J$2:$J$500, 0),
       MATCH("Memory Type", Input!$D$1:$AC$1, 0))</f>
        <v>#N/A</v>
      </c>
      <c r="N129" s="13" t="e">
        <f t="shared" si="3"/>
        <v>#N/A</v>
      </c>
      <c r="Q129" t="e">
        <f>INDEX(Input!$D$2:$AC$500,
       MATCH(B129, Input!$J$2:$J$500, 0),
       MATCH("Disk Capacity", Input!$D$1:$AC$1, 0))</f>
        <v>#N/A</v>
      </c>
      <c r="S129" s="13" t="str">
        <f>_xlfn.LET(_xlpm.Result,_xlfn.XLOOKUP(B129,Input!J:J,Input!AA:AA),IF(_xlpm.Result="","",_xlpm.Result))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AB129">IFERROR(IF(_xlfn.XLOOKUP(B129,Input!J:J,Input!N:U)=0,"",
          _xlfn.XLOOKUP(B129,Input!J:J,Input!N:U)),"")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s="13" t="str">
        <v/>
      </c>
      <c r="AB129" s="13" t="str">
        <v/>
      </c>
      <c r="AC129" t="str">
        <f t="shared" si="5"/>
        <v/>
      </c>
      <c r="AD129" t="str">
        <f>_xlfn.XLOOKUP(B:B,Disk_Pivot!G:G,Disk_Pivot!I:I)</f>
        <v>Yes</v>
      </c>
      <c r="AE129" t="str">
        <f>_xlfn.XLOOKUP(B129,Disk_Pivot!G:G,Disk_Pivot!N:N)</f>
        <v>Fail</v>
      </c>
    </row>
    <row r="130" spans="6:31">
      <c r="F130" t="str">
        <f>_xlfn.XLOOKUP(H130,Models!B:B,Models!F:F,"")</f>
        <v/>
      </c>
      <c r="K130">
        <f>_xlfn.XLOOKUP(B130,CPU_Formula!A:A,CPU_Formula!I:I)</f>
        <v>0</v>
      </c>
      <c r="L130" s="13" t="e">
        <f>INDEX(Input!$D$2:$AC$500,
       MATCH(B130, Input!$J$2:$J$500, 0),
       MATCH("Memory Capacity", Input!$D$1:$AC$1, 0))</f>
        <v>#N/A</v>
      </c>
      <c r="M130" s="13" t="e">
        <f>INDEX(Input!$D$2:$AC$500,
       MATCH(B130, Input!$J$2:$J$500, 0),
       MATCH("Memory Type", Input!$D$1:$AC$1, 0))</f>
        <v>#N/A</v>
      </c>
      <c r="N130" s="13" t="e">
        <f t="shared" si="3"/>
        <v>#N/A</v>
      </c>
      <c r="Q130" t="e">
        <f>INDEX(Input!$D$2:$AC$500,
       MATCH(B130, Input!$J$2:$J$500, 0),
       MATCH("Disk Capacity", Input!$D$1:$AC$1, 0))</f>
        <v>#N/A</v>
      </c>
      <c r="S130" s="13" t="str">
        <f>_xlfn.LET(_xlpm.Result,_xlfn.XLOOKUP(B130,Input!J:J,Input!AA:AA),IF(_xlpm.Result="","",_xlpm.Result))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AB130">IFERROR(IF(_xlfn.XLOOKUP(B130,Input!J:J,Input!N:U)=0,"",
          _xlfn.XLOOKUP(B130,Input!J:J,Input!N:U)),"")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s="13" t="str">
        <v/>
      </c>
      <c r="AB130" s="13" t="str">
        <v/>
      </c>
      <c r="AC130" t="str">
        <f t="shared" si="5"/>
        <v/>
      </c>
      <c r="AD130" t="str">
        <f>_xlfn.XLOOKUP(B:B,Disk_Pivot!G:G,Disk_Pivot!I:I)</f>
        <v>Yes</v>
      </c>
      <c r="AE130" t="str">
        <f>_xlfn.XLOOKUP(B130,Disk_Pivot!G:G,Disk_Pivot!N:N)</f>
        <v>Fail</v>
      </c>
    </row>
    <row r="131" spans="6:31">
      <c r="F131" t="str">
        <f>_xlfn.XLOOKUP(H131,Models!B:B,Models!F:F,"")</f>
        <v/>
      </c>
      <c r="K131">
        <f>_xlfn.XLOOKUP(B131,CPU_Formula!A:A,CPU_Formula!I:I)</f>
        <v>0</v>
      </c>
      <c r="L131" s="13" t="e">
        <f>INDEX(Input!$D$2:$AC$500,
       MATCH(B131, Input!$J$2:$J$500, 0),
       MATCH("Memory Capacity", Input!$D$1:$AC$1, 0))</f>
        <v>#N/A</v>
      </c>
      <c r="M131" s="13" t="e">
        <f>INDEX(Input!$D$2:$AC$500,
       MATCH(B131, Input!$J$2:$J$500, 0),
       MATCH("Memory Type", Input!$D$1:$AC$1, 0))</f>
        <v>#N/A</v>
      </c>
      <c r="N131" s="13" t="e">
        <f t="shared" ref="N131:N194" si="7">IF(ISNUMBER(L131), L131, SUBSTITUTE(SUBSTITUTE(SUBSTITUTE(L131,"GiB","")," ",""),"/","+"))</f>
        <v>#N/A</v>
      </c>
      <c r="Q131" t="e">
        <f>INDEX(Input!$D$2:$AC$500,
       MATCH(B131, Input!$J$2:$J$500, 0),
       MATCH("Disk Capacity", Input!$D$1:$AC$1, 0))</f>
        <v>#N/A</v>
      </c>
      <c r="S131" s="13" t="str">
        <f>_xlfn.LET(_xlpm.Result,_xlfn.XLOOKUP(B131,Input!J:J,Input!AA:AA),IF(_xlpm.Result="","",_xlpm.Result))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AB131">IFERROR(IF(_xlfn.XLOOKUP(B131,Input!J:J,Input!N:U)=0,"",
          _xlfn.XLOOKUP(B131,Input!J:J,Input!N:U)),"")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s="13" t="str">
        <v/>
      </c>
      <c r="AB131" s="13" t="str">
        <v/>
      </c>
      <c r="AC131" t="str">
        <f t="shared" ref="AC131:AC194" si="8">_xlfn.TEXTJOIN(", ",TRUE,T131,U131,V131,W131,X131,Y131,Z131)</f>
        <v/>
      </c>
      <c r="AD131" t="str">
        <f>_xlfn.XLOOKUP(B:B,Disk_Pivot!G:G,Disk_Pivot!I:I)</f>
        <v>Yes</v>
      </c>
      <c r="AE131" t="str">
        <f>_xlfn.XLOOKUP(B131,Disk_Pivot!G:G,Disk_Pivot!N:N)</f>
        <v>Fail</v>
      </c>
    </row>
    <row r="132" spans="6:31">
      <c r="F132" t="str">
        <f>_xlfn.XLOOKUP(H132,Models!B:B,Models!F:F,"")</f>
        <v/>
      </c>
      <c r="K132">
        <f>_xlfn.XLOOKUP(B132,CPU_Formula!A:A,CPU_Formula!I:I)</f>
        <v>0</v>
      </c>
      <c r="L132" s="13" t="e">
        <f>INDEX(Input!$D$2:$AC$500,
       MATCH(B132, Input!$J$2:$J$500, 0),
       MATCH("Memory Capacity", Input!$D$1:$AC$1, 0))</f>
        <v>#N/A</v>
      </c>
      <c r="M132" s="13" t="e">
        <f>INDEX(Input!$D$2:$AC$500,
       MATCH(B132, Input!$J$2:$J$500, 0),
       MATCH("Memory Type", Input!$D$1:$AC$1, 0))</f>
        <v>#N/A</v>
      </c>
      <c r="N132" s="13" t="e">
        <f t="shared" si="7"/>
        <v>#N/A</v>
      </c>
      <c r="Q132" t="e">
        <f>INDEX(Input!$D$2:$AC$500,
       MATCH(B132, Input!$J$2:$J$500, 0),
       MATCH("Disk Capacity", Input!$D$1:$AC$1, 0))</f>
        <v>#N/A</v>
      </c>
      <c r="S132" s="13" t="str">
        <f>_xlfn.LET(_xlpm.Result,_xlfn.XLOOKUP(B132,Input!J:J,Input!AA:AA),IF(_xlpm.Result="","",_xlpm.Result))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AB132">IFERROR(IF(_xlfn.XLOOKUP(B132,Input!J:J,Input!N:U)=0,"",
          _xlfn.XLOOKUP(B132,Input!J:J,Input!N:U)),"")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s="13" t="str">
        <v/>
      </c>
      <c r="AB132" s="13" t="str">
        <v/>
      </c>
      <c r="AC132" t="str">
        <f t="shared" si="8"/>
        <v/>
      </c>
      <c r="AD132" t="str">
        <f>_xlfn.XLOOKUP(B:B,Disk_Pivot!G:G,Disk_Pivot!I:I)</f>
        <v>Yes</v>
      </c>
      <c r="AE132" t="str">
        <f>_xlfn.XLOOKUP(B132,Disk_Pivot!G:G,Disk_Pivot!N:N)</f>
        <v>Fail</v>
      </c>
    </row>
    <row r="133" spans="6:31">
      <c r="F133" t="str">
        <f>_xlfn.XLOOKUP(H133,Models!B:B,Models!F:F,"")</f>
        <v/>
      </c>
      <c r="K133">
        <f>_xlfn.XLOOKUP(B133,CPU_Formula!A:A,CPU_Formula!I:I)</f>
        <v>0</v>
      </c>
      <c r="L133" s="13" t="e">
        <f>INDEX(Input!$D$2:$AC$500,
       MATCH(B133, Input!$J$2:$J$500, 0),
       MATCH("Memory Capacity", Input!$D$1:$AC$1, 0))</f>
        <v>#N/A</v>
      </c>
      <c r="M133" s="13" t="e">
        <f>INDEX(Input!$D$2:$AC$500,
       MATCH(B133, Input!$J$2:$J$500, 0),
       MATCH("Memory Type", Input!$D$1:$AC$1, 0))</f>
        <v>#N/A</v>
      </c>
      <c r="N133" s="13" t="e">
        <f t="shared" si="7"/>
        <v>#N/A</v>
      </c>
      <c r="Q133" t="e">
        <f>INDEX(Input!$D$2:$AC$500,
       MATCH(B133, Input!$J$2:$J$500, 0),
       MATCH("Disk Capacity", Input!$D$1:$AC$1, 0))</f>
        <v>#N/A</v>
      </c>
      <c r="S133" s="13" t="str">
        <f>_xlfn.LET(_xlpm.Result,_xlfn.XLOOKUP(B133,Input!J:J,Input!AA:AA),IF(_xlpm.Result="","",_xlpm.Result))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AB133">IFERROR(IF(_xlfn.XLOOKUP(B133,Input!J:J,Input!N:U)=0,"",
          _xlfn.XLOOKUP(B133,Input!J:J,Input!N:U)),"")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s="13" t="str">
        <v/>
      </c>
      <c r="AB133" s="13" t="str">
        <v/>
      </c>
      <c r="AC133" t="str">
        <f t="shared" si="8"/>
        <v/>
      </c>
      <c r="AD133" t="str">
        <f>_xlfn.XLOOKUP(B:B,Disk_Pivot!G:G,Disk_Pivot!I:I)</f>
        <v>Yes</v>
      </c>
      <c r="AE133" t="str">
        <f>_xlfn.XLOOKUP(B133,Disk_Pivot!G:G,Disk_Pivot!N:N)</f>
        <v>Fail</v>
      </c>
    </row>
    <row r="134" spans="6:31">
      <c r="F134" t="str">
        <f>_xlfn.XLOOKUP(H134,Models!B:B,Models!F:F,"")</f>
        <v/>
      </c>
      <c r="K134">
        <f>_xlfn.XLOOKUP(B134,CPU_Formula!A:A,CPU_Formula!I:I)</f>
        <v>0</v>
      </c>
      <c r="L134" s="13" t="e">
        <f>INDEX(Input!$D$2:$AC$500,
       MATCH(B134, Input!$J$2:$J$500, 0),
       MATCH("Memory Capacity", Input!$D$1:$AC$1, 0))</f>
        <v>#N/A</v>
      </c>
      <c r="M134" s="13" t="e">
        <f>INDEX(Input!$D$2:$AC$500,
       MATCH(B134, Input!$J$2:$J$500, 0),
       MATCH("Memory Type", Input!$D$1:$AC$1, 0))</f>
        <v>#N/A</v>
      </c>
      <c r="N134" s="13" t="e">
        <f t="shared" si="7"/>
        <v>#N/A</v>
      </c>
      <c r="Q134" t="e">
        <f>INDEX(Input!$D$2:$AC$500,
       MATCH(B134, Input!$J$2:$J$500, 0),
       MATCH("Disk Capacity", Input!$D$1:$AC$1, 0))</f>
        <v>#N/A</v>
      </c>
      <c r="S134" s="13" t="str">
        <f>_xlfn.LET(_xlpm.Result,_xlfn.XLOOKUP(B134,Input!J:J,Input!AA:AA),IF(_xlpm.Result="","",_xlpm.Result))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AB134">IFERROR(IF(_xlfn.XLOOKUP(B134,Input!J:J,Input!N:U)=0,"",
          _xlfn.XLOOKUP(B134,Input!J:J,Input!N:U)),"")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s="13" t="str">
        <v/>
      </c>
      <c r="AB134" s="13" t="str">
        <v/>
      </c>
      <c r="AC134" t="str">
        <f t="shared" si="8"/>
        <v/>
      </c>
      <c r="AD134" t="str">
        <f>_xlfn.XLOOKUP(B:B,Disk_Pivot!G:G,Disk_Pivot!I:I)</f>
        <v>Yes</v>
      </c>
      <c r="AE134" t="str">
        <f>_xlfn.XLOOKUP(B134,Disk_Pivot!G:G,Disk_Pivot!N:N)</f>
        <v>Fail</v>
      </c>
    </row>
    <row r="135" spans="6:31">
      <c r="F135" t="str">
        <f>_xlfn.XLOOKUP(H135,Models!B:B,Models!F:F,"")</f>
        <v/>
      </c>
      <c r="K135">
        <f>_xlfn.XLOOKUP(B135,CPU_Formula!A:A,CPU_Formula!I:I)</f>
        <v>0</v>
      </c>
      <c r="L135" s="13" t="e">
        <f>INDEX(Input!$D$2:$AC$500,
       MATCH(B135, Input!$J$2:$J$500, 0),
       MATCH("Memory Capacity", Input!$D$1:$AC$1, 0))</f>
        <v>#N/A</v>
      </c>
      <c r="M135" s="13" t="e">
        <f>INDEX(Input!$D$2:$AC$500,
       MATCH(B135, Input!$J$2:$J$500, 0),
       MATCH("Memory Type", Input!$D$1:$AC$1, 0))</f>
        <v>#N/A</v>
      </c>
      <c r="N135" s="13" t="e">
        <f t="shared" si="7"/>
        <v>#N/A</v>
      </c>
      <c r="Q135" t="e">
        <f>INDEX(Input!$D$2:$AC$500,
       MATCH(B135, Input!$J$2:$J$500, 0),
       MATCH("Disk Capacity", Input!$D$1:$AC$1, 0))</f>
        <v>#N/A</v>
      </c>
      <c r="S135" s="13" t="str">
        <f>_xlfn.LET(_xlpm.Result,_xlfn.XLOOKUP(B135,Input!J:J,Input!AA:AA),IF(_xlpm.Result="","",_xlpm.Result))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AB135">IFERROR(IF(_xlfn.XLOOKUP(B135,Input!J:J,Input!N:U)=0,"",
          _xlfn.XLOOKUP(B135,Input!J:J,Input!N:U)),"")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s="13" t="str">
        <v/>
      </c>
      <c r="AB135" s="13" t="str">
        <v/>
      </c>
      <c r="AC135" t="str">
        <f t="shared" si="8"/>
        <v/>
      </c>
      <c r="AD135" t="str">
        <f>_xlfn.XLOOKUP(B:B,Disk_Pivot!G:G,Disk_Pivot!I:I)</f>
        <v>Yes</v>
      </c>
      <c r="AE135" t="str">
        <f>_xlfn.XLOOKUP(B135,Disk_Pivot!G:G,Disk_Pivot!N:N)</f>
        <v>Fail</v>
      </c>
    </row>
    <row r="136" spans="6:31">
      <c r="F136" t="str">
        <f>_xlfn.XLOOKUP(H136,Models!B:B,Models!F:F,"")</f>
        <v/>
      </c>
      <c r="K136">
        <f>_xlfn.XLOOKUP(B136,CPU_Formula!A:A,CPU_Formula!I:I)</f>
        <v>0</v>
      </c>
      <c r="L136" s="13" t="e">
        <f>INDEX(Input!$D$2:$AC$500,
       MATCH(B136, Input!$J$2:$J$500, 0),
       MATCH("Memory Capacity", Input!$D$1:$AC$1, 0))</f>
        <v>#N/A</v>
      </c>
      <c r="M136" s="13" t="e">
        <f>INDEX(Input!$D$2:$AC$500,
       MATCH(B136, Input!$J$2:$J$500, 0),
       MATCH("Memory Type", Input!$D$1:$AC$1, 0))</f>
        <v>#N/A</v>
      </c>
      <c r="N136" s="13" t="e">
        <f t="shared" si="7"/>
        <v>#N/A</v>
      </c>
      <c r="Q136" t="e">
        <f>INDEX(Input!$D$2:$AC$500,
       MATCH(B136, Input!$J$2:$J$500, 0),
       MATCH("Disk Capacity", Input!$D$1:$AC$1, 0))</f>
        <v>#N/A</v>
      </c>
      <c r="S136" s="13" t="str">
        <f>_xlfn.LET(_xlpm.Result,_xlfn.XLOOKUP(B136,Input!J:J,Input!AA:AA),IF(_xlpm.Result="","",_xlpm.Result))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AB136">IFERROR(IF(_xlfn.XLOOKUP(B136,Input!J:J,Input!N:U)=0,"",
          _xlfn.XLOOKUP(B136,Input!J:J,Input!N:U)),"")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s="13" t="str">
        <v/>
      </c>
      <c r="AB136" s="13" t="str">
        <v/>
      </c>
      <c r="AC136" t="str">
        <f t="shared" si="8"/>
        <v/>
      </c>
      <c r="AD136" t="str">
        <f>_xlfn.XLOOKUP(B:B,Disk_Pivot!G:G,Disk_Pivot!I:I)</f>
        <v>Yes</v>
      </c>
      <c r="AE136" t="str">
        <f>_xlfn.XLOOKUP(B136,Disk_Pivot!G:G,Disk_Pivot!N:N)</f>
        <v>Fail</v>
      </c>
    </row>
    <row r="137" spans="6:31">
      <c r="F137" t="str">
        <f>_xlfn.XLOOKUP(H137,Models!B:B,Models!F:F,"")</f>
        <v/>
      </c>
      <c r="K137">
        <f>_xlfn.XLOOKUP(B137,CPU_Formula!A:A,CPU_Formula!I:I)</f>
        <v>0</v>
      </c>
      <c r="L137" s="13" t="e">
        <f>INDEX(Input!$D$2:$AC$500,
       MATCH(B137, Input!$J$2:$J$500, 0),
       MATCH("Memory Capacity", Input!$D$1:$AC$1, 0))</f>
        <v>#N/A</v>
      </c>
      <c r="M137" s="13" t="e">
        <f>INDEX(Input!$D$2:$AC$500,
       MATCH(B137, Input!$J$2:$J$500, 0),
       MATCH("Memory Type", Input!$D$1:$AC$1, 0))</f>
        <v>#N/A</v>
      </c>
      <c r="N137" s="13" t="e">
        <f t="shared" si="7"/>
        <v>#N/A</v>
      </c>
      <c r="Q137" t="e">
        <f>INDEX(Input!$D$2:$AC$500,
       MATCH(B137, Input!$J$2:$J$500, 0),
       MATCH("Disk Capacity", Input!$D$1:$AC$1, 0))</f>
        <v>#N/A</v>
      </c>
      <c r="S137" s="13" t="str">
        <f>_xlfn.LET(_xlpm.Result,_xlfn.XLOOKUP(B137,Input!J:J,Input!AA:AA),IF(_xlpm.Result="","",_xlpm.Result))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AB137">IFERROR(IF(_xlfn.XLOOKUP(B137,Input!J:J,Input!N:U)=0,"",
          _xlfn.XLOOKUP(B137,Input!J:J,Input!N:U)),"")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s="13" t="str">
        <v/>
      </c>
      <c r="AB137" s="13" t="str">
        <v/>
      </c>
      <c r="AC137" t="str">
        <f t="shared" si="8"/>
        <v/>
      </c>
      <c r="AD137" t="str">
        <f>_xlfn.XLOOKUP(B:B,Disk_Pivot!G:G,Disk_Pivot!I:I)</f>
        <v>Yes</v>
      </c>
      <c r="AE137" t="str">
        <f>_xlfn.XLOOKUP(B137,Disk_Pivot!G:G,Disk_Pivot!N:N)</f>
        <v>Fail</v>
      </c>
    </row>
    <row r="138" spans="6:31">
      <c r="F138" t="str">
        <f>_xlfn.XLOOKUP(H138,Models!B:B,Models!F:F,"")</f>
        <v/>
      </c>
      <c r="K138">
        <f>_xlfn.XLOOKUP(B138,CPU_Formula!A:A,CPU_Formula!I:I)</f>
        <v>0</v>
      </c>
      <c r="L138" s="13" t="e">
        <f>INDEX(Input!$D$2:$AC$500,
       MATCH(B138, Input!$J$2:$J$500, 0),
       MATCH("Memory Capacity", Input!$D$1:$AC$1, 0))</f>
        <v>#N/A</v>
      </c>
      <c r="M138" s="13" t="e">
        <f>INDEX(Input!$D$2:$AC$500,
       MATCH(B138, Input!$J$2:$J$500, 0),
       MATCH("Memory Type", Input!$D$1:$AC$1, 0))</f>
        <v>#N/A</v>
      </c>
      <c r="N138" s="13" t="e">
        <f t="shared" si="7"/>
        <v>#N/A</v>
      </c>
      <c r="Q138" t="e">
        <f>INDEX(Input!$D$2:$AC$500,
       MATCH(B138, Input!$J$2:$J$500, 0),
       MATCH("Disk Capacity", Input!$D$1:$AC$1, 0))</f>
        <v>#N/A</v>
      </c>
      <c r="S138" s="13" t="str">
        <f>_xlfn.LET(_xlpm.Result,_xlfn.XLOOKUP(B138,Input!J:J,Input!AA:AA),IF(_xlpm.Result="","",_xlpm.Result))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AB138">IFERROR(IF(_xlfn.XLOOKUP(B138,Input!J:J,Input!N:U)=0,"",
          _xlfn.XLOOKUP(B138,Input!J:J,Input!N:U)),"")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s="13" t="str">
        <v/>
      </c>
      <c r="AB138" s="13" t="str">
        <v/>
      </c>
      <c r="AC138" t="str">
        <f t="shared" si="8"/>
        <v/>
      </c>
      <c r="AD138" t="str">
        <f>_xlfn.XLOOKUP(B:B,Disk_Pivot!G:G,Disk_Pivot!I:I)</f>
        <v>Yes</v>
      </c>
      <c r="AE138" t="str">
        <f>_xlfn.XLOOKUP(B138,Disk_Pivot!G:G,Disk_Pivot!N:N)</f>
        <v>Fail</v>
      </c>
    </row>
    <row r="139" spans="6:31">
      <c r="F139" t="str">
        <f>_xlfn.XLOOKUP(H139,Models!B:B,Models!F:F,"")</f>
        <v/>
      </c>
      <c r="K139">
        <f>_xlfn.XLOOKUP(B139,CPU_Formula!A:A,CPU_Formula!I:I)</f>
        <v>0</v>
      </c>
      <c r="L139" s="13" t="e">
        <f>INDEX(Input!$D$2:$AC$500,
       MATCH(B139, Input!$J$2:$J$500, 0),
       MATCH("Memory Capacity", Input!$D$1:$AC$1, 0))</f>
        <v>#N/A</v>
      </c>
      <c r="M139" s="13" t="e">
        <f>INDEX(Input!$D$2:$AC$500,
       MATCH(B139, Input!$J$2:$J$500, 0),
       MATCH("Memory Type", Input!$D$1:$AC$1, 0))</f>
        <v>#N/A</v>
      </c>
      <c r="N139" s="13" t="e">
        <f t="shared" si="7"/>
        <v>#N/A</v>
      </c>
      <c r="Q139" t="e">
        <f>INDEX(Input!$D$2:$AC$500,
       MATCH(B139, Input!$J$2:$J$500, 0),
       MATCH("Disk Capacity", Input!$D$1:$AC$1, 0))</f>
        <v>#N/A</v>
      </c>
      <c r="S139" s="13" t="str">
        <f>_xlfn.LET(_xlpm.Result,_xlfn.XLOOKUP(B139,Input!J:J,Input!AA:AA),IF(_xlpm.Result="","",_xlpm.Result))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AB139">IFERROR(IF(_xlfn.XLOOKUP(B139,Input!J:J,Input!N:U)=0,"",
          _xlfn.XLOOKUP(B139,Input!J:J,Input!N:U)),"")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s="13" t="str">
        <v/>
      </c>
      <c r="AB139" s="13" t="str">
        <v/>
      </c>
      <c r="AC139" t="str">
        <f t="shared" si="8"/>
        <v/>
      </c>
      <c r="AD139" t="str">
        <f>_xlfn.XLOOKUP(B:B,Disk_Pivot!G:G,Disk_Pivot!I:I)</f>
        <v>Yes</v>
      </c>
      <c r="AE139" t="str">
        <f>_xlfn.XLOOKUP(B139,Disk_Pivot!G:G,Disk_Pivot!N:N)</f>
        <v>Fail</v>
      </c>
    </row>
    <row r="140" spans="6:31">
      <c r="F140" t="str">
        <f>_xlfn.XLOOKUP(H140,Models!B:B,Models!F:F,"")</f>
        <v/>
      </c>
      <c r="K140">
        <f>_xlfn.XLOOKUP(B140,CPU_Formula!A:A,CPU_Formula!I:I)</f>
        <v>0</v>
      </c>
      <c r="L140" s="13" t="e">
        <f>INDEX(Input!$D$2:$AC$500,
       MATCH(B140, Input!$J$2:$J$500, 0),
       MATCH("Memory Capacity", Input!$D$1:$AC$1, 0))</f>
        <v>#N/A</v>
      </c>
      <c r="M140" s="13" t="e">
        <f>INDEX(Input!$D$2:$AC$500,
       MATCH(B140, Input!$J$2:$J$500, 0),
       MATCH("Memory Type", Input!$D$1:$AC$1, 0))</f>
        <v>#N/A</v>
      </c>
      <c r="N140" s="13" t="e">
        <f t="shared" si="7"/>
        <v>#N/A</v>
      </c>
      <c r="Q140" t="e">
        <f>INDEX(Input!$D$2:$AC$500,
       MATCH(B140, Input!$J$2:$J$500, 0),
       MATCH("Disk Capacity", Input!$D$1:$AC$1, 0))</f>
        <v>#N/A</v>
      </c>
      <c r="S140" s="13" t="str">
        <f>_xlfn.LET(_xlpm.Result,_xlfn.XLOOKUP(B140,Input!J:J,Input!AA:AA),IF(_xlpm.Result="","",_xlpm.Result))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AB140">IFERROR(IF(_xlfn.XLOOKUP(B140,Input!J:J,Input!N:U)=0,"",
          _xlfn.XLOOKUP(B140,Input!J:J,Input!N:U)),"")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s="13" t="str">
        <v/>
      </c>
      <c r="AB140" s="13" t="str">
        <v/>
      </c>
      <c r="AC140" t="str">
        <f t="shared" si="8"/>
        <v/>
      </c>
      <c r="AD140" t="str">
        <f>_xlfn.XLOOKUP(B:B,Disk_Pivot!G:G,Disk_Pivot!I:I)</f>
        <v>Yes</v>
      </c>
      <c r="AE140" t="str">
        <f>_xlfn.XLOOKUP(B140,Disk_Pivot!G:G,Disk_Pivot!N:N)</f>
        <v>Fail</v>
      </c>
    </row>
    <row r="141" spans="6:31">
      <c r="F141" t="str">
        <f>_xlfn.XLOOKUP(H141,Models!B:B,Models!F:F,"")</f>
        <v/>
      </c>
      <c r="K141">
        <f>_xlfn.XLOOKUP(B141,CPU_Formula!A:A,CPU_Formula!I:I)</f>
        <v>0</v>
      </c>
      <c r="L141" s="13" t="e">
        <f>INDEX(Input!$D$2:$AC$500,
       MATCH(B141, Input!$J$2:$J$500, 0),
       MATCH("Memory Capacity", Input!$D$1:$AC$1, 0))</f>
        <v>#N/A</v>
      </c>
      <c r="M141" s="13" t="e">
        <f>INDEX(Input!$D$2:$AC$500,
       MATCH(B141, Input!$J$2:$J$500, 0),
       MATCH("Memory Type", Input!$D$1:$AC$1, 0))</f>
        <v>#N/A</v>
      </c>
      <c r="N141" s="13" t="e">
        <f t="shared" si="7"/>
        <v>#N/A</v>
      </c>
      <c r="Q141" t="e">
        <f>INDEX(Input!$D$2:$AC$500,
       MATCH(B141, Input!$J$2:$J$500, 0),
       MATCH("Disk Capacity", Input!$D$1:$AC$1, 0))</f>
        <v>#N/A</v>
      </c>
      <c r="S141" s="13" t="str">
        <f>_xlfn.LET(_xlpm.Result,_xlfn.XLOOKUP(B141,Input!J:J,Input!AA:AA),IF(_xlpm.Result="","",_xlpm.Result))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AB141">IFERROR(IF(_xlfn.XLOOKUP(B141,Input!J:J,Input!N:U)=0,"",
          _xlfn.XLOOKUP(B141,Input!J:J,Input!N:U)),"")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s="13" t="str">
        <v/>
      </c>
      <c r="AB141" s="13" t="str">
        <v/>
      </c>
      <c r="AC141" t="str">
        <f t="shared" si="8"/>
        <v/>
      </c>
      <c r="AD141" t="str">
        <f>_xlfn.XLOOKUP(B:B,Disk_Pivot!G:G,Disk_Pivot!I:I)</f>
        <v>Yes</v>
      </c>
      <c r="AE141" t="str">
        <f>_xlfn.XLOOKUP(B141,Disk_Pivot!G:G,Disk_Pivot!N:N)</f>
        <v>Fail</v>
      </c>
    </row>
    <row r="142" spans="6:31">
      <c r="F142" t="str">
        <f>_xlfn.XLOOKUP(H142,Models!B:B,Models!F:F,"")</f>
        <v/>
      </c>
      <c r="K142">
        <f>_xlfn.XLOOKUP(B142,CPU_Formula!A:A,CPU_Formula!I:I)</f>
        <v>0</v>
      </c>
      <c r="L142" s="13" t="e">
        <f>INDEX(Input!$D$2:$AC$500,
       MATCH(B142, Input!$J$2:$J$500, 0),
       MATCH("Memory Capacity", Input!$D$1:$AC$1, 0))</f>
        <v>#N/A</v>
      </c>
      <c r="M142" s="13" t="e">
        <f>INDEX(Input!$D$2:$AC$500,
       MATCH(B142, Input!$J$2:$J$500, 0),
       MATCH("Memory Type", Input!$D$1:$AC$1, 0))</f>
        <v>#N/A</v>
      </c>
      <c r="N142" s="13" t="e">
        <f t="shared" si="7"/>
        <v>#N/A</v>
      </c>
      <c r="Q142" t="e">
        <f>INDEX(Input!$D$2:$AC$500,
       MATCH(B142, Input!$J$2:$J$500, 0),
       MATCH("Disk Capacity", Input!$D$1:$AC$1, 0))</f>
        <v>#N/A</v>
      </c>
      <c r="S142" s="13" t="str">
        <f>_xlfn.LET(_xlpm.Result,_xlfn.XLOOKUP(B142,Input!J:J,Input!AA:AA),IF(_xlpm.Result="","",_xlpm.Result))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AB142">IFERROR(IF(_xlfn.XLOOKUP(B142,Input!J:J,Input!N:U)=0,"",
          _xlfn.XLOOKUP(B142,Input!J:J,Input!N:U)),"")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s="13" t="str">
        <v/>
      </c>
      <c r="AB142" s="13" t="str">
        <v/>
      </c>
      <c r="AC142" t="str">
        <f t="shared" si="8"/>
        <v/>
      </c>
      <c r="AD142" t="str">
        <f>_xlfn.XLOOKUP(B:B,Disk_Pivot!G:G,Disk_Pivot!I:I)</f>
        <v>Yes</v>
      </c>
      <c r="AE142" t="str">
        <f>_xlfn.XLOOKUP(B142,Disk_Pivot!G:G,Disk_Pivot!N:N)</f>
        <v>Fail</v>
      </c>
    </row>
    <row r="143" spans="6:31">
      <c r="F143" t="str">
        <f>_xlfn.XLOOKUP(H143,Models!B:B,Models!F:F,"")</f>
        <v/>
      </c>
      <c r="K143">
        <f>_xlfn.XLOOKUP(B143,CPU_Formula!A:A,CPU_Formula!I:I)</f>
        <v>0</v>
      </c>
      <c r="L143" s="13" t="e">
        <f>INDEX(Input!$D$2:$AC$500,
       MATCH(B143, Input!$J$2:$J$500, 0),
       MATCH("Memory Capacity", Input!$D$1:$AC$1, 0))</f>
        <v>#N/A</v>
      </c>
      <c r="M143" s="13" t="e">
        <f>INDEX(Input!$D$2:$AC$500,
       MATCH(B143, Input!$J$2:$J$500, 0),
       MATCH("Memory Type", Input!$D$1:$AC$1, 0))</f>
        <v>#N/A</v>
      </c>
      <c r="N143" s="13" t="e">
        <f t="shared" si="7"/>
        <v>#N/A</v>
      </c>
      <c r="Q143" t="e">
        <f>INDEX(Input!$D$2:$AC$500,
       MATCH(B143, Input!$J$2:$J$500, 0),
       MATCH("Disk Capacity", Input!$D$1:$AC$1, 0))</f>
        <v>#N/A</v>
      </c>
      <c r="S143" s="13" t="str">
        <f>_xlfn.LET(_xlpm.Result,_xlfn.XLOOKUP(B143,Input!J:J,Input!AA:AA),IF(_xlpm.Result="","",_xlpm.Result))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AB143">IFERROR(IF(_xlfn.XLOOKUP(B143,Input!J:J,Input!N:U)=0,"",
          _xlfn.XLOOKUP(B143,Input!J:J,Input!N:U)),"")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s="13" t="str">
        <v/>
      </c>
      <c r="AB143" s="13" t="str">
        <v/>
      </c>
      <c r="AC143" t="str">
        <f t="shared" si="8"/>
        <v/>
      </c>
      <c r="AD143" t="str">
        <f>_xlfn.XLOOKUP(B:B,Disk_Pivot!G:G,Disk_Pivot!I:I)</f>
        <v>Yes</v>
      </c>
      <c r="AE143" t="str">
        <f>_xlfn.XLOOKUP(B143,Disk_Pivot!G:G,Disk_Pivot!N:N)</f>
        <v>Fail</v>
      </c>
    </row>
    <row r="144" spans="6:31">
      <c r="F144" t="str">
        <f>_xlfn.XLOOKUP(H144,Models!B:B,Models!F:F,"")</f>
        <v/>
      </c>
      <c r="K144">
        <f>_xlfn.XLOOKUP(B144,CPU_Formula!A:A,CPU_Formula!I:I)</f>
        <v>0</v>
      </c>
      <c r="L144" s="13" t="e">
        <f>INDEX(Input!$D$2:$AC$500,
       MATCH(B144, Input!$J$2:$J$500, 0),
       MATCH("Memory Capacity", Input!$D$1:$AC$1, 0))</f>
        <v>#N/A</v>
      </c>
      <c r="M144" s="13" t="e">
        <f>INDEX(Input!$D$2:$AC$500,
       MATCH(B144, Input!$J$2:$J$500, 0),
       MATCH("Memory Type", Input!$D$1:$AC$1, 0))</f>
        <v>#N/A</v>
      </c>
      <c r="N144" s="13" t="e">
        <f t="shared" si="7"/>
        <v>#N/A</v>
      </c>
      <c r="Q144" t="e">
        <f>INDEX(Input!$D$2:$AC$500,
       MATCH(B144, Input!$J$2:$J$500, 0),
       MATCH("Disk Capacity", Input!$D$1:$AC$1, 0))</f>
        <v>#N/A</v>
      </c>
      <c r="S144" s="13" t="str">
        <f>_xlfn.LET(_xlpm.Result,_xlfn.XLOOKUP(B144,Input!J:J,Input!AA:AA),IF(_xlpm.Result="","",_xlpm.Result))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AB144">IFERROR(IF(_xlfn.XLOOKUP(B144,Input!J:J,Input!N:U)=0,"",
          _xlfn.XLOOKUP(B144,Input!J:J,Input!N:U)),"")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s="13" t="str">
        <v/>
      </c>
      <c r="AB144" s="13" t="str">
        <v/>
      </c>
      <c r="AC144" t="str">
        <f t="shared" si="8"/>
        <v/>
      </c>
      <c r="AD144" t="str">
        <f>_xlfn.XLOOKUP(B:B,Disk_Pivot!G:G,Disk_Pivot!I:I)</f>
        <v>Yes</v>
      </c>
      <c r="AE144" t="str">
        <f>_xlfn.XLOOKUP(B144,Disk_Pivot!G:G,Disk_Pivot!N:N)</f>
        <v>Fail</v>
      </c>
    </row>
    <row r="145" spans="6:31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INDEX(Input!$D$2:$AC$500,
       MATCH(B145, Input!$J$2:$J$500, 0),
       MATCH("Memory Capacity", Input!$D$1:$AC$1, 0))</f>
        <v>#N/A</v>
      </c>
      <c r="M145" s="13" t="e">
        <f>INDEX(Input!$D$2:$AC$500,
       MATCH(B145, Input!$J$2:$J$500, 0),
       MATCH("Memory Type", Input!$D$1:$AC$1, 0))</f>
        <v>#N/A</v>
      </c>
      <c r="N145" s="13" t="e">
        <f t="shared" si="7"/>
        <v>#N/A</v>
      </c>
      <c r="Q145" t="e">
        <f>INDEX(Input!$D$2:$AC$500,
       MATCH(B145, Input!$J$2:$J$500, 0),
       MATCH("Disk Capacity", Input!$D$1:$AC$1, 0))</f>
        <v>#N/A</v>
      </c>
      <c r="S145" s="13" t="str">
        <f>_xlfn.LET(_xlpm.Result,_xlfn.XLOOKUP(B145,Input!J:J,Input!AA:AA),IF(_xlpm.Result="","",_xlpm.Result))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AB145">IFERROR(IF(_xlfn.XLOOKUP(B145,Input!J:J,Input!N:U)=0,"",
          _xlfn.XLOOKUP(B145,Input!J:J,Input!N:U)),"")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s="13" t="str">
        <v/>
      </c>
      <c r="AB145" s="13" t="str">
        <v/>
      </c>
      <c r="AC145" t="str">
        <f t="shared" si="8"/>
        <v/>
      </c>
      <c r="AD145" t="str">
        <f>_xlfn.XLOOKUP(B:B,Disk_Pivot!G:G,Disk_Pivot!I:I)</f>
        <v>Yes</v>
      </c>
      <c r="AE145" t="str">
        <f>_xlfn.XLOOKUP(B145,Disk_Pivot!G:G,Disk_Pivot!N:N)</f>
        <v>Fail</v>
      </c>
    </row>
    <row r="146" spans="6:31">
      <c r="F146" t="str">
        <f>_xlfn.XLOOKUP(H146,Models!B:B,Models!F:F,"")</f>
        <v/>
      </c>
      <c r="K146">
        <f>_xlfn.XLOOKUP(B146,CPU_Formula!A:A,CPU_Formula!I:I)</f>
        <v>0</v>
      </c>
      <c r="L146" s="13" t="e">
        <f>INDEX(Input!$D$2:$AC$500,
       MATCH(B146, Input!$J$2:$J$500, 0),
       MATCH("Memory Capacity", Input!$D$1:$AC$1, 0))</f>
        <v>#N/A</v>
      </c>
      <c r="M146" s="13" t="e">
        <f>INDEX(Input!$D$2:$AC$500,
       MATCH(B146, Input!$J$2:$J$500, 0),
       MATCH("Memory Type", Input!$D$1:$AC$1, 0))</f>
        <v>#N/A</v>
      </c>
      <c r="N146" s="13" t="e">
        <f t="shared" si="7"/>
        <v>#N/A</v>
      </c>
      <c r="Q146" t="e">
        <f>INDEX(Input!$D$2:$AC$500,
       MATCH(B146, Input!$J$2:$J$500, 0),
       MATCH("Disk Capacity", Input!$D$1:$AC$1, 0))</f>
        <v>#N/A</v>
      </c>
      <c r="S146" s="13" t="str">
        <f>_xlfn.LET(_xlpm.Result,_xlfn.XLOOKUP(B146,Input!J:J,Input!AA:AA),IF(_xlpm.Result="","",_xlpm.Result))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AB146">IFERROR(IF(_xlfn.XLOOKUP(B146,Input!J:J,Input!N:U)=0,"",
          _xlfn.XLOOKUP(B146,Input!J:J,Input!N:U)),"")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s="13" t="str">
        <v/>
      </c>
      <c r="AB146" s="13" t="str">
        <v/>
      </c>
      <c r="AC146" t="str">
        <f t="shared" si="8"/>
        <v/>
      </c>
      <c r="AD146" t="str">
        <f>_xlfn.XLOOKUP(B:B,Disk_Pivot!G:G,Disk_Pivot!I:I)</f>
        <v>Yes</v>
      </c>
      <c r="AE146" t="str">
        <f>_xlfn.XLOOKUP(B146,Disk_Pivot!G:G,Disk_Pivot!N:N)</f>
        <v>Fail</v>
      </c>
    </row>
    <row r="147" spans="6:31">
      <c r="F147" t="str">
        <f>_xlfn.XLOOKUP(H147,Models!B:B,Models!F:F,"")</f>
        <v/>
      </c>
      <c r="K147">
        <f>_xlfn.XLOOKUP(B147,CPU_Formula!A:A,CPU_Formula!I:I)</f>
        <v>0</v>
      </c>
      <c r="L147" s="13" t="e">
        <f>INDEX(Input!$D$2:$AC$500,
       MATCH(B147, Input!$J$2:$J$500, 0),
       MATCH("Memory Capacity", Input!$D$1:$AC$1, 0))</f>
        <v>#N/A</v>
      </c>
      <c r="M147" s="13" t="e">
        <f>INDEX(Input!$D$2:$AC$500,
       MATCH(B147, Input!$J$2:$J$500, 0),
       MATCH("Memory Type", Input!$D$1:$AC$1, 0))</f>
        <v>#N/A</v>
      </c>
      <c r="N147" s="13" t="e">
        <f t="shared" si="7"/>
        <v>#N/A</v>
      </c>
      <c r="Q147" t="e">
        <f>INDEX(Input!$D$2:$AC$500,
       MATCH(B147, Input!$J$2:$J$500, 0),
       MATCH("Disk Capacity", Input!$D$1:$AC$1, 0))</f>
        <v>#N/A</v>
      </c>
      <c r="S147" s="13" t="str">
        <f>_xlfn.LET(_xlpm.Result,_xlfn.XLOOKUP(B147,Input!J:J,Input!AA:AA),IF(_xlpm.Result="","",_xlpm.Result))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AB147">IFERROR(IF(_xlfn.XLOOKUP(B147,Input!J:J,Input!N:U)=0,"",
          _xlfn.XLOOKUP(B147,Input!J:J,Input!N:U)),"")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s="13" t="str">
        <v/>
      </c>
      <c r="AB147" s="13" t="str">
        <v/>
      </c>
      <c r="AC147" t="str">
        <f t="shared" si="8"/>
        <v/>
      </c>
      <c r="AD147" t="str">
        <f>_xlfn.XLOOKUP(B:B,Disk_Pivot!G:G,Disk_Pivot!I:I)</f>
        <v>Yes</v>
      </c>
      <c r="AE147" t="str">
        <f>_xlfn.XLOOKUP(B147,Disk_Pivot!G:G,Disk_Pivot!N:N)</f>
        <v>Fail</v>
      </c>
    </row>
    <row r="148" spans="6:31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INDEX(Input!$D$2:$AC$500,
       MATCH(B148, Input!$J$2:$J$500, 0),
       MATCH("Memory Capacity", Input!$D$1:$AC$1, 0))</f>
        <v>#N/A</v>
      </c>
      <c r="M148" s="13" t="e">
        <f>INDEX(Input!$D$2:$AC$500,
       MATCH(B148, Input!$J$2:$J$500, 0),
       MATCH("Memory Type", Input!$D$1:$AC$1, 0))</f>
        <v>#N/A</v>
      </c>
      <c r="N148" s="13" t="e">
        <f t="shared" si="7"/>
        <v>#N/A</v>
      </c>
      <c r="Q148" t="e">
        <f>INDEX(Input!$D$2:$AC$500,
       MATCH(B148, Input!$J$2:$J$500, 0),
       MATCH("Disk Capacity", Input!$D$1:$AC$1, 0))</f>
        <v>#N/A</v>
      </c>
      <c r="S148" s="13" t="str">
        <f>_xlfn.LET(_xlpm.Result,_xlfn.XLOOKUP(B148,Input!J:J,Input!AA:AA),IF(_xlpm.Result="","",_xlpm.Result))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AB148">IFERROR(IF(_xlfn.XLOOKUP(B148,Input!J:J,Input!N:U)=0,"",
          _xlfn.XLOOKUP(B148,Input!J:J,Input!N:U)),"")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s="13" t="str">
        <v/>
      </c>
      <c r="AB148" s="13" t="str">
        <v/>
      </c>
      <c r="AC148" t="str">
        <f t="shared" si="8"/>
        <v/>
      </c>
      <c r="AD148" t="str">
        <f>_xlfn.XLOOKUP(B:B,Disk_Pivot!G:G,Disk_Pivot!I:I)</f>
        <v>Yes</v>
      </c>
      <c r="AE148" t="str">
        <f>_xlfn.XLOOKUP(B148,Disk_Pivot!G:G,Disk_Pivot!N:N)</f>
        <v>Fail</v>
      </c>
    </row>
    <row r="149" spans="6:31">
      <c r="F149" t="str">
        <f>_xlfn.XLOOKUP(H149,Models!B:B,Models!F:F,"")</f>
        <v/>
      </c>
      <c r="K149">
        <f>_xlfn.XLOOKUP(B149,CPU_Formula!A:A,CPU_Formula!I:I)</f>
        <v>0</v>
      </c>
      <c r="L149" s="13" t="e">
        <f>INDEX(Input!$D$2:$AC$500,
       MATCH(B149, Input!$J$2:$J$500, 0),
       MATCH("Memory Capacity", Input!$D$1:$AC$1, 0))</f>
        <v>#N/A</v>
      </c>
      <c r="M149" s="13" t="e">
        <f>INDEX(Input!$D$2:$AC$500,
       MATCH(B149, Input!$J$2:$J$500, 0),
       MATCH("Memory Type", Input!$D$1:$AC$1, 0))</f>
        <v>#N/A</v>
      </c>
      <c r="N149" s="13" t="e">
        <f t="shared" si="7"/>
        <v>#N/A</v>
      </c>
      <c r="Q149" t="e">
        <f>INDEX(Input!$D$2:$AC$500,
       MATCH(B149, Input!$J$2:$J$500, 0),
       MATCH("Disk Capacity", Input!$D$1:$AC$1, 0))</f>
        <v>#N/A</v>
      </c>
      <c r="S149" s="13" t="str">
        <f>_xlfn.LET(_xlpm.Result,_xlfn.XLOOKUP(B149,Input!J:J,Input!AA:AA),IF(_xlpm.Result="","",_xlpm.Result))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AB149">IFERROR(IF(_xlfn.XLOOKUP(B149,Input!J:J,Input!N:U)=0,"",
          _xlfn.XLOOKUP(B149,Input!J:J,Input!N:U)),"")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s="13" t="str">
        <v/>
      </c>
      <c r="AB149" s="13" t="str">
        <v/>
      </c>
      <c r="AC149" t="str">
        <f t="shared" si="8"/>
        <v/>
      </c>
      <c r="AD149" t="str">
        <f>_xlfn.XLOOKUP(B:B,Disk_Pivot!G:G,Disk_Pivot!I:I)</f>
        <v>Yes</v>
      </c>
      <c r="AE149" t="str">
        <f>_xlfn.XLOOKUP(B149,Disk_Pivot!G:G,Disk_Pivot!N:N)</f>
        <v>Fail</v>
      </c>
    </row>
    <row r="150" spans="6:31">
      <c r="F150" t="str">
        <f>_xlfn.XLOOKUP(H150,Models!B:B,Models!F:F,"")</f>
        <v/>
      </c>
      <c r="K150">
        <f>_xlfn.XLOOKUP(B150,CPU_Formula!A:A,CPU_Formula!I:I)</f>
        <v>0</v>
      </c>
      <c r="L150" s="13" t="e">
        <f>INDEX(Input!$D$2:$AC$500,
       MATCH(B150, Input!$J$2:$J$500, 0),
       MATCH("Memory Capacity", Input!$D$1:$AC$1, 0))</f>
        <v>#N/A</v>
      </c>
      <c r="M150" s="13" t="e">
        <f>INDEX(Input!$D$2:$AC$500,
       MATCH(B150, Input!$J$2:$J$500, 0),
       MATCH("Memory Type", Input!$D$1:$AC$1, 0))</f>
        <v>#N/A</v>
      </c>
      <c r="N150" s="13" t="e">
        <f t="shared" si="7"/>
        <v>#N/A</v>
      </c>
      <c r="Q150" t="e">
        <f>INDEX(Input!$D$2:$AC$500,
       MATCH(B150, Input!$J$2:$J$500, 0),
       MATCH("Disk Capacity", Input!$D$1:$AC$1, 0))</f>
        <v>#N/A</v>
      </c>
      <c r="S150" s="13" t="str">
        <f>_xlfn.LET(_xlpm.Result,_xlfn.XLOOKUP(B150,Input!J:J,Input!AA:AA),IF(_xlpm.Result="","",_xlpm.Result))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AB150">IFERROR(IF(_xlfn.XLOOKUP(B150,Input!J:J,Input!N:U)=0,"",
          _xlfn.XLOOKUP(B150,Input!J:J,Input!N:U)),"")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s="13" t="str">
        <v/>
      </c>
      <c r="AB150" s="13" t="str">
        <v/>
      </c>
      <c r="AC150" t="str">
        <f t="shared" si="8"/>
        <v/>
      </c>
      <c r="AD150" t="str">
        <f>_xlfn.XLOOKUP(B:B,Disk_Pivot!G:G,Disk_Pivot!I:I)</f>
        <v>Yes</v>
      </c>
      <c r="AE150" t="str">
        <f>_xlfn.XLOOKUP(B150,Disk_Pivot!G:G,Disk_Pivot!N:N)</f>
        <v>Fail</v>
      </c>
    </row>
    <row r="151" spans="6:31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INDEX(Input!$D$2:$AC$500,
       MATCH(B151, Input!$J$2:$J$500, 0),
       MATCH("Memory Capacity", Input!$D$1:$AC$1, 0))</f>
        <v>#N/A</v>
      </c>
      <c r="M151" s="13" t="e">
        <f>INDEX(Input!$D$2:$AC$500,
       MATCH(B151, Input!$J$2:$J$500, 0),
       MATCH("Memory Type", Input!$D$1:$AC$1, 0))</f>
        <v>#N/A</v>
      </c>
      <c r="N151" s="13" t="e">
        <f t="shared" si="7"/>
        <v>#N/A</v>
      </c>
      <c r="Q151" t="e">
        <f>INDEX(Input!$D$2:$AC$500,
       MATCH(B151, Input!$J$2:$J$500, 0),
       MATCH("Disk Capacity", Input!$D$1:$AC$1, 0))</f>
        <v>#N/A</v>
      </c>
      <c r="S151" s="13" t="str">
        <f>_xlfn.LET(_xlpm.Result,_xlfn.XLOOKUP(B151,Input!J:J,Input!AA:AA),IF(_xlpm.Result="","",_xlpm.Result))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AB151">IFERROR(IF(_xlfn.XLOOKUP(B151,Input!J:J,Input!N:U)=0,"",
          _xlfn.XLOOKUP(B151,Input!J:J,Input!N:U)),"")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s="13" t="str">
        <v/>
      </c>
      <c r="AB151" s="13" t="str">
        <v/>
      </c>
      <c r="AC151" t="str">
        <f t="shared" si="8"/>
        <v/>
      </c>
      <c r="AD151" t="str">
        <f>_xlfn.XLOOKUP(B:B,Disk_Pivot!G:G,Disk_Pivot!I:I)</f>
        <v>Yes</v>
      </c>
      <c r="AE151" t="str">
        <f>_xlfn.XLOOKUP(B151,Disk_Pivot!G:G,Disk_Pivot!N:N)</f>
        <v>Fail</v>
      </c>
    </row>
    <row r="152" spans="6:31">
      <c r="F152" t="str">
        <f>_xlfn.XLOOKUP(H152,Models!B:B,Models!F:F,"")</f>
        <v/>
      </c>
      <c r="K152">
        <f>_xlfn.XLOOKUP(B152,CPU_Formula!A:A,CPU_Formula!I:I)</f>
        <v>0</v>
      </c>
      <c r="L152" s="13" t="e">
        <f>INDEX(Input!$D$2:$AC$500,
       MATCH(B152, Input!$J$2:$J$500, 0),
       MATCH("Memory Capacity", Input!$D$1:$AC$1, 0))</f>
        <v>#N/A</v>
      </c>
      <c r="M152" s="13" t="e">
        <f>INDEX(Input!$D$2:$AC$500,
       MATCH(B152, Input!$J$2:$J$500, 0),
       MATCH("Memory Type", Input!$D$1:$AC$1, 0))</f>
        <v>#N/A</v>
      </c>
      <c r="N152" s="13" t="e">
        <f t="shared" si="7"/>
        <v>#N/A</v>
      </c>
      <c r="Q152" t="e">
        <f>INDEX(Input!$D$2:$AC$500,
       MATCH(B152, Input!$J$2:$J$500, 0),
       MATCH("Disk Capacity", Input!$D$1:$AC$1, 0))</f>
        <v>#N/A</v>
      </c>
      <c r="S152" s="13" t="str">
        <f>_xlfn.LET(_xlpm.Result,_xlfn.XLOOKUP(B152,Input!J:J,Input!AA:AA),IF(_xlpm.Result="","",_xlpm.Result))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AB152">IFERROR(IF(_xlfn.XLOOKUP(B152,Input!J:J,Input!N:U)=0,"",
          _xlfn.XLOOKUP(B152,Input!J:J,Input!N:U)),"")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s="13" t="str">
        <v/>
      </c>
      <c r="AB152" s="13" t="str">
        <v/>
      </c>
      <c r="AC152" t="str">
        <f t="shared" si="8"/>
        <v/>
      </c>
      <c r="AD152" t="str">
        <f>_xlfn.XLOOKUP(B:B,Disk_Pivot!G:G,Disk_Pivot!I:I)</f>
        <v>Yes</v>
      </c>
      <c r="AE152" t="str">
        <f>_xlfn.XLOOKUP(B152,Disk_Pivot!G:G,Disk_Pivot!N:N)</f>
        <v>Fail</v>
      </c>
    </row>
    <row r="153" spans="6:31">
      <c r="F153" t="str">
        <f>_xlfn.XLOOKUP(H153,Models!B:B,Models!F:F,"")</f>
        <v/>
      </c>
      <c r="K153">
        <f>_xlfn.XLOOKUP(B153,CPU_Formula!A:A,CPU_Formula!I:I)</f>
        <v>0</v>
      </c>
      <c r="L153" s="13" t="e">
        <f>INDEX(Input!$D$2:$AC$500,
       MATCH(B153, Input!$J$2:$J$500, 0),
       MATCH("Memory Capacity", Input!$D$1:$AC$1, 0))</f>
        <v>#N/A</v>
      </c>
      <c r="M153" s="13" t="e">
        <f>INDEX(Input!$D$2:$AC$500,
       MATCH(B153, Input!$J$2:$J$500, 0),
       MATCH("Memory Type", Input!$D$1:$AC$1, 0))</f>
        <v>#N/A</v>
      </c>
      <c r="N153" s="13" t="e">
        <f t="shared" si="7"/>
        <v>#N/A</v>
      </c>
      <c r="Q153" t="e">
        <f>INDEX(Input!$D$2:$AC$500,
       MATCH(B153, Input!$J$2:$J$500, 0),
       MATCH("Disk Capacity", Input!$D$1:$AC$1, 0))</f>
        <v>#N/A</v>
      </c>
      <c r="S153" s="13" t="str">
        <f>_xlfn.LET(_xlpm.Result,_xlfn.XLOOKUP(B153,Input!J:J,Input!AA:AA),IF(_xlpm.Result="","",_xlpm.Result))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AB153">IFERROR(IF(_xlfn.XLOOKUP(B153,Input!J:J,Input!N:U)=0,"",
          _xlfn.XLOOKUP(B153,Input!J:J,Input!N:U)),"")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s="13" t="str">
        <v/>
      </c>
      <c r="AB153" s="13" t="str">
        <v/>
      </c>
      <c r="AC153" t="str">
        <f t="shared" si="8"/>
        <v/>
      </c>
      <c r="AD153" t="str">
        <f>_xlfn.XLOOKUP(B:B,Disk_Pivot!G:G,Disk_Pivot!I:I)</f>
        <v>Yes</v>
      </c>
      <c r="AE153" t="str">
        <f>_xlfn.XLOOKUP(B153,Disk_Pivot!G:G,Disk_Pivot!N:N)</f>
        <v>Fail</v>
      </c>
    </row>
    <row r="154" spans="6:31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INDEX(Input!$D$2:$AC$500,
       MATCH(B154, Input!$J$2:$J$500, 0),
       MATCH("Memory Capacity", Input!$D$1:$AC$1, 0))</f>
        <v>#N/A</v>
      </c>
      <c r="M154" s="13" t="e">
        <f>INDEX(Input!$D$2:$AC$500,
       MATCH(B154, Input!$J$2:$J$500, 0),
       MATCH("Memory Type", Input!$D$1:$AC$1, 0))</f>
        <v>#N/A</v>
      </c>
      <c r="N154" s="13" t="e">
        <f t="shared" si="7"/>
        <v>#N/A</v>
      </c>
      <c r="Q154" t="e">
        <f>INDEX(Input!$D$2:$AC$500,
       MATCH(B154, Input!$J$2:$J$500, 0),
       MATCH("Disk Capacity", Input!$D$1:$AC$1, 0))</f>
        <v>#N/A</v>
      </c>
      <c r="S154" s="13" t="str">
        <f>_xlfn.LET(_xlpm.Result,_xlfn.XLOOKUP(B154,Input!J:J,Input!AA:AA),IF(_xlpm.Result="","",_xlpm.Result))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AB154">IFERROR(IF(_xlfn.XLOOKUP(B154,Input!J:J,Input!N:U)=0,"",
          _xlfn.XLOOKUP(B154,Input!J:J,Input!N:U)),"")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s="13" t="str">
        <v/>
      </c>
      <c r="AB154" s="13" t="str">
        <v/>
      </c>
      <c r="AC154" t="str">
        <f t="shared" si="8"/>
        <v/>
      </c>
      <c r="AD154" t="str">
        <f>_xlfn.XLOOKUP(B:B,Disk_Pivot!G:G,Disk_Pivot!I:I)</f>
        <v>Yes</v>
      </c>
      <c r="AE154" t="str">
        <f>_xlfn.XLOOKUP(B154,Disk_Pivot!G:G,Disk_Pivot!N:N)</f>
        <v>Fail</v>
      </c>
    </row>
    <row r="155" spans="6:31">
      <c r="F155" t="str">
        <f>_xlfn.XLOOKUP(H155,Models!B:B,Models!F:F,"")</f>
        <v/>
      </c>
      <c r="K155">
        <f>_xlfn.XLOOKUP(B155,CPU_Formula!A:A,CPU_Formula!I:I)</f>
        <v>0</v>
      </c>
      <c r="L155" s="13" t="e">
        <f>INDEX(Input!$D$2:$AC$500,
       MATCH(B155, Input!$J$2:$J$500, 0),
       MATCH("Memory Capacity", Input!$D$1:$AC$1, 0))</f>
        <v>#N/A</v>
      </c>
      <c r="M155" s="13" t="e">
        <f>INDEX(Input!$D$2:$AC$500,
       MATCH(B155, Input!$J$2:$J$500, 0),
       MATCH("Memory Type", Input!$D$1:$AC$1, 0))</f>
        <v>#N/A</v>
      </c>
      <c r="N155" s="13" t="e">
        <f t="shared" si="7"/>
        <v>#N/A</v>
      </c>
      <c r="Q155" t="e">
        <f>INDEX(Input!$D$2:$AC$500,
       MATCH(B155, Input!$J$2:$J$500, 0),
       MATCH("Disk Capacity", Input!$D$1:$AC$1, 0))</f>
        <v>#N/A</v>
      </c>
      <c r="S155" s="13" t="str">
        <f>_xlfn.LET(_xlpm.Result,_xlfn.XLOOKUP(B155,Input!J:J,Input!AA:AA),IF(_xlpm.Result="","",_xlpm.Result))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AB155">IFERROR(IF(_xlfn.XLOOKUP(B155,Input!J:J,Input!N:U)=0,"",
          _xlfn.XLOOKUP(B155,Input!J:J,Input!N:U)),"")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s="13" t="str">
        <v/>
      </c>
      <c r="AB155" s="13" t="str">
        <v/>
      </c>
      <c r="AC155" t="str">
        <f t="shared" si="8"/>
        <v/>
      </c>
      <c r="AD155" t="str">
        <f>_xlfn.XLOOKUP(B:B,Disk_Pivot!G:G,Disk_Pivot!I:I)</f>
        <v>Yes</v>
      </c>
      <c r="AE155" t="str">
        <f>_xlfn.XLOOKUP(B155,Disk_Pivot!G:G,Disk_Pivot!N:N)</f>
        <v>Fail</v>
      </c>
    </row>
    <row r="156" spans="6:31">
      <c r="F156" t="str">
        <f>_xlfn.XLOOKUP(H156,Models!B:B,Models!F:F,"")</f>
        <v/>
      </c>
      <c r="K156">
        <f>_xlfn.XLOOKUP(B156,CPU_Formula!A:A,CPU_Formula!I:I)</f>
        <v>0</v>
      </c>
      <c r="L156" s="13" t="e">
        <f>INDEX(Input!$D$2:$AC$500,
       MATCH(B156, Input!$J$2:$J$500, 0),
       MATCH("Memory Capacity", Input!$D$1:$AC$1, 0))</f>
        <v>#N/A</v>
      </c>
      <c r="M156" s="13" t="e">
        <f>INDEX(Input!$D$2:$AC$500,
       MATCH(B156, Input!$J$2:$J$500, 0),
       MATCH("Memory Type", Input!$D$1:$AC$1, 0))</f>
        <v>#N/A</v>
      </c>
      <c r="N156" s="13" t="e">
        <f t="shared" si="7"/>
        <v>#N/A</v>
      </c>
      <c r="Q156" t="e">
        <f>INDEX(Input!$D$2:$AC$500,
       MATCH(B156, Input!$J$2:$J$500, 0),
       MATCH("Disk Capacity", Input!$D$1:$AC$1, 0))</f>
        <v>#N/A</v>
      </c>
      <c r="S156" s="13" t="str">
        <f>_xlfn.LET(_xlpm.Result,_xlfn.XLOOKUP(B156,Input!J:J,Input!AA:AA),IF(_xlpm.Result="","",_xlpm.Result))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AB156">IFERROR(IF(_xlfn.XLOOKUP(B156,Input!J:J,Input!N:U)=0,"",
          _xlfn.XLOOKUP(B156,Input!J:J,Input!N:U)),"")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s="13" t="str">
        <v/>
      </c>
      <c r="AB156" s="13" t="str">
        <v/>
      </c>
      <c r="AC156" t="str">
        <f t="shared" si="8"/>
        <v/>
      </c>
      <c r="AD156" t="str">
        <f>_xlfn.XLOOKUP(B:B,Disk_Pivot!G:G,Disk_Pivot!I:I)</f>
        <v>Yes</v>
      </c>
      <c r="AE156" t="str">
        <f>_xlfn.XLOOKUP(B156,Disk_Pivot!G:G,Disk_Pivot!N:N)</f>
        <v>Fail</v>
      </c>
    </row>
    <row r="157" spans="6:31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INDEX(Input!$D$2:$AC$500,
       MATCH(B157, Input!$J$2:$J$500, 0),
       MATCH("Memory Capacity", Input!$D$1:$AC$1, 0))</f>
        <v>#N/A</v>
      </c>
      <c r="M157" s="13" t="e">
        <f>INDEX(Input!$D$2:$AC$500,
       MATCH(B157, Input!$J$2:$J$500, 0),
       MATCH("Memory Type", Input!$D$1:$AC$1, 0))</f>
        <v>#N/A</v>
      </c>
      <c r="N157" s="13" t="e">
        <f t="shared" si="7"/>
        <v>#N/A</v>
      </c>
      <c r="Q157" t="e">
        <f>INDEX(Input!$D$2:$AC$500,
       MATCH(B157, Input!$J$2:$J$500, 0),
       MATCH("Disk Capacity", Input!$D$1:$AC$1, 0))</f>
        <v>#N/A</v>
      </c>
      <c r="S157" s="13" t="str">
        <f>_xlfn.LET(_xlpm.Result,_xlfn.XLOOKUP(B157,Input!J:J,Input!AA:AA),IF(_xlpm.Result="","",_xlpm.Result))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AB157">IFERROR(IF(_xlfn.XLOOKUP(B157,Input!J:J,Input!N:U)=0,"",
          _xlfn.XLOOKUP(B157,Input!J:J,Input!N:U)),"")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s="13" t="str">
        <v/>
      </c>
      <c r="AB157" s="13" t="str">
        <v/>
      </c>
      <c r="AC157" t="str">
        <f t="shared" si="8"/>
        <v/>
      </c>
      <c r="AD157" t="str">
        <f>_xlfn.XLOOKUP(B:B,Disk_Pivot!G:G,Disk_Pivot!I:I)</f>
        <v>Yes</v>
      </c>
      <c r="AE157" t="str">
        <f>_xlfn.XLOOKUP(B157,Disk_Pivot!G:G,Disk_Pivot!N:N)</f>
        <v>Fail</v>
      </c>
    </row>
    <row r="158" spans="6:31">
      <c r="F158" t="str">
        <f>_xlfn.XLOOKUP(H158,Models!B:B,Models!F:F,"")</f>
        <v/>
      </c>
      <c r="K158">
        <f>_xlfn.XLOOKUP(B158,CPU_Formula!A:A,CPU_Formula!I:I)</f>
        <v>0</v>
      </c>
      <c r="L158" s="13" t="e">
        <f>INDEX(Input!$D$2:$AC$500,
       MATCH(B158, Input!$J$2:$J$500, 0),
       MATCH("Memory Capacity", Input!$D$1:$AC$1, 0))</f>
        <v>#N/A</v>
      </c>
      <c r="M158" s="13" t="e">
        <f>INDEX(Input!$D$2:$AC$500,
       MATCH(B158, Input!$J$2:$J$500, 0),
       MATCH("Memory Type", Input!$D$1:$AC$1, 0))</f>
        <v>#N/A</v>
      </c>
      <c r="N158" s="13" t="e">
        <f t="shared" si="7"/>
        <v>#N/A</v>
      </c>
      <c r="Q158" t="e">
        <f>INDEX(Input!$D$2:$AC$500,
       MATCH(B158, Input!$J$2:$J$500, 0),
       MATCH("Disk Capacity", Input!$D$1:$AC$1, 0))</f>
        <v>#N/A</v>
      </c>
      <c r="S158" s="13" t="str">
        <f>_xlfn.LET(_xlpm.Result,_xlfn.XLOOKUP(B158,Input!J:J,Input!AA:AA),IF(_xlpm.Result="","",_xlpm.Result))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AB158">IFERROR(IF(_xlfn.XLOOKUP(B158,Input!J:J,Input!N:U)=0,"",
          _xlfn.XLOOKUP(B158,Input!J:J,Input!N:U)),"")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s="13" t="str">
        <v/>
      </c>
      <c r="AB158" s="13" t="str">
        <v/>
      </c>
      <c r="AC158" t="str">
        <f t="shared" si="8"/>
        <v/>
      </c>
      <c r="AD158" t="str">
        <f>_xlfn.XLOOKUP(B:B,Disk_Pivot!G:G,Disk_Pivot!I:I)</f>
        <v>Yes</v>
      </c>
      <c r="AE158" t="str">
        <f>_xlfn.XLOOKUP(B158,Disk_Pivot!G:G,Disk_Pivot!N:N)</f>
        <v>Fail</v>
      </c>
    </row>
    <row r="159" spans="6:31">
      <c r="F159" t="str">
        <f>_xlfn.XLOOKUP(H159,Models!B:B,Models!F:F,"")</f>
        <v/>
      </c>
      <c r="K159">
        <f>_xlfn.XLOOKUP(B159,CPU_Formula!A:A,CPU_Formula!I:I)</f>
        <v>0</v>
      </c>
      <c r="L159" s="13" t="e">
        <f>INDEX(Input!$D$2:$AC$500,
       MATCH(B159, Input!$J$2:$J$500, 0),
       MATCH("Memory Capacity", Input!$D$1:$AC$1, 0))</f>
        <v>#N/A</v>
      </c>
      <c r="M159" s="13" t="e">
        <f>INDEX(Input!$D$2:$AC$500,
       MATCH(B159, Input!$J$2:$J$500, 0),
       MATCH("Memory Type", Input!$D$1:$AC$1, 0))</f>
        <v>#N/A</v>
      </c>
      <c r="N159" s="13" t="e">
        <f t="shared" si="7"/>
        <v>#N/A</v>
      </c>
      <c r="Q159" t="e">
        <f>INDEX(Input!$D$2:$AC$500,
       MATCH(B159, Input!$J$2:$J$500, 0),
       MATCH("Disk Capacity", Input!$D$1:$AC$1, 0))</f>
        <v>#N/A</v>
      </c>
      <c r="S159" s="13" t="str">
        <f>_xlfn.LET(_xlpm.Result,_xlfn.XLOOKUP(B159,Input!J:J,Input!AA:AA),IF(_xlpm.Result="","",_xlpm.Result))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AB159">IFERROR(IF(_xlfn.XLOOKUP(B159,Input!J:J,Input!N:U)=0,"",
          _xlfn.XLOOKUP(B159,Input!J:J,Input!N:U)),"")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s="13" t="str">
        <v/>
      </c>
      <c r="AB159" s="13" t="str">
        <v/>
      </c>
      <c r="AC159" t="str">
        <f t="shared" si="8"/>
        <v/>
      </c>
      <c r="AD159" t="str">
        <f>_xlfn.XLOOKUP(B:B,Disk_Pivot!G:G,Disk_Pivot!I:I)</f>
        <v>Yes</v>
      </c>
      <c r="AE159" t="str">
        <f>_xlfn.XLOOKUP(B159,Disk_Pivot!G:G,Disk_Pivot!N:N)</f>
        <v>Fail</v>
      </c>
    </row>
    <row r="160" spans="6:31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INDEX(Input!$D$2:$AC$500,
       MATCH(B160, Input!$J$2:$J$500, 0),
       MATCH("Memory Capacity", Input!$D$1:$AC$1, 0))</f>
        <v>#N/A</v>
      </c>
      <c r="M160" s="13" t="e">
        <f>INDEX(Input!$D$2:$AC$500,
       MATCH(B160, Input!$J$2:$J$500, 0),
       MATCH("Memory Type", Input!$D$1:$AC$1, 0))</f>
        <v>#N/A</v>
      </c>
      <c r="N160" s="13" t="e">
        <f t="shared" si="7"/>
        <v>#N/A</v>
      </c>
      <c r="Q160" t="e">
        <f>INDEX(Input!$D$2:$AC$500,
       MATCH(B160, Input!$J$2:$J$500, 0),
       MATCH("Disk Capacity", Input!$D$1:$AC$1, 0))</f>
        <v>#N/A</v>
      </c>
      <c r="S160" s="13" t="str">
        <f>_xlfn.LET(_xlpm.Result,_xlfn.XLOOKUP(B160,Input!J:J,Input!AA:AA),IF(_xlpm.Result="","",_xlpm.Result))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AB160">IFERROR(IF(_xlfn.XLOOKUP(B160,Input!J:J,Input!N:U)=0,"",
          _xlfn.XLOOKUP(B160,Input!J:J,Input!N:U)),"")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s="13" t="str">
        <v/>
      </c>
      <c r="AB160" s="13" t="str">
        <v/>
      </c>
      <c r="AC160" t="str">
        <f t="shared" si="8"/>
        <v/>
      </c>
      <c r="AD160" t="str">
        <f>_xlfn.XLOOKUP(B:B,Disk_Pivot!G:G,Disk_Pivot!I:I)</f>
        <v>Yes</v>
      </c>
      <c r="AE160" t="str">
        <f>_xlfn.XLOOKUP(B160,Disk_Pivot!G:G,Disk_Pivot!N:N)</f>
        <v>Fail</v>
      </c>
    </row>
    <row r="161" spans="6:31">
      <c r="F161" t="str">
        <f>_xlfn.XLOOKUP(H161,Models!B:B,Models!F:F,"")</f>
        <v/>
      </c>
      <c r="K161">
        <f>_xlfn.XLOOKUP(B161,CPU_Formula!A:A,CPU_Formula!I:I)</f>
        <v>0</v>
      </c>
      <c r="L161" s="13" t="e">
        <f>INDEX(Input!$D$2:$AC$500,
       MATCH(B161, Input!$J$2:$J$500, 0),
       MATCH("Memory Capacity", Input!$D$1:$AC$1, 0))</f>
        <v>#N/A</v>
      </c>
      <c r="M161" s="13" t="e">
        <f>INDEX(Input!$D$2:$AC$500,
       MATCH(B161, Input!$J$2:$J$500, 0),
       MATCH("Memory Type", Input!$D$1:$AC$1, 0))</f>
        <v>#N/A</v>
      </c>
      <c r="N161" s="13" t="e">
        <f t="shared" si="7"/>
        <v>#N/A</v>
      </c>
      <c r="Q161" t="e">
        <f>INDEX(Input!$D$2:$AC$500,
       MATCH(B161, Input!$J$2:$J$500, 0),
       MATCH("Disk Capacity", Input!$D$1:$AC$1, 0))</f>
        <v>#N/A</v>
      </c>
      <c r="S161" s="13" t="str">
        <f>_xlfn.LET(_xlpm.Result,_xlfn.XLOOKUP(B161,Input!J:J,Input!AA:AA),IF(_xlpm.Result="","",_xlpm.Result))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AB161">IFERROR(IF(_xlfn.XLOOKUP(B161,Input!J:J,Input!N:U)=0,"",
          _xlfn.XLOOKUP(B161,Input!J:J,Input!N:U)),"")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s="13" t="str">
        <v/>
      </c>
      <c r="AB161" s="13" t="str">
        <v/>
      </c>
      <c r="AC161" t="str">
        <f t="shared" si="8"/>
        <v/>
      </c>
      <c r="AD161" t="str">
        <f>_xlfn.XLOOKUP(B:B,Disk_Pivot!G:G,Disk_Pivot!I:I)</f>
        <v>Yes</v>
      </c>
      <c r="AE161" t="str">
        <f>_xlfn.XLOOKUP(B161,Disk_Pivot!G:G,Disk_Pivot!N:N)</f>
        <v>Fail</v>
      </c>
    </row>
    <row r="162" spans="6:31">
      <c r="F162" t="str">
        <f>_xlfn.XLOOKUP(H162,Models!B:B,Models!F:F,"")</f>
        <v/>
      </c>
      <c r="K162">
        <f>_xlfn.XLOOKUP(B162,CPU_Formula!A:A,CPU_Formula!I:I)</f>
        <v>0</v>
      </c>
      <c r="L162" s="13" t="e">
        <f>INDEX(Input!$D$2:$AC$500,
       MATCH(B162, Input!$J$2:$J$500, 0),
       MATCH("Memory Capacity", Input!$D$1:$AC$1, 0))</f>
        <v>#N/A</v>
      </c>
      <c r="M162" s="13" t="e">
        <f>INDEX(Input!$D$2:$AC$500,
       MATCH(B162, Input!$J$2:$J$500, 0),
       MATCH("Memory Type", Input!$D$1:$AC$1, 0))</f>
        <v>#N/A</v>
      </c>
      <c r="N162" s="13" t="e">
        <f t="shared" si="7"/>
        <v>#N/A</v>
      </c>
      <c r="Q162" t="e">
        <f>INDEX(Input!$D$2:$AC$500,
       MATCH(B162, Input!$J$2:$J$500, 0),
       MATCH("Disk Capacity", Input!$D$1:$AC$1, 0))</f>
        <v>#N/A</v>
      </c>
      <c r="S162" s="13" t="str">
        <f>_xlfn.LET(_xlpm.Result,_xlfn.XLOOKUP(B162,Input!J:J,Input!AA:AA),IF(_xlpm.Result="","",_xlpm.Result))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AB162">IFERROR(IF(_xlfn.XLOOKUP(B162,Input!J:J,Input!N:U)=0,"",
          _xlfn.XLOOKUP(B162,Input!J:J,Input!N:U)),"")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s="13" t="str">
        <v/>
      </c>
      <c r="AB162" s="13" t="str">
        <v/>
      </c>
      <c r="AC162" t="str">
        <f t="shared" si="8"/>
        <v/>
      </c>
      <c r="AD162" t="str">
        <f>_xlfn.XLOOKUP(B:B,Disk_Pivot!G:G,Disk_Pivot!I:I)</f>
        <v>Yes</v>
      </c>
      <c r="AE162" t="str">
        <f>_xlfn.XLOOKUP(B162,Disk_Pivot!G:G,Disk_Pivot!N:N)</f>
        <v>Fail</v>
      </c>
    </row>
    <row r="163" spans="6:31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INDEX(Input!$D$2:$AC$500,
       MATCH(B163, Input!$J$2:$J$500, 0),
       MATCH("Memory Capacity", Input!$D$1:$AC$1, 0))</f>
        <v>#N/A</v>
      </c>
      <c r="M163" s="13" t="e">
        <f>INDEX(Input!$D$2:$AC$500,
       MATCH(B163, Input!$J$2:$J$500, 0),
       MATCH("Memory Type", Input!$D$1:$AC$1, 0))</f>
        <v>#N/A</v>
      </c>
      <c r="N163" s="13" t="e">
        <f t="shared" si="7"/>
        <v>#N/A</v>
      </c>
      <c r="S163" s="13" t="str">
        <f>_xlfn.LET(_xlpm.Result,_xlfn.XLOOKUP(B163,Input!J:J,Input!AA:AA),IF(_xlpm.Result="","",_xlpm.Result))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AB163">IFERROR(IF(_xlfn.XLOOKUP(B163,Input!J:J,Input!N:U)=0,"",
          _xlfn.XLOOKUP(B163,Input!J:J,Input!N:U)),"")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s="13" t="str">
        <v/>
      </c>
      <c r="AB163" s="13" t="str">
        <v/>
      </c>
      <c r="AC163" t="str">
        <f t="shared" si="8"/>
        <v/>
      </c>
      <c r="AD163" t="str">
        <f>_xlfn.XLOOKUP(B:B,Disk_Pivot!G:G,Disk_Pivot!I:I)</f>
        <v>Yes</v>
      </c>
      <c r="AE163" t="str">
        <f>_xlfn.XLOOKUP(B163,Disk_Pivot!G:G,Disk_Pivot!N:N)</f>
        <v>Fail</v>
      </c>
    </row>
    <row r="164" spans="6:31">
      <c r="F164" t="str">
        <f>_xlfn.XLOOKUP(H164,Models!B:B,Models!F:F,"")</f>
        <v/>
      </c>
      <c r="K164">
        <f>_xlfn.XLOOKUP(B164,CPU_Formula!A:A,CPU_Formula!I:I)</f>
        <v>0</v>
      </c>
      <c r="L164" s="13" t="e">
        <f>INDEX(Input!$D$2:$AC$500,
       MATCH(B164, Input!$J$2:$J$500, 0),
       MATCH("Memory Capacity", Input!$D$1:$AC$1, 0))</f>
        <v>#N/A</v>
      </c>
      <c r="M164" s="13" t="e">
        <f>INDEX(Input!$D$2:$AC$500,
       MATCH(B164, Input!$J$2:$J$500, 0),
       MATCH("Memory Type", Input!$D$1:$AC$1, 0))</f>
        <v>#N/A</v>
      </c>
      <c r="N164" s="13" t="e">
        <f t="shared" si="7"/>
        <v>#N/A</v>
      </c>
      <c r="S164" s="13" t="str">
        <f>_xlfn.LET(_xlpm.Result,_xlfn.XLOOKUP(B164,Input!J:J,Input!AA:AA),IF(_xlpm.Result="","",_xlpm.Result))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AB164">IFERROR(IF(_xlfn.XLOOKUP(B164,Input!J:J,Input!N:U)=0,"",
          _xlfn.XLOOKUP(B164,Input!J:J,Input!N:U)),"")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s="13" t="str">
        <v/>
      </c>
      <c r="AB164" s="13" t="str">
        <v/>
      </c>
      <c r="AC164" t="str">
        <f t="shared" si="8"/>
        <v/>
      </c>
      <c r="AD164" t="str">
        <f>_xlfn.XLOOKUP(B:B,Disk_Pivot!G:G,Disk_Pivot!I:I)</f>
        <v>Yes</v>
      </c>
      <c r="AE164" t="str">
        <f>_xlfn.XLOOKUP(B164,Disk_Pivot!G:G,Disk_Pivot!N:N)</f>
        <v>Fail</v>
      </c>
    </row>
    <row r="165" spans="6:31">
      <c r="F165" t="str">
        <f>_xlfn.XLOOKUP(H165,Models!B:B,Models!F:F,"")</f>
        <v/>
      </c>
      <c r="K165">
        <f>_xlfn.XLOOKUP(B165,CPU_Formula!A:A,CPU_Formula!I:I)</f>
        <v>0</v>
      </c>
      <c r="L165" s="13" t="e">
        <f>INDEX(Input!$D$2:$AC$500,
       MATCH(B165, Input!$J$2:$J$500, 0),
       MATCH("Memory Capacity", Input!$D$1:$AC$1, 0))</f>
        <v>#N/A</v>
      </c>
      <c r="M165" s="13" t="e">
        <f>INDEX(Input!$D$2:$AC$500,
       MATCH(B165, Input!$J$2:$J$500, 0),
       MATCH("Memory Type", Input!$D$1:$AC$1, 0))</f>
        <v>#N/A</v>
      </c>
      <c r="N165" s="13" t="e">
        <f t="shared" si="7"/>
        <v>#N/A</v>
      </c>
      <c r="S165" s="13" t="str">
        <f>_xlfn.LET(_xlpm.Result,_xlfn.XLOOKUP(B165,Input!J:J,Input!AA:AA),IF(_xlpm.Result="","",_xlpm.Result))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AB165">IFERROR(IF(_xlfn.XLOOKUP(B165,Input!J:J,Input!N:U)=0,"",
          _xlfn.XLOOKUP(B165,Input!J:J,Input!N:U)),"")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s="13" t="str">
        <v/>
      </c>
      <c r="AB165" s="13" t="str">
        <v/>
      </c>
      <c r="AC165" t="str">
        <f t="shared" si="8"/>
        <v/>
      </c>
      <c r="AD165" t="str">
        <f>_xlfn.XLOOKUP(B:B,Disk_Pivot!G:G,Disk_Pivot!I:I)</f>
        <v>Yes</v>
      </c>
      <c r="AE165" t="str">
        <f>_xlfn.XLOOKUP(B165,Disk_Pivot!G:G,Disk_Pivot!N:N)</f>
        <v>Fail</v>
      </c>
    </row>
    <row r="166" spans="6:31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INDEX(Input!$D$2:$AC$500,
       MATCH(B166, Input!$J$2:$J$500, 0),
       MATCH("Memory Capacity", Input!$D$1:$AC$1, 0))</f>
        <v>#N/A</v>
      </c>
      <c r="M166" s="13" t="e">
        <f>INDEX(Input!$D$2:$AC$500,
       MATCH(B166, Input!$J$2:$J$500, 0),
       MATCH("Memory Type", Input!$D$1:$AC$1, 0))</f>
        <v>#N/A</v>
      </c>
      <c r="N166" s="13" t="e">
        <f t="shared" si="7"/>
        <v>#N/A</v>
      </c>
      <c r="S166" s="13" t="str">
        <f>_xlfn.LET(_xlpm.Result,_xlfn.XLOOKUP(B166,Input!J:J,Input!AA:AA),IF(_xlpm.Result="","",_xlpm.Result))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AB166">IFERROR(IF(_xlfn.XLOOKUP(B166,Input!J:J,Input!N:U)=0,"",
          _xlfn.XLOOKUP(B166,Input!J:J,Input!N:U)),"")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s="13" t="str">
        <v/>
      </c>
      <c r="AB166" s="13" t="str">
        <v/>
      </c>
      <c r="AC166" t="str">
        <f t="shared" si="8"/>
        <v/>
      </c>
      <c r="AD166" t="str">
        <f>_xlfn.XLOOKUP(B:B,Disk_Pivot!G:G,Disk_Pivot!I:I)</f>
        <v>Yes</v>
      </c>
      <c r="AE166" t="str">
        <f>_xlfn.XLOOKUP(B166,Disk_Pivot!G:G,Disk_Pivot!N:N)</f>
        <v>Fail</v>
      </c>
    </row>
    <row r="167" spans="6:31">
      <c r="F167" t="str">
        <f>_xlfn.XLOOKUP(H167,Models!B:B,Models!F:F,"")</f>
        <v/>
      </c>
      <c r="K167">
        <f>_xlfn.XLOOKUP(B167,CPU_Formula!A:A,CPU_Formula!I:I)</f>
        <v>0</v>
      </c>
      <c r="L167" s="13" t="e">
        <f>INDEX(Input!$D$2:$AC$500,
       MATCH(B167, Input!$J$2:$J$500, 0),
       MATCH("Memory Capacity", Input!$D$1:$AC$1, 0))</f>
        <v>#N/A</v>
      </c>
      <c r="M167" s="13" t="e">
        <f>INDEX(Input!$D$2:$AC$500,
       MATCH(B167, Input!$J$2:$J$500, 0),
       MATCH("Memory Type", Input!$D$1:$AC$1, 0))</f>
        <v>#N/A</v>
      </c>
      <c r="N167" s="13" t="e">
        <f t="shared" si="7"/>
        <v>#N/A</v>
      </c>
      <c r="S167" s="13" t="str">
        <f>_xlfn.LET(_xlpm.Result,_xlfn.XLOOKUP(B167,Input!J:J,Input!AA:AA),IF(_xlpm.Result="","",_xlpm.Result))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AB167">IFERROR(IF(_xlfn.XLOOKUP(B167,Input!J:J,Input!N:U)=0,"",
          _xlfn.XLOOKUP(B167,Input!J:J,Input!N:U)),"")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s="13" t="str">
        <v/>
      </c>
      <c r="AB167" s="13" t="str">
        <v/>
      </c>
      <c r="AC167" t="str">
        <f t="shared" si="8"/>
        <v/>
      </c>
      <c r="AD167" t="str">
        <f>_xlfn.XLOOKUP(B:B,Disk_Pivot!G:G,Disk_Pivot!I:I)</f>
        <v>Yes</v>
      </c>
      <c r="AE167" t="str">
        <f>_xlfn.XLOOKUP(B167,Disk_Pivot!G:G,Disk_Pivot!N:N)</f>
        <v>Fail</v>
      </c>
    </row>
    <row r="168" spans="6:31">
      <c r="F168" t="str">
        <f>_xlfn.XLOOKUP(H168,Models!B:B,Models!F:F,"")</f>
        <v/>
      </c>
      <c r="K168">
        <f>_xlfn.XLOOKUP(B168,CPU_Formula!A:A,CPU_Formula!I:I)</f>
        <v>0</v>
      </c>
      <c r="L168" s="13" t="e">
        <f>INDEX(Input!$D$2:$AC$500,
       MATCH(B168, Input!$J$2:$J$500, 0),
       MATCH("Memory Capacity", Input!$D$1:$AC$1, 0))</f>
        <v>#N/A</v>
      </c>
      <c r="M168" s="13" t="e">
        <f>INDEX(Input!$D$2:$AC$500,
       MATCH(B168, Input!$J$2:$J$500, 0),
       MATCH("Memory Type", Input!$D$1:$AC$1, 0))</f>
        <v>#N/A</v>
      </c>
      <c r="N168" s="13" t="e">
        <f t="shared" si="7"/>
        <v>#N/A</v>
      </c>
      <c r="S168" s="13" t="str">
        <f>_xlfn.LET(_xlpm.Result,_xlfn.XLOOKUP(B168,Input!J:J,Input!AA:AA),IF(_xlpm.Result="","",_xlpm.Result))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AB168">IFERROR(IF(_xlfn.XLOOKUP(B168,Input!J:J,Input!N:U)=0,"",
          _xlfn.XLOOKUP(B168,Input!J:J,Input!N:U)),"")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s="13" t="str">
        <v/>
      </c>
      <c r="AB168" s="13" t="str">
        <v/>
      </c>
      <c r="AC168" t="str">
        <f t="shared" si="8"/>
        <v/>
      </c>
      <c r="AD168" t="str">
        <f>_xlfn.XLOOKUP(B:B,Disk_Pivot!G:G,Disk_Pivot!I:I)</f>
        <v>Yes</v>
      </c>
      <c r="AE168" t="str">
        <f>_xlfn.XLOOKUP(B168,Disk_Pivot!G:G,Disk_Pivot!N:N)</f>
        <v>Fail</v>
      </c>
    </row>
    <row r="169" spans="6:31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INDEX(Input!$D$2:$AC$500,
       MATCH(B169, Input!$J$2:$J$500, 0),
       MATCH("Memory Capacity", Input!$D$1:$AC$1, 0))</f>
        <v>#N/A</v>
      </c>
      <c r="M169" s="13" t="e">
        <f>INDEX(Input!$D$2:$AC$500,
       MATCH(B169, Input!$J$2:$J$500, 0),
       MATCH("Memory Type", Input!$D$1:$AC$1, 0))</f>
        <v>#N/A</v>
      </c>
      <c r="N169" s="13" t="e">
        <f t="shared" si="7"/>
        <v>#N/A</v>
      </c>
      <c r="S169" s="13" t="str">
        <f>_xlfn.LET(_xlpm.Result,_xlfn.XLOOKUP(B169,Input!J:J,Input!AA:AA),IF(_xlpm.Result="","",_xlpm.Result))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AB169">IFERROR(IF(_xlfn.XLOOKUP(B169,Input!J:J,Input!N:U)=0,"",
          _xlfn.XLOOKUP(B169,Input!J:J,Input!N:U)),"")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s="13" t="str">
        <v/>
      </c>
      <c r="AB169" s="13" t="str">
        <v/>
      </c>
      <c r="AC169" t="str">
        <f t="shared" si="8"/>
        <v/>
      </c>
      <c r="AD169" t="str">
        <f>_xlfn.XLOOKUP(B:B,Disk_Pivot!G:G,Disk_Pivot!I:I)</f>
        <v>Yes</v>
      </c>
      <c r="AE169" t="str">
        <f>_xlfn.XLOOKUP(B169,Disk_Pivot!G:G,Disk_Pivot!N:N)</f>
        <v>Fail</v>
      </c>
    </row>
    <row r="170" spans="6:31">
      <c r="F170" t="str">
        <f>_xlfn.XLOOKUP(H170,Models!B:B,Models!F:F,"")</f>
        <v/>
      </c>
      <c r="K170">
        <f>_xlfn.XLOOKUP(B170,CPU_Formula!A:A,CPU_Formula!I:I)</f>
        <v>0</v>
      </c>
      <c r="L170" s="13" t="e">
        <f>INDEX(Input!$D$2:$AC$500,
       MATCH(B170, Input!$J$2:$J$500, 0),
       MATCH("Memory Capacity", Input!$D$1:$AC$1, 0))</f>
        <v>#N/A</v>
      </c>
      <c r="M170" s="13" t="e">
        <f>INDEX(Input!$D$2:$AC$500,
       MATCH(B170, Input!$J$2:$J$500, 0),
       MATCH("Memory Type", Input!$D$1:$AC$1, 0))</f>
        <v>#N/A</v>
      </c>
      <c r="N170" s="13" t="e">
        <f t="shared" si="7"/>
        <v>#N/A</v>
      </c>
      <c r="S170" s="13" t="str">
        <f>_xlfn.LET(_xlpm.Result,_xlfn.XLOOKUP(B170,Input!J:J,Input!AA:AA),IF(_xlpm.Result="","",_xlpm.Result))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AB170">IFERROR(IF(_xlfn.XLOOKUP(B170,Input!J:J,Input!N:U)=0,"",
          _xlfn.XLOOKUP(B170,Input!J:J,Input!N:U)),"")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s="13" t="str">
        <v/>
      </c>
      <c r="AB170" s="13" t="str">
        <v/>
      </c>
      <c r="AC170" t="str">
        <f t="shared" si="8"/>
        <v/>
      </c>
      <c r="AD170" t="str">
        <f>_xlfn.XLOOKUP(B:B,Disk_Pivot!G:G,Disk_Pivot!I:I)</f>
        <v>Yes</v>
      </c>
      <c r="AE170" t="str">
        <f>_xlfn.XLOOKUP(B170,Disk_Pivot!G:G,Disk_Pivot!N:N)</f>
        <v>Fail</v>
      </c>
    </row>
    <row r="171" spans="6:31">
      <c r="F171" t="str">
        <f>_xlfn.XLOOKUP(H171,Models!B:B,Models!F:F,"")</f>
        <v/>
      </c>
      <c r="K171">
        <f>_xlfn.XLOOKUP(B171,CPU_Formula!A:A,CPU_Formula!I:I)</f>
        <v>0</v>
      </c>
      <c r="L171" s="13" t="e">
        <f>INDEX(Input!$D$2:$AC$500,
       MATCH(B171, Input!$J$2:$J$500, 0),
       MATCH("Memory Capacity", Input!$D$1:$AC$1, 0))</f>
        <v>#N/A</v>
      </c>
      <c r="M171" s="13" t="e">
        <f>INDEX(Input!$D$2:$AC$500,
       MATCH(B171, Input!$J$2:$J$500, 0),
       MATCH("Memory Type", Input!$D$1:$AC$1, 0))</f>
        <v>#N/A</v>
      </c>
      <c r="N171" s="13" t="e">
        <f t="shared" si="7"/>
        <v>#N/A</v>
      </c>
      <c r="S171" s="13" t="str">
        <f>_xlfn.LET(_xlpm.Result,_xlfn.XLOOKUP(B171,Input!J:J,Input!AA:AA),IF(_xlpm.Result="","",_xlpm.Result))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AB171">IFERROR(IF(_xlfn.XLOOKUP(B171,Input!J:J,Input!N:U)=0,"",
          _xlfn.XLOOKUP(B171,Input!J:J,Input!N:U)),"")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s="13" t="str">
        <v/>
      </c>
      <c r="AB171" s="13" t="str">
        <v/>
      </c>
      <c r="AC171" t="str">
        <f t="shared" si="8"/>
        <v/>
      </c>
      <c r="AD171" t="str">
        <f>_xlfn.XLOOKUP(B:B,Disk_Pivot!G:G,Disk_Pivot!I:I)</f>
        <v>Yes</v>
      </c>
      <c r="AE171" t="str">
        <f>_xlfn.XLOOKUP(B171,Disk_Pivot!G:G,Disk_Pivot!N:N)</f>
        <v>Fail</v>
      </c>
    </row>
    <row r="172" spans="6:31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INDEX(Input!$D$2:$AC$500,
       MATCH(B172, Input!$J$2:$J$500, 0),
       MATCH("Memory Capacity", Input!$D$1:$AC$1, 0))</f>
        <v>#N/A</v>
      </c>
      <c r="M172" s="13" t="e">
        <f>INDEX(Input!$D$2:$AC$500,
       MATCH(B172, Input!$J$2:$J$500, 0),
       MATCH("Memory Type", Input!$D$1:$AC$1, 0))</f>
        <v>#N/A</v>
      </c>
      <c r="N172" s="13" t="e">
        <f t="shared" si="7"/>
        <v>#N/A</v>
      </c>
      <c r="S172" s="13" t="str">
        <f>_xlfn.LET(_xlpm.Result,_xlfn.XLOOKUP(B172,Input!J:J,Input!AA:AA),IF(_xlpm.Result="","",_xlpm.Result))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AB172">IFERROR(IF(_xlfn.XLOOKUP(B172,Input!J:J,Input!N:U)=0,"",
          _xlfn.XLOOKUP(B172,Input!J:J,Input!N:U)),"")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s="13" t="str">
        <v/>
      </c>
      <c r="AB172" s="13" t="str">
        <v/>
      </c>
      <c r="AC172" t="str">
        <f t="shared" si="8"/>
        <v/>
      </c>
      <c r="AD172" t="str">
        <f>_xlfn.XLOOKUP(B:B,Disk_Pivot!G:G,Disk_Pivot!I:I)</f>
        <v>Yes</v>
      </c>
      <c r="AE172" t="str">
        <f>_xlfn.XLOOKUP(B172,Disk_Pivot!G:G,Disk_Pivot!N:N)</f>
        <v>Fail</v>
      </c>
    </row>
    <row r="173" spans="6:31">
      <c r="F173" t="str">
        <f>_xlfn.XLOOKUP(H173,Models!B:B,Models!F:F,"")</f>
        <v/>
      </c>
      <c r="K173">
        <f>_xlfn.XLOOKUP(B173,CPU_Formula!A:A,CPU_Formula!I:I)</f>
        <v>0</v>
      </c>
      <c r="L173" s="13" t="e">
        <f>INDEX(Input!$D$2:$AC$500,
       MATCH(B173, Input!$J$2:$J$500, 0),
       MATCH("Memory Capacity", Input!$D$1:$AC$1, 0))</f>
        <v>#N/A</v>
      </c>
      <c r="M173" s="13" t="e">
        <f>INDEX(Input!$D$2:$AC$500,
       MATCH(B173, Input!$J$2:$J$500, 0),
       MATCH("Memory Type", Input!$D$1:$AC$1, 0))</f>
        <v>#N/A</v>
      </c>
      <c r="N173" s="13" t="e">
        <f t="shared" si="7"/>
        <v>#N/A</v>
      </c>
      <c r="S173" s="13" t="str">
        <f>_xlfn.LET(_xlpm.Result,_xlfn.XLOOKUP(B173,Input!J:J,Input!AA:AA),IF(_xlpm.Result="","",_xlpm.Result))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AB173">IFERROR(IF(_xlfn.XLOOKUP(B173,Input!J:J,Input!N:U)=0,"",
          _xlfn.XLOOKUP(B173,Input!J:J,Input!N:U)),"")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s="13" t="str">
        <v/>
      </c>
      <c r="AB173" s="13" t="str">
        <v/>
      </c>
      <c r="AC173" t="str">
        <f t="shared" si="8"/>
        <v/>
      </c>
      <c r="AD173" t="str">
        <f>_xlfn.XLOOKUP(B:B,Disk_Pivot!G:G,Disk_Pivot!I:I)</f>
        <v>Yes</v>
      </c>
      <c r="AE173" t="str">
        <f>_xlfn.XLOOKUP(B173,Disk_Pivot!G:G,Disk_Pivot!N:N)</f>
        <v>Fail</v>
      </c>
    </row>
    <row r="174" spans="6:31">
      <c r="F174" t="str">
        <f>_xlfn.XLOOKUP(H174,Models!B:B,Models!F:F,"")</f>
        <v/>
      </c>
      <c r="K174">
        <f>_xlfn.XLOOKUP(B174,CPU_Formula!A:A,CPU_Formula!I:I)</f>
        <v>0</v>
      </c>
      <c r="L174" s="13" t="e">
        <f>INDEX(Input!$D$2:$AC$500,
       MATCH(B174, Input!$J$2:$J$500, 0),
       MATCH("Memory Capacity", Input!$D$1:$AC$1, 0))</f>
        <v>#N/A</v>
      </c>
      <c r="M174" s="13" t="e">
        <f>INDEX(Input!$D$2:$AC$500,
       MATCH(B174, Input!$J$2:$J$500, 0),
       MATCH("Memory Type", Input!$D$1:$AC$1, 0))</f>
        <v>#N/A</v>
      </c>
      <c r="N174" s="13" t="e">
        <f t="shared" si="7"/>
        <v>#N/A</v>
      </c>
      <c r="S174" s="13" t="str">
        <f>_xlfn.LET(_xlpm.Result,_xlfn.XLOOKUP(B174,Input!J:J,Input!AA:AA),IF(_xlpm.Result="","",_xlpm.Result))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AB174">IFERROR(IF(_xlfn.XLOOKUP(B174,Input!J:J,Input!N:U)=0,"",
          _xlfn.XLOOKUP(B174,Input!J:J,Input!N:U)),"")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s="13" t="str">
        <v/>
      </c>
      <c r="AB174" s="13" t="str">
        <v/>
      </c>
      <c r="AC174" t="str">
        <f t="shared" si="8"/>
        <v/>
      </c>
      <c r="AD174" t="str">
        <f>_xlfn.XLOOKUP(B:B,Disk_Pivot!G:G,Disk_Pivot!I:I)</f>
        <v>Yes</v>
      </c>
      <c r="AE174" t="str">
        <f>_xlfn.XLOOKUP(B174,Disk_Pivot!G:G,Disk_Pivot!N:N)</f>
        <v>Fail</v>
      </c>
    </row>
    <row r="175" spans="6:31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INDEX(Input!$D$2:$AC$500,
       MATCH(B175, Input!$J$2:$J$500, 0),
       MATCH("Memory Capacity", Input!$D$1:$AC$1, 0))</f>
        <v>#N/A</v>
      </c>
      <c r="M175" s="13" t="e">
        <f>INDEX(Input!$D$2:$AC$500,
       MATCH(B175, Input!$J$2:$J$500, 0),
       MATCH("Memory Type", Input!$D$1:$AC$1, 0))</f>
        <v>#N/A</v>
      </c>
      <c r="N175" s="13" t="e">
        <f t="shared" si="7"/>
        <v>#N/A</v>
      </c>
      <c r="S175" s="13" t="str">
        <f>_xlfn.LET(_xlpm.Result,_xlfn.XLOOKUP(B175,Input!J:J,Input!AA:AA),IF(_xlpm.Result="","",_xlpm.Result))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AB175">IFERROR(IF(_xlfn.XLOOKUP(B175,Input!J:J,Input!N:U)=0,"",
          _xlfn.XLOOKUP(B175,Input!J:J,Input!N:U)),"")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s="13" t="str">
        <v/>
      </c>
      <c r="AB175" s="13" t="str">
        <v/>
      </c>
      <c r="AC175" t="str">
        <f t="shared" si="8"/>
        <v/>
      </c>
      <c r="AD175" t="str">
        <f>_xlfn.XLOOKUP(B:B,Disk_Pivot!G:G,Disk_Pivot!I:I)</f>
        <v>Yes</v>
      </c>
      <c r="AE175" t="str">
        <f>_xlfn.XLOOKUP(B175,Disk_Pivot!G:G,Disk_Pivot!N:N)</f>
        <v>Fail</v>
      </c>
    </row>
    <row r="176" spans="6:31">
      <c r="F176" t="str">
        <f>_xlfn.XLOOKUP(H176,Models!B:B,Models!F:F,"")</f>
        <v/>
      </c>
      <c r="K176">
        <f>_xlfn.XLOOKUP(B176,CPU_Formula!A:A,CPU_Formula!I:I)</f>
        <v>0</v>
      </c>
      <c r="L176" s="13" t="e">
        <f>INDEX(Input!$D$2:$AC$500,
       MATCH(B176, Input!$J$2:$J$500, 0),
       MATCH("Memory Capacity", Input!$D$1:$AC$1, 0))</f>
        <v>#N/A</v>
      </c>
      <c r="M176" s="13" t="e">
        <f>INDEX(Input!$D$2:$AC$500,
       MATCH(B176, Input!$J$2:$J$500, 0),
       MATCH("Memory Type", Input!$D$1:$AC$1, 0))</f>
        <v>#N/A</v>
      </c>
      <c r="N176" s="13" t="e">
        <f t="shared" si="7"/>
        <v>#N/A</v>
      </c>
      <c r="S176" s="13" t="str">
        <f>_xlfn.LET(_xlpm.Result,_xlfn.XLOOKUP(B176,Input!J:J,Input!AA:AA),IF(_xlpm.Result="","",_xlpm.Result))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AB176">IFERROR(IF(_xlfn.XLOOKUP(B176,Input!J:J,Input!N:U)=0,"",
          _xlfn.XLOOKUP(B176,Input!J:J,Input!N:U)),"")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s="13" t="str">
        <v/>
      </c>
      <c r="AB176" s="13" t="str">
        <v/>
      </c>
      <c r="AC176" t="str">
        <f t="shared" si="8"/>
        <v/>
      </c>
      <c r="AD176" t="str">
        <f>_xlfn.XLOOKUP(B:B,Disk_Pivot!G:G,Disk_Pivot!I:I)</f>
        <v>Yes</v>
      </c>
      <c r="AE176" t="str">
        <f>_xlfn.XLOOKUP(B176,Disk_Pivot!G:G,Disk_Pivot!N:N)</f>
        <v>Fail</v>
      </c>
    </row>
    <row r="177" spans="6:31">
      <c r="F177" t="str">
        <f>_xlfn.XLOOKUP(H177,Models!B:B,Models!F:F,"")</f>
        <v/>
      </c>
      <c r="K177">
        <f>_xlfn.XLOOKUP(B177,CPU_Formula!A:A,CPU_Formula!I:I)</f>
        <v>0</v>
      </c>
      <c r="L177" s="13" t="e">
        <f>INDEX(Input!$D$2:$AC$500,
       MATCH(B177, Input!$J$2:$J$500, 0),
       MATCH("Memory Capacity", Input!$D$1:$AC$1, 0))</f>
        <v>#N/A</v>
      </c>
      <c r="M177" s="13" t="e">
        <f>INDEX(Input!$D$2:$AC$500,
       MATCH(B177, Input!$J$2:$J$500, 0),
       MATCH("Memory Type", Input!$D$1:$AC$1, 0))</f>
        <v>#N/A</v>
      </c>
      <c r="N177" s="13" t="e">
        <f t="shared" si="7"/>
        <v>#N/A</v>
      </c>
      <c r="S177" s="13" t="str">
        <f>_xlfn.LET(_xlpm.Result,_xlfn.XLOOKUP(B177,Input!J:J,Input!AA:AA),IF(_xlpm.Result="","",_xlpm.Result))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AB177">IFERROR(IF(_xlfn.XLOOKUP(B177,Input!J:J,Input!N:U)=0,"",
          _xlfn.XLOOKUP(B177,Input!J:J,Input!N:U)),"")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s="13" t="str">
        <v/>
      </c>
      <c r="AB177" s="13" t="str">
        <v/>
      </c>
      <c r="AC177" t="str">
        <f t="shared" si="8"/>
        <v/>
      </c>
      <c r="AD177" t="str">
        <f>_xlfn.XLOOKUP(B:B,Disk_Pivot!G:G,Disk_Pivot!I:I)</f>
        <v>Yes</v>
      </c>
      <c r="AE177" t="str">
        <f>_xlfn.XLOOKUP(B177,Disk_Pivot!G:G,Disk_Pivot!N:N)</f>
        <v>Fail</v>
      </c>
    </row>
    <row r="178" spans="6:31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INDEX(Input!$D$2:$AC$500,
       MATCH(B178, Input!$J$2:$J$500, 0),
       MATCH("Memory Capacity", Input!$D$1:$AC$1, 0))</f>
        <v>#N/A</v>
      </c>
      <c r="M178" s="13" t="e">
        <f>INDEX(Input!$D$2:$AC$500,
       MATCH(B178, Input!$J$2:$J$500, 0),
       MATCH("Memory Type", Input!$D$1:$AC$1, 0))</f>
        <v>#N/A</v>
      </c>
      <c r="N178" s="13" t="e">
        <f t="shared" si="7"/>
        <v>#N/A</v>
      </c>
      <c r="S178" s="13" t="str">
        <f>_xlfn.LET(_xlpm.Result,_xlfn.XLOOKUP(B178,Input!J:J,Input!AA:AA),IF(_xlpm.Result="","",_xlpm.Result))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AB178">IFERROR(IF(_xlfn.XLOOKUP(B178,Input!J:J,Input!N:U)=0,"",
          _xlfn.XLOOKUP(B178,Input!J:J,Input!N:U)),"")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s="13" t="str">
        <v/>
      </c>
      <c r="AB178" s="13" t="str">
        <v/>
      </c>
      <c r="AC178" t="str">
        <f t="shared" si="8"/>
        <v/>
      </c>
      <c r="AD178" t="str">
        <f>_xlfn.XLOOKUP(B:B,Disk_Pivot!G:G,Disk_Pivot!I:I)</f>
        <v>Yes</v>
      </c>
      <c r="AE178" t="str">
        <f>_xlfn.XLOOKUP(B178,Disk_Pivot!G:G,Disk_Pivot!N:N)</f>
        <v>Fail</v>
      </c>
    </row>
    <row r="179" spans="6:31">
      <c r="F179" t="str">
        <f>_xlfn.XLOOKUP(H179,Models!B:B,Models!F:F,"")</f>
        <v/>
      </c>
      <c r="K179">
        <f>_xlfn.XLOOKUP(B179,CPU_Formula!A:A,CPU_Formula!I:I)</f>
        <v>0</v>
      </c>
      <c r="L179" s="13" t="e">
        <f>INDEX(Input!$D$2:$AC$500,
       MATCH(B179, Input!$J$2:$J$500, 0),
       MATCH("Memory Capacity", Input!$D$1:$AC$1, 0))</f>
        <v>#N/A</v>
      </c>
      <c r="M179" s="13" t="e">
        <f>INDEX(Input!$D$2:$AC$500,
       MATCH(B179, Input!$J$2:$J$500, 0),
       MATCH("Memory Type", Input!$D$1:$AC$1, 0))</f>
        <v>#N/A</v>
      </c>
      <c r="N179" s="13" t="e">
        <f t="shared" si="7"/>
        <v>#N/A</v>
      </c>
      <c r="S179" s="13" t="str">
        <f>_xlfn.LET(_xlpm.Result,_xlfn.XLOOKUP(B179,Input!J:J,Input!AA:AA),IF(_xlpm.Result="","",_xlpm.Result))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AB179">IFERROR(IF(_xlfn.XLOOKUP(B179,Input!J:J,Input!N:U)=0,"",
          _xlfn.XLOOKUP(B179,Input!J:J,Input!N:U)),"")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s="13" t="str">
        <v/>
      </c>
      <c r="AB179" s="13" t="str">
        <v/>
      </c>
      <c r="AC179" t="str">
        <f t="shared" si="8"/>
        <v/>
      </c>
      <c r="AD179" t="str">
        <f>_xlfn.XLOOKUP(B:B,Disk_Pivot!G:G,Disk_Pivot!I:I)</f>
        <v>Yes</v>
      </c>
      <c r="AE179" t="str">
        <f>_xlfn.XLOOKUP(B179,Disk_Pivot!G:G,Disk_Pivot!N:N)</f>
        <v>Fail</v>
      </c>
    </row>
    <row r="180" spans="6:31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INDEX(Input!$D$2:$AC$500,
       MATCH(B180, Input!$J$2:$J$500, 0),
       MATCH("Memory Capacity", Input!$D$1:$AC$1, 0))</f>
        <v>#N/A</v>
      </c>
      <c r="M180" s="13" t="e">
        <f>INDEX(Input!$D$2:$AC$500,
       MATCH(B180, Input!$J$2:$J$500, 0),
       MATCH("Memory Type", Input!$D$1:$AC$1, 0))</f>
        <v>#N/A</v>
      </c>
      <c r="N180" s="13" t="e">
        <f t="shared" si="7"/>
        <v>#N/A</v>
      </c>
      <c r="S180" s="13" t="str">
        <f>_xlfn.LET(_xlpm.Result,_xlfn.XLOOKUP(B180,Input!J:J,Input!AA:AA),IF(_xlpm.Result="","",_xlpm.Result))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AB180">IFERROR(IF(_xlfn.XLOOKUP(B180,Input!J:J,Input!N:U)=0,"",
          _xlfn.XLOOKUP(B180,Input!J:J,Input!N:U)),"")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s="13" t="str">
        <v/>
      </c>
      <c r="AB180" s="13" t="str">
        <v/>
      </c>
      <c r="AC180" t="str">
        <f t="shared" si="8"/>
        <v/>
      </c>
      <c r="AD180" t="str">
        <f>_xlfn.XLOOKUP(B:B,Disk_Pivot!G:G,Disk_Pivot!I:I)</f>
        <v>Yes</v>
      </c>
      <c r="AE180" t="str">
        <f>_xlfn.XLOOKUP(B180,Disk_Pivot!G:G,Disk_Pivot!N:N)</f>
        <v>Fail</v>
      </c>
    </row>
    <row r="181" spans="6:31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INDEX(Input!$D$2:$AC$500,
       MATCH(B181, Input!$J$2:$J$500, 0),
       MATCH("Memory Capacity", Input!$D$1:$AC$1, 0))</f>
        <v>#N/A</v>
      </c>
      <c r="M181" s="13" t="e">
        <f>INDEX(Input!$D$2:$AC$500,
       MATCH(B181, Input!$J$2:$J$500, 0),
       MATCH("Memory Type", Input!$D$1:$AC$1, 0))</f>
        <v>#N/A</v>
      </c>
      <c r="N181" s="13" t="e">
        <f t="shared" si="7"/>
        <v>#N/A</v>
      </c>
      <c r="S181" s="13" t="str">
        <f>_xlfn.LET(_xlpm.Result,_xlfn.XLOOKUP(B181,Input!J:J,Input!AA:AA),IF(_xlpm.Result="","",_xlpm.Result))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AB181">IFERROR(IF(_xlfn.XLOOKUP(B181,Input!J:J,Input!N:U)=0,"",
          _xlfn.XLOOKUP(B181,Input!J:J,Input!N:U)),"")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s="13" t="str">
        <v/>
      </c>
      <c r="AB181" s="13" t="str">
        <v/>
      </c>
      <c r="AC181" t="str">
        <f t="shared" si="8"/>
        <v/>
      </c>
      <c r="AD181" t="str">
        <f>_xlfn.XLOOKUP(B:B,Disk_Pivot!G:G,Disk_Pivot!I:I)</f>
        <v>Yes</v>
      </c>
      <c r="AE181" t="str">
        <f>_xlfn.XLOOKUP(B181,Disk_Pivot!G:G,Disk_Pivot!N:N)</f>
        <v>Fail</v>
      </c>
    </row>
    <row r="182" spans="6:31">
      <c r="F182" t="str">
        <f>_xlfn.XLOOKUP(H182,Models!B:B,Models!F:F,"")</f>
        <v/>
      </c>
      <c r="K182">
        <f>_xlfn.XLOOKUP(B182,CPU_Formula!A:A,CPU_Formula!I:I)</f>
        <v>0</v>
      </c>
      <c r="L182" s="13" t="e">
        <f>INDEX(Input!$D$2:$AC$500,
       MATCH(B182, Input!$J$2:$J$500, 0),
       MATCH("Memory Capacity", Input!$D$1:$AC$1, 0))</f>
        <v>#N/A</v>
      </c>
      <c r="M182" s="13" t="e">
        <f>INDEX(Input!$D$2:$AC$500,
       MATCH(B182, Input!$J$2:$J$500, 0),
       MATCH("Memory Type", Input!$D$1:$AC$1, 0))</f>
        <v>#N/A</v>
      </c>
      <c r="N182" s="13" t="e">
        <f t="shared" si="7"/>
        <v>#N/A</v>
      </c>
      <c r="S182" s="13" t="str">
        <f>_xlfn.LET(_xlpm.Result,_xlfn.XLOOKUP(B182,Input!J:J,Input!AA:AA),IF(_xlpm.Result="","",_xlpm.Result))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AB182">IFERROR(IF(_xlfn.XLOOKUP(B182,Input!J:J,Input!N:U)=0,"",
          _xlfn.XLOOKUP(B182,Input!J:J,Input!N:U)),"")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s="13" t="str">
        <v/>
      </c>
      <c r="AB182" s="13" t="str">
        <v/>
      </c>
      <c r="AC182" t="str">
        <f t="shared" si="8"/>
        <v/>
      </c>
      <c r="AD182" t="str">
        <f>_xlfn.XLOOKUP(B:B,Disk_Pivot!G:G,Disk_Pivot!I:I)</f>
        <v>Yes</v>
      </c>
      <c r="AE182" t="str">
        <f>_xlfn.XLOOKUP(B182,Disk_Pivot!G:G,Disk_Pivot!N:N)</f>
        <v>Fail</v>
      </c>
    </row>
    <row r="183" spans="6:31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INDEX(Input!$D$2:$AC$500,
       MATCH(B183, Input!$J$2:$J$500, 0),
       MATCH("Memory Capacity", Input!$D$1:$AC$1, 0))</f>
        <v>#N/A</v>
      </c>
      <c r="M183" s="13" t="e">
        <f>INDEX(Input!$D$2:$AC$500,
       MATCH(B183, Input!$J$2:$J$500, 0),
       MATCH("Memory Type", Input!$D$1:$AC$1, 0))</f>
        <v>#N/A</v>
      </c>
      <c r="N183" s="13" t="e">
        <f t="shared" si="7"/>
        <v>#N/A</v>
      </c>
      <c r="S183" s="13" t="str">
        <f>_xlfn.LET(_xlpm.Result,_xlfn.XLOOKUP(B183,Input!J:J,Input!AA:AA),IF(_xlpm.Result="","",_xlpm.Result))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AB183">IFERROR(IF(_xlfn.XLOOKUP(B183,Input!J:J,Input!N:U)=0,"",
          _xlfn.XLOOKUP(B183,Input!J:J,Input!N:U)),"")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s="13" t="str">
        <v/>
      </c>
      <c r="AB183" s="13" t="str">
        <v/>
      </c>
      <c r="AC183" t="str">
        <f t="shared" si="8"/>
        <v/>
      </c>
      <c r="AD183" t="str">
        <f>_xlfn.XLOOKUP(B:B,Disk_Pivot!G:G,Disk_Pivot!I:I)</f>
        <v>Yes</v>
      </c>
      <c r="AE183" t="str">
        <f>_xlfn.XLOOKUP(B183,Disk_Pivot!G:G,Disk_Pivot!N:N)</f>
        <v>Fail</v>
      </c>
    </row>
    <row r="184" spans="6:31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INDEX(Input!$D$2:$AC$500,
       MATCH(B184, Input!$J$2:$J$500, 0),
       MATCH("Memory Capacity", Input!$D$1:$AC$1, 0))</f>
        <v>#N/A</v>
      </c>
      <c r="M184" s="13" t="e">
        <f>INDEX(Input!$D$2:$AC$500,
       MATCH(B184, Input!$J$2:$J$500, 0),
       MATCH("Memory Type", Input!$D$1:$AC$1, 0))</f>
        <v>#N/A</v>
      </c>
      <c r="N184" s="13" t="e">
        <f t="shared" si="7"/>
        <v>#N/A</v>
      </c>
      <c r="S184" s="13" t="str">
        <f>_xlfn.LET(_xlpm.Result,_xlfn.XLOOKUP(B184,Input!J:J,Input!AA:AA),IF(_xlpm.Result="","",_xlpm.Result))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AB184">IFERROR(IF(_xlfn.XLOOKUP(B184,Input!J:J,Input!N:U)=0,"",
          _xlfn.XLOOKUP(B184,Input!J:J,Input!N:U)),"")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s="13" t="str">
        <v/>
      </c>
      <c r="AB184" s="13" t="str">
        <v/>
      </c>
      <c r="AC184" t="str">
        <f t="shared" si="8"/>
        <v/>
      </c>
      <c r="AD184" t="str">
        <f>_xlfn.XLOOKUP(B:B,Disk_Pivot!G:G,Disk_Pivot!I:I)</f>
        <v>Yes</v>
      </c>
      <c r="AE184" t="str">
        <f>_xlfn.XLOOKUP(B184,Disk_Pivot!G:G,Disk_Pivot!N:N)</f>
        <v>Fail</v>
      </c>
    </row>
    <row r="185" spans="6:31">
      <c r="F185" t="str">
        <f>_xlfn.XLOOKUP(H185,Models!B:B,Models!F:F,"")</f>
        <v/>
      </c>
      <c r="K185">
        <f>_xlfn.XLOOKUP(B185,CPU_Formula!A:A,CPU_Formula!I:I)</f>
        <v>0</v>
      </c>
      <c r="L185" s="13" t="e">
        <f>INDEX(Input!$D$2:$AC$500,
       MATCH(B185, Input!$J$2:$J$500, 0),
       MATCH("Memory Capacity", Input!$D$1:$AC$1, 0))</f>
        <v>#N/A</v>
      </c>
      <c r="M185" s="13" t="e">
        <f>INDEX(Input!$D$2:$AC$500,
       MATCH(B185, Input!$J$2:$J$500, 0),
       MATCH("Memory Type", Input!$D$1:$AC$1, 0))</f>
        <v>#N/A</v>
      </c>
      <c r="N185" s="13" t="e">
        <f t="shared" si="7"/>
        <v>#N/A</v>
      </c>
      <c r="S185" s="13" t="str">
        <f>_xlfn.LET(_xlpm.Result,_xlfn.XLOOKUP(B185,Input!J:J,Input!AA:AA),IF(_xlpm.Result="","",_xlpm.Result))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AB185">IFERROR(IF(_xlfn.XLOOKUP(B185,Input!J:J,Input!N:U)=0,"",
          _xlfn.XLOOKUP(B185,Input!J:J,Input!N:U)),"")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s="13" t="str">
        <v/>
      </c>
      <c r="AB185" s="13" t="str">
        <v/>
      </c>
      <c r="AC185" t="str">
        <f t="shared" si="8"/>
        <v/>
      </c>
      <c r="AD185" t="str">
        <f>_xlfn.XLOOKUP(B:B,Disk_Pivot!G:G,Disk_Pivot!I:I)</f>
        <v>Yes</v>
      </c>
      <c r="AE185" t="str">
        <f>_xlfn.XLOOKUP(B185,Disk_Pivot!G:G,Disk_Pivot!N:N)</f>
        <v>Fail</v>
      </c>
    </row>
    <row r="186" spans="6:31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INDEX(Input!$D$2:$AC$500,
       MATCH(B186, Input!$J$2:$J$500, 0),
       MATCH("Memory Capacity", Input!$D$1:$AC$1, 0))</f>
        <v>#N/A</v>
      </c>
      <c r="M186" s="13" t="e">
        <f>INDEX(Input!$D$2:$AC$500,
       MATCH(B186, Input!$J$2:$J$500, 0),
       MATCH("Memory Type", Input!$D$1:$AC$1, 0))</f>
        <v>#N/A</v>
      </c>
      <c r="N186" s="13" t="e">
        <f t="shared" si="7"/>
        <v>#N/A</v>
      </c>
      <c r="S186" s="13" t="str">
        <f>_xlfn.LET(_xlpm.Result,_xlfn.XLOOKUP(B186,Input!J:J,Input!AA:AA),IF(_xlpm.Result="","",_xlpm.Result))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AB186">IFERROR(IF(_xlfn.XLOOKUP(B186,Input!J:J,Input!N:U)=0,"",
          _xlfn.XLOOKUP(B186,Input!J:J,Input!N:U)),"")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s="13" t="str">
        <v/>
      </c>
      <c r="AB186" s="13" t="str">
        <v/>
      </c>
      <c r="AC186" t="str">
        <f t="shared" si="8"/>
        <v/>
      </c>
      <c r="AD186" t="str">
        <f>_xlfn.XLOOKUP(B:B,Disk_Pivot!G:G,Disk_Pivot!I:I)</f>
        <v>Yes</v>
      </c>
      <c r="AE186" t="str">
        <f>_xlfn.XLOOKUP(B186,Disk_Pivot!G:G,Disk_Pivot!N:N)</f>
        <v>Fail</v>
      </c>
    </row>
    <row r="187" spans="6:31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INDEX(Input!$D$2:$AC$500,
       MATCH(B187, Input!$J$2:$J$500, 0),
       MATCH("Memory Capacity", Input!$D$1:$AC$1, 0))</f>
        <v>#N/A</v>
      </c>
      <c r="M187" s="13" t="e">
        <f>INDEX(Input!$D$2:$AC$500,
       MATCH(B187, Input!$J$2:$J$500, 0),
       MATCH("Memory Type", Input!$D$1:$AC$1, 0))</f>
        <v>#N/A</v>
      </c>
      <c r="N187" s="13" t="e">
        <f t="shared" si="7"/>
        <v>#N/A</v>
      </c>
      <c r="S187" s="13" t="str">
        <f>_xlfn.LET(_xlpm.Result,_xlfn.XLOOKUP(B187,Input!J:J,Input!AA:AA),IF(_xlpm.Result="","",_xlpm.Result))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AB187">IFERROR(IF(_xlfn.XLOOKUP(B187,Input!J:J,Input!N:U)=0,"",
          _xlfn.XLOOKUP(B187,Input!J:J,Input!N:U)),"")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s="13" t="str">
        <v/>
      </c>
      <c r="AB187" s="13" t="str">
        <v/>
      </c>
      <c r="AC187" t="str">
        <f t="shared" si="8"/>
        <v/>
      </c>
      <c r="AD187" t="str">
        <f>_xlfn.XLOOKUP(B:B,Disk_Pivot!G:G,Disk_Pivot!I:I)</f>
        <v>Yes</v>
      </c>
      <c r="AE187" t="str">
        <f>_xlfn.XLOOKUP(B187,Disk_Pivot!G:G,Disk_Pivot!N:N)</f>
        <v>Fail</v>
      </c>
    </row>
    <row r="188" spans="6:31">
      <c r="F188" t="str">
        <f>_xlfn.XLOOKUP(H188,Models!B:B,Models!F:F,"")</f>
        <v/>
      </c>
      <c r="K188">
        <f>_xlfn.XLOOKUP(B188,CPU_Formula!A:A,CPU_Formula!I:I)</f>
        <v>0</v>
      </c>
      <c r="L188" s="13" t="e">
        <f>INDEX(Input!$D$2:$AC$500,
       MATCH(B188, Input!$J$2:$J$500, 0),
       MATCH("Memory Capacity", Input!$D$1:$AC$1, 0))</f>
        <v>#N/A</v>
      </c>
      <c r="M188" s="13" t="e">
        <f>INDEX(Input!$D$2:$AC$500,
       MATCH(B188, Input!$J$2:$J$500, 0),
       MATCH("Memory Type", Input!$D$1:$AC$1, 0))</f>
        <v>#N/A</v>
      </c>
      <c r="N188" s="13" t="e">
        <f t="shared" si="7"/>
        <v>#N/A</v>
      </c>
      <c r="S188" s="13" t="str">
        <f>_xlfn.LET(_xlpm.Result,_xlfn.XLOOKUP(B188,Input!J:J,Input!AA:AA),IF(_xlpm.Result="","",_xlpm.Result))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AB188">IFERROR(IF(_xlfn.XLOOKUP(B188,Input!J:J,Input!N:U)=0,"",
          _xlfn.XLOOKUP(B188,Input!J:J,Input!N:U)),"")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s="13" t="str">
        <v/>
      </c>
      <c r="AB188" s="13" t="str">
        <v/>
      </c>
      <c r="AC188" t="str">
        <f t="shared" si="8"/>
        <v/>
      </c>
      <c r="AD188" t="str">
        <f>_xlfn.XLOOKUP(B:B,Disk_Pivot!G:G,Disk_Pivot!I:I)</f>
        <v>Yes</v>
      </c>
      <c r="AE188" t="str">
        <f>_xlfn.XLOOKUP(B188,Disk_Pivot!G:G,Disk_Pivot!N:N)</f>
        <v>Fail</v>
      </c>
    </row>
    <row r="189" spans="6:31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INDEX(Input!$D$2:$AC$500,
       MATCH(B189, Input!$J$2:$J$500, 0),
       MATCH("Memory Capacity", Input!$D$1:$AC$1, 0))</f>
        <v>#N/A</v>
      </c>
      <c r="M189" s="13" t="e">
        <f>INDEX(Input!$D$2:$AC$500,
       MATCH(B189, Input!$J$2:$J$500, 0),
       MATCH("Memory Type", Input!$D$1:$AC$1, 0))</f>
        <v>#N/A</v>
      </c>
      <c r="N189" s="13" t="e">
        <f t="shared" si="7"/>
        <v>#N/A</v>
      </c>
      <c r="S189" s="13" t="str">
        <f>_xlfn.LET(_xlpm.Result,_xlfn.XLOOKUP(B189,Input!J:J,Input!AA:AA),IF(_xlpm.Result="","",_xlpm.Result))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AB189">IFERROR(IF(_xlfn.XLOOKUP(B189,Input!J:J,Input!N:U)=0,"",
          _xlfn.XLOOKUP(B189,Input!J:J,Input!N:U)),"")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s="13" t="str">
        <v/>
      </c>
      <c r="AB189" s="13" t="str">
        <v/>
      </c>
      <c r="AC189" t="str">
        <f t="shared" si="8"/>
        <v/>
      </c>
      <c r="AD189" t="str">
        <f>_xlfn.XLOOKUP(B:B,Disk_Pivot!G:G,Disk_Pivot!I:I)</f>
        <v>Yes</v>
      </c>
      <c r="AE189" t="str">
        <f>_xlfn.XLOOKUP(B189,Disk_Pivot!G:G,Disk_Pivot!N:N)</f>
        <v>Fail</v>
      </c>
    </row>
    <row r="190" spans="6:31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INDEX(Input!$D$2:$AC$500,
       MATCH(B190, Input!$J$2:$J$500, 0),
       MATCH("Memory Capacity", Input!$D$1:$AC$1, 0))</f>
        <v>#N/A</v>
      </c>
      <c r="M190" s="13" t="e">
        <f>INDEX(Input!$D$2:$AC$500,
       MATCH(B190, Input!$J$2:$J$500, 0),
       MATCH("Memory Type", Input!$D$1:$AC$1, 0))</f>
        <v>#N/A</v>
      </c>
      <c r="N190" s="13" t="e">
        <f t="shared" si="7"/>
        <v>#N/A</v>
      </c>
      <c r="S190" s="13" t="str">
        <f>_xlfn.LET(_xlpm.Result,_xlfn.XLOOKUP(B190,Input!J:J,Input!AA:AA),IF(_xlpm.Result="","",_xlpm.Result))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AB190">IFERROR(IF(_xlfn.XLOOKUP(B190,Input!J:J,Input!N:U)=0,"",
          _xlfn.XLOOKUP(B190,Input!J:J,Input!N:U)),"")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s="13" t="str">
        <v/>
      </c>
      <c r="AB190" s="13" t="str">
        <v/>
      </c>
      <c r="AC190" t="str">
        <f t="shared" si="8"/>
        <v/>
      </c>
      <c r="AD190" t="str">
        <f>_xlfn.XLOOKUP(B:B,Disk_Pivot!G:G,Disk_Pivot!I:I)</f>
        <v>Yes</v>
      </c>
      <c r="AE190" t="str">
        <f>_xlfn.XLOOKUP(B190,Disk_Pivot!G:G,Disk_Pivot!N:N)</f>
        <v>Fail</v>
      </c>
    </row>
    <row r="191" spans="6:31">
      <c r="F191" t="str">
        <f>_xlfn.XLOOKUP(H191,Models!B:B,Models!F:F,"")</f>
        <v/>
      </c>
      <c r="K191">
        <f>_xlfn.XLOOKUP(B191,CPU_Formula!A:A,CPU_Formula!I:I)</f>
        <v>0</v>
      </c>
      <c r="L191" s="13" t="e">
        <f>INDEX(Input!$D$2:$AC$500,
       MATCH(B191, Input!$J$2:$J$500, 0),
       MATCH("Memory Capacity", Input!$D$1:$AC$1, 0))</f>
        <v>#N/A</v>
      </c>
      <c r="M191" s="13" t="e">
        <f>INDEX(Input!$D$2:$AC$500,
       MATCH(B191, Input!$J$2:$J$500, 0),
       MATCH("Memory Type", Input!$D$1:$AC$1, 0))</f>
        <v>#N/A</v>
      </c>
      <c r="N191" s="13" t="e">
        <f t="shared" si="7"/>
        <v>#N/A</v>
      </c>
      <c r="S191" s="13" t="str">
        <f>_xlfn.LET(_xlpm.Result,_xlfn.XLOOKUP(B191,Input!J:J,Input!AA:AA),IF(_xlpm.Result="","",_xlpm.Result))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AB191">IFERROR(IF(_xlfn.XLOOKUP(B191,Input!J:J,Input!N:U)=0,"",
          _xlfn.XLOOKUP(B191,Input!J:J,Input!N:U)),"")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s="13" t="str">
        <v/>
      </c>
      <c r="AB191" s="13" t="str">
        <v/>
      </c>
      <c r="AC191" t="str">
        <f t="shared" si="8"/>
        <v/>
      </c>
      <c r="AD191" t="str">
        <f>_xlfn.XLOOKUP(B:B,Disk_Pivot!G:G,Disk_Pivot!I:I)</f>
        <v>Yes</v>
      </c>
      <c r="AE191" t="str">
        <f>_xlfn.XLOOKUP(B191,Disk_Pivot!G:G,Disk_Pivot!N:N)</f>
        <v>Fail</v>
      </c>
    </row>
    <row r="192" spans="6:31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INDEX(Input!$D$2:$AC$500,
       MATCH(B192, Input!$J$2:$J$500, 0),
       MATCH("Memory Capacity", Input!$D$1:$AC$1, 0))</f>
        <v>#N/A</v>
      </c>
      <c r="M192" s="13" t="e">
        <f>INDEX(Input!$D$2:$AC$500,
       MATCH(B192, Input!$J$2:$J$500, 0),
       MATCH("Memory Type", Input!$D$1:$AC$1, 0))</f>
        <v>#N/A</v>
      </c>
      <c r="N192" s="13" t="e">
        <f t="shared" si="7"/>
        <v>#N/A</v>
      </c>
      <c r="S192" s="13" t="str">
        <f>_xlfn.LET(_xlpm.Result,_xlfn.XLOOKUP(B192,Input!J:J,Input!AA:AA),IF(_xlpm.Result="","",_xlpm.Result))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AB192">IFERROR(IF(_xlfn.XLOOKUP(B192,Input!J:J,Input!N:U)=0,"",
          _xlfn.XLOOKUP(B192,Input!J:J,Input!N:U)),"")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s="13" t="str">
        <v/>
      </c>
      <c r="AB192" s="13" t="str">
        <v/>
      </c>
      <c r="AC192" t="str">
        <f t="shared" si="8"/>
        <v/>
      </c>
      <c r="AD192" t="str">
        <f>_xlfn.XLOOKUP(B:B,Disk_Pivot!G:G,Disk_Pivot!I:I)</f>
        <v>Yes</v>
      </c>
      <c r="AE192" t="str">
        <f>_xlfn.XLOOKUP(B192,Disk_Pivot!G:G,Disk_Pivot!N:N)</f>
        <v>Fail</v>
      </c>
    </row>
    <row r="193" spans="6:31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INDEX(Input!$D$2:$AC$500,
       MATCH(B193, Input!$J$2:$J$500, 0),
       MATCH("Memory Capacity", Input!$D$1:$AC$1, 0))</f>
        <v>#N/A</v>
      </c>
      <c r="M193" s="13" t="e">
        <f>INDEX(Input!$D$2:$AC$500,
       MATCH(B193, Input!$J$2:$J$500, 0),
       MATCH("Memory Type", Input!$D$1:$AC$1, 0))</f>
        <v>#N/A</v>
      </c>
      <c r="N193" s="13" t="e">
        <f t="shared" si="7"/>
        <v>#N/A</v>
      </c>
      <c r="S193" s="13" t="str">
        <f>_xlfn.LET(_xlpm.Result,_xlfn.XLOOKUP(B193,Input!J:J,Input!AA:AA),IF(_xlpm.Result="","",_xlpm.Result))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AB193">IFERROR(IF(_xlfn.XLOOKUP(B193,Input!J:J,Input!N:U)=0,"",
          _xlfn.XLOOKUP(B193,Input!J:J,Input!N:U)),"")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s="13" t="str">
        <v/>
      </c>
      <c r="AB193" s="13" t="str">
        <v/>
      </c>
      <c r="AC193" t="str">
        <f t="shared" si="8"/>
        <v/>
      </c>
      <c r="AD193" t="str">
        <f>_xlfn.XLOOKUP(B:B,Disk_Pivot!G:G,Disk_Pivot!I:I)</f>
        <v>Yes</v>
      </c>
      <c r="AE193" t="str">
        <f>_xlfn.XLOOKUP(B193,Disk_Pivot!G:G,Disk_Pivot!N:N)</f>
        <v>Fail</v>
      </c>
    </row>
    <row r="194" spans="6:31">
      <c r="F194" t="str">
        <f>_xlfn.XLOOKUP(H194,Models!B:B,Models!F:F,"")</f>
        <v/>
      </c>
      <c r="K194">
        <f>_xlfn.XLOOKUP(B194,CPU_Formula!A:A,CPU_Formula!I:I)</f>
        <v>0</v>
      </c>
      <c r="L194" s="13" t="e">
        <f>INDEX(Input!$D$2:$AC$500,
       MATCH(B194, Input!$J$2:$J$500, 0),
       MATCH("Memory Capacity", Input!$D$1:$AC$1, 0))</f>
        <v>#N/A</v>
      </c>
      <c r="M194" s="13" t="e">
        <f>INDEX(Input!$D$2:$AC$500,
       MATCH(B194, Input!$J$2:$J$500, 0),
       MATCH("Memory Type", Input!$D$1:$AC$1, 0))</f>
        <v>#N/A</v>
      </c>
      <c r="N194" s="13" t="e">
        <f t="shared" si="7"/>
        <v>#N/A</v>
      </c>
      <c r="S194" s="13" t="str">
        <f>_xlfn.LET(_xlpm.Result,_xlfn.XLOOKUP(B194,Input!J:J,Input!AA:AA),IF(_xlpm.Result="","",_xlpm.Result))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AB194">IFERROR(IF(_xlfn.XLOOKUP(B194,Input!J:J,Input!N:U)=0,"",
          _xlfn.XLOOKUP(B194,Input!J:J,Input!N:U)),"")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s="13" t="str">
        <v/>
      </c>
      <c r="AB194" s="13" t="str">
        <v/>
      </c>
      <c r="AC194" t="str">
        <f t="shared" si="8"/>
        <v/>
      </c>
      <c r="AD194" t="str">
        <f>_xlfn.XLOOKUP(B:B,Disk_Pivot!G:G,Disk_Pivot!I:I)</f>
        <v>Yes</v>
      </c>
      <c r="AE194" t="str">
        <f>_xlfn.XLOOKUP(B194,Disk_Pivot!G:G,Disk_Pivot!N:N)</f>
        <v>Fail</v>
      </c>
    </row>
    <row r="195" spans="6:31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INDEX(Input!$D$2:$AC$500,
       MATCH(B195, Input!$J$2:$J$500, 0),
       MATCH("Memory Capacity", Input!$D$1:$AC$1, 0))</f>
        <v>#N/A</v>
      </c>
      <c r="M195" s="13" t="e">
        <f>INDEX(Input!$D$2:$AC$500,
       MATCH(B195, Input!$J$2:$J$500, 0),
       MATCH("Memory Type", Input!$D$1:$AC$1, 0))</f>
        <v>#N/A</v>
      </c>
      <c r="N195" s="13" t="e">
        <f t="shared" ref="N195:N254" si="9">IF(ISNUMBER(L195), L195, SUBSTITUTE(SUBSTITUTE(SUBSTITUTE(L195,"GiB","")," ",""),"/","+"))</f>
        <v>#N/A</v>
      </c>
      <c r="S195" s="13" t="str">
        <f>_xlfn.LET(_xlpm.Result,_xlfn.XLOOKUP(B195,Input!J:J,Input!AA:AA),IF(_xlpm.Result="","",_xlpm.Result))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AB195">IFERROR(IF(_xlfn.XLOOKUP(B195,Input!J:J,Input!N:U)=0,"",
          _xlfn.XLOOKUP(B195,Input!J:J,Input!N:U)),"")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s="13" t="str">
        <v/>
      </c>
      <c r="AB195" s="13" t="str">
        <v/>
      </c>
      <c r="AC195" t="str">
        <f t="shared" ref="AC195:AC256" si="10">_xlfn.TEXTJOIN(", ",TRUE,T195,U195,V195,W195,X195,Y195,Z195)</f>
        <v/>
      </c>
      <c r="AD195" t="str">
        <f>_xlfn.XLOOKUP(B:B,Disk_Pivot!G:G,Disk_Pivot!I:I)</f>
        <v>Yes</v>
      </c>
      <c r="AE195" t="str">
        <f>_xlfn.XLOOKUP(B195,Disk_Pivot!G:G,Disk_Pivot!N:N)</f>
        <v>Fail</v>
      </c>
    </row>
    <row r="196" spans="6:31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INDEX(Input!$D$2:$AC$500,
       MATCH(B196, Input!$J$2:$J$500, 0),
       MATCH("Memory Capacity", Input!$D$1:$AC$1, 0))</f>
        <v>#N/A</v>
      </c>
      <c r="M196" s="13" t="e">
        <f>INDEX(Input!$D$2:$AC$500,
       MATCH(B196, Input!$J$2:$J$500, 0),
       MATCH("Memory Type", Input!$D$1:$AC$1, 0))</f>
        <v>#N/A</v>
      </c>
      <c r="N196" s="13" t="e">
        <f t="shared" si="9"/>
        <v>#N/A</v>
      </c>
      <c r="S196" s="13" t="str">
        <f>_xlfn.LET(_xlpm.Result,_xlfn.XLOOKUP(B196,Input!J:J,Input!AA:AA),IF(_xlpm.Result="","",_xlpm.Result))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AB196">IFERROR(IF(_xlfn.XLOOKUP(B196,Input!J:J,Input!N:U)=0,"",
          _xlfn.XLOOKUP(B196,Input!J:J,Input!N:U)),"")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s="13" t="str">
        <v/>
      </c>
      <c r="AB196" s="13" t="str">
        <v/>
      </c>
      <c r="AC196" t="str">
        <f t="shared" si="10"/>
        <v/>
      </c>
      <c r="AD196" t="str">
        <f>_xlfn.XLOOKUP(B:B,Disk_Pivot!G:G,Disk_Pivot!I:I)</f>
        <v>Yes</v>
      </c>
      <c r="AE196" t="str">
        <f>_xlfn.XLOOKUP(B196,Disk_Pivot!G:G,Disk_Pivot!N:N)</f>
        <v>Fail</v>
      </c>
    </row>
    <row r="197" spans="6:31">
      <c r="F197" t="str">
        <f>_xlfn.XLOOKUP(H197,Models!B:B,Models!F:F,"")</f>
        <v/>
      </c>
      <c r="K197">
        <f>_xlfn.XLOOKUP(B197,CPU_Formula!A:A,CPU_Formula!I:I)</f>
        <v>0</v>
      </c>
      <c r="L197" s="13" t="e">
        <f>INDEX(Input!$D$2:$AC$500,
       MATCH(B197, Input!$J$2:$J$500, 0),
       MATCH("Memory Capacity", Input!$D$1:$AC$1, 0))</f>
        <v>#N/A</v>
      </c>
      <c r="M197" s="13" t="e">
        <f>INDEX(Input!$D$2:$AC$500,
       MATCH(B197, Input!$J$2:$J$500, 0),
       MATCH("Memory Type", Input!$D$1:$AC$1, 0))</f>
        <v>#N/A</v>
      </c>
      <c r="N197" s="13" t="e">
        <f t="shared" si="9"/>
        <v>#N/A</v>
      </c>
      <c r="S197" s="13" t="str">
        <f>_xlfn.LET(_xlpm.Result,_xlfn.XLOOKUP(B197,Input!J:J,Input!AA:AA),IF(_xlpm.Result="","",_xlpm.Result))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AB197">IFERROR(IF(_xlfn.XLOOKUP(B197,Input!J:J,Input!N:U)=0,"",
          _xlfn.XLOOKUP(B197,Input!J:J,Input!N:U)),"")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s="13" t="str">
        <v/>
      </c>
      <c r="AB197" s="13" t="str">
        <v/>
      </c>
      <c r="AC197" t="str">
        <f t="shared" si="10"/>
        <v/>
      </c>
      <c r="AD197" t="str">
        <f>_xlfn.XLOOKUP(B:B,Disk_Pivot!G:G,Disk_Pivot!I:I)</f>
        <v>Yes</v>
      </c>
      <c r="AE197" t="str">
        <f>_xlfn.XLOOKUP(B197,Disk_Pivot!G:G,Disk_Pivot!N:N)</f>
        <v>Fail</v>
      </c>
    </row>
    <row r="198" spans="6:31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INDEX(Input!$D$2:$AC$500,
       MATCH(B198, Input!$J$2:$J$500, 0),
       MATCH("Memory Capacity", Input!$D$1:$AC$1, 0))</f>
        <v>#N/A</v>
      </c>
      <c r="M198" s="13" t="e">
        <f>INDEX(Input!$D$2:$AC$500,
       MATCH(B198, Input!$J$2:$J$500, 0),
       MATCH("Memory Type", Input!$D$1:$AC$1, 0))</f>
        <v>#N/A</v>
      </c>
      <c r="N198" s="13" t="e">
        <f t="shared" si="9"/>
        <v>#N/A</v>
      </c>
      <c r="S198" s="13" t="str">
        <f>_xlfn.LET(_xlpm.Result,_xlfn.XLOOKUP(B198,Input!J:J,Input!AA:AA),IF(_xlpm.Result="","",_xlpm.Result))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AB198">IFERROR(IF(_xlfn.XLOOKUP(B198,Input!J:J,Input!N:U)=0,"",
          _xlfn.XLOOKUP(B198,Input!J:J,Input!N:U)),"")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s="13" t="str">
        <v/>
      </c>
      <c r="AB198" s="13" t="str">
        <v/>
      </c>
      <c r="AC198" t="str">
        <f t="shared" si="10"/>
        <v/>
      </c>
      <c r="AD198" t="str">
        <f>_xlfn.XLOOKUP(B:B,Disk_Pivot!G:G,Disk_Pivot!I:I)</f>
        <v>Yes</v>
      </c>
      <c r="AE198" t="str">
        <f>_xlfn.XLOOKUP(B198,Disk_Pivot!G:G,Disk_Pivot!N:N)</f>
        <v>Fail</v>
      </c>
    </row>
    <row r="199" spans="6:31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INDEX(Input!$D$2:$AC$500,
       MATCH(B199, Input!$J$2:$J$500, 0),
       MATCH("Memory Capacity", Input!$D$1:$AC$1, 0))</f>
        <v>#N/A</v>
      </c>
      <c r="M199" s="13" t="e">
        <f>INDEX(Input!$D$2:$AC$500,
       MATCH(B199, Input!$J$2:$J$500, 0),
       MATCH("Memory Type", Input!$D$1:$AC$1, 0))</f>
        <v>#N/A</v>
      </c>
      <c r="N199" s="13" t="e">
        <f t="shared" si="9"/>
        <v>#N/A</v>
      </c>
      <c r="S199" s="13" t="str">
        <f>_xlfn.LET(_xlpm.Result,_xlfn.XLOOKUP(B199,Input!J:J,Input!AA:AA),IF(_xlpm.Result="","",_xlpm.Result))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AB199">IFERROR(IF(_xlfn.XLOOKUP(B199,Input!J:J,Input!N:U)=0,"",
          _xlfn.XLOOKUP(B199,Input!J:J,Input!N:U)),"")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s="13" t="str">
        <v/>
      </c>
      <c r="AB199" s="13" t="str">
        <v/>
      </c>
      <c r="AC199" t="str">
        <f t="shared" si="10"/>
        <v/>
      </c>
      <c r="AD199" t="str">
        <f>_xlfn.XLOOKUP(B:B,Disk_Pivot!G:G,Disk_Pivot!I:I)</f>
        <v>Yes</v>
      </c>
      <c r="AE199" t="str">
        <f>_xlfn.XLOOKUP(B199,Disk_Pivot!G:G,Disk_Pivot!N:N)</f>
        <v>Fail</v>
      </c>
    </row>
    <row r="200" spans="6:31">
      <c r="F200" t="str">
        <f>_xlfn.XLOOKUP(H200,Models!B:B,Models!F:F,"")</f>
        <v/>
      </c>
      <c r="K200">
        <f>_xlfn.XLOOKUP(B200,CPU_Formula!A:A,CPU_Formula!I:I)</f>
        <v>0</v>
      </c>
      <c r="L200" s="13" t="e">
        <f>INDEX(Input!$D$2:$AC$500,
       MATCH(B200, Input!$J$2:$J$500, 0),
       MATCH("Memory Capacity", Input!$D$1:$AC$1, 0))</f>
        <v>#N/A</v>
      </c>
      <c r="M200" s="13" t="e">
        <f>INDEX(Input!$D$2:$AC$500,
       MATCH(B200, Input!$J$2:$J$500, 0),
       MATCH("Memory Type", Input!$D$1:$AC$1, 0))</f>
        <v>#N/A</v>
      </c>
      <c r="N200" s="13" t="e">
        <f t="shared" si="9"/>
        <v>#N/A</v>
      </c>
      <c r="S200" s="13" t="str">
        <f>_xlfn.LET(_xlpm.Result,_xlfn.XLOOKUP(B200,Input!J:J,Input!AA:AA),IF(_xlpm.Result="","",_xlpm.Result))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AB200">IFERROR(IF(_xlfn.XLOOKUP(B200,Input!J:J,Input!N:U)=0,"",
          _xlfn.XLOOKUP(B200,Input!J:J,Input!N:U)),"")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s="13" t="str">
        <v/>
      </c>
      <c r="AB200" s="13" t="str">
        <v/>
      </c>
      <c r="AC200" t="str">
        <f t="shared" si="10"/>
        <v/>
      </c>
      <c r="AD200" t="str">
        <f>_xlfn.XLOOKUP(B:B,Disk_Pivot!G:G,Disk_Pivot!I:I)</f>
        <v>Yes</v>
      </c>
      <c r="AE200" t="str">
        <f>_xlfn.XLOOKUP(B200,Disk_Pivot!G:G,Disk_Pivot!N:N)</f>
        <v>Fail</v>
      </c>
    </row>
    <row r="201" spans="6:31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INDEX(Input!$D$2:$AC$500,
       MATCH(B201, Input!$J$2:$J$500, 0),
       MATCH("Memory Capacity", Input!$D$1:$AC$1, 0))</f>
        <v>#N/A</v>
      </c>
      <c r="M201" s="13" t="e">
        <f>INDEX(Input!$D$2:$AC$500,
       MATCH(B201, Input!$J$2:$J$500, 0),
       MATCH("Memory Type", Input!$D$1:$AC$1, 0))</f>
        <v>#N/A</v>
      </c>
      <c r="N201" s="13" t="e">
        <f t="shared" si="9"/>
        <v>#N/A</v>
      </c>
      <c r="S201" s="13" t="str">
        <f>_xlfn.LET(_xlpm.Result,_xlfn.XLOOKUP(B201,Input!J:J,Input!AA:AA),IF(_xlpm.Result="","",_xlpm.Result))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AB201">IFERROR(IF(_xlfn.XLOOKUP(B201,Input!J:J,Input!N:U)=0,"",
          _xlfn.XLOOKUP(B201,Input!J:J,Input!N:U)),"")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s="13" t="str">
        <v/>
      </c>
      <c r="AB201" s="13" t="str">
        <v/>
      </c>
      <c r="AC201" t="str">
        <f t="shared" si="10"/>
        <v/>
      </c>
      <c r="AD201" t="str">
        <f>_xlfn.XLOOKUP(B:B,Disk_Pivot!G:G,Disk_Pivot!I:I)</f>
        <v>Yes</v>
      </c>
      <c r="AE201" t="str">
        <f>_xlfn.XLOOKUP(B201,Disk_Pivot!G:G,Disk_Pivot!N:N)</f>
        <v>Fail</v>
      </c>
    </row>
    <row r="202" spans="6:31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INDEX(Input!$D$2:$AC$500,
       MATCH(B202, Input!$J$2:$J$500, 0),
       MATCH("Memory Capacity", Input!$D$1:$AC$1, 0))</f>
        <v>#N/A</v>
      </c>
      <c r="M202" s="13" t="e">
        <f>INDEX(Input!$D$2:$AC$500,
       MATCH(B202, Input!$J$2:$J$500, 0),
       MATCH("Memory Type", Input!$D$1:$AC$1, 0))</f>
        <v>#N/A</v>
      </c>
      <c r="N202" s="13" t="e">
        <f t="shared" si="9"/>
        <v>#N/A</v>
      </c>
      <c r="S202" s="13" t="str">
        <f>_xlfn.LET(_xlpm.Result,_xlfn.XLOOKUP(B202,Input!J:J,Input!AA:AA),IF(_xlpm.Result="","",_xlpm.Result))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AB202">IFERROR(IF(_xlfn.XLOOKUP(B202,Input!J:J,Input!N:U)=0,"",
          _xlfn.XLOOKUP(B202,Input!J:J,Input!N:U)),"")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s="13" t="str">
        <v/>
      </c>
      <c r="AB202" s="13" t="str">
        <v/>
      </c>
      <c r="AC202" t="str">
        <f t="shared" si="10"/>
        <v/>
      </c>
      <c r="AD202" t="str">
        <f>_xlfn.XLOOKUP(B:B,Disk_Pivot!G:G,Disk_Pivot!I:I)</f>
        <v>Yes</v>
      </c>
      <c r="AE202" t="str">
        <f>_xlfn.XLOOKUP(B202,Disk_Pivot!G:G,Disk_Pivot!N:N)</f>
        <v>Fail</v>
      </c>
    </row>
    <row r="203" spans="6:31">
      <c r="F203" t="str">
        <f>_xlfn.XLOOKUP(H203,Models!B:B,Models!F:F,"")</f>
        <v/>
      </c>
      <c r="K203">
        <f>_xlfn.XLOOKUP(B203,CPU_Formula!A:A,CPU_Formula!I:I)</f>
        <v>0</v>
      </c>
      <c r="L203" s="13" t="e">
        <f>INDEX(Input!$D$2:$AC$500,
       MATCH(B203, Input!$J$2:$J$500, 0),
       MATCH("Memory Capacity", Input!$D$1:$AC$1, 0))</f>
        <v>#N/A</v>
      </c>
      <c r="M203" s="13" t="e">
        <f>INDEX(Input!$D$2:$AC$500,
       MATCH(B203, Input!$J$2:$J$500, 0),
       MATCH("Memory Type", Input!$D$1:$AC$1, 0))</f>
        <v>#N/A</v>
      </c>
      <c r="N203" s="13" t="e">
        <f t="shared" si="9"/>
        <v>#N/A</v>
      </c>
      <c r="S203" s="13" t="str">
        <f>_xlfn.LET(_xlpm.Result,_xlfn.XLOOKUP(B203,Input!J:J,Input!AA:AA),IF(_xlpm.Result="","",_xlpm.Result))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AB203">IFERROR(IF(_xlfn.XLOOKUP(B203,Input!J:J,Input!N:U)=0,"",
          _xlfn.XLOOKUP(B203,Input!J:J,Input!N:U)),"")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s="13" t="str">
        <v/>
      </c>
      <c r="AB203" s="13" t="str">
        <v/>
      </c>
      <c r="AC203" t="str">
        <f t="shared" si="10"/>
        <v/>
      </c>
      <c r="AD203" t="str">
        <f>_xlfn.XLOOKUP(B:B,Disk_Pivot!G:G,Disk_Pivot!I:I)</f>
        <v>Yes</v>
      </c>
      <c r="AE203" t="str">
        <f>_xlfn.XLOOKUP(B203,Disk_Pivot!G:G,Disk_Pivot!N:N)</f>
        <v>Fail</v>
      </c>
    </row>
    <row r="204" spans="6:31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INDEX(Input!$D$2:$AC$500,
       MATCH(B204, Input!$J$2:$J$500, 0),
       MATCH("Memory Capacity", Input!$D$1:$AC$1, 0))</f>
        <v>#N/A</v>
      </c>
      <c r="M204" s="13" t="e">
        <f>INDEX(Input!$D$2:$AC$500,
       MATCH(B204, Input!$J$2:$J$500, 0),
       MATCH("Memory Type", Input!$D$1:$AC$1, 0))</f>
        <v>#N/A</v>
      </c>
      <c r="N204" s="13" t="e">
        <f t="shared" si="9"/>
        <v>#N/A</v>
      </c>
      <c r="S204" s="13" t="str">
        <f>_xlfn.LET(_xlpm.Result,_xlfn.XLOOKUP(B204,Input!J:J,Input!AA:AA),IF(_xlpm.Result="","",_xlpm.Result))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AB204">IFERROR(IF(_xlfn.XLOOKUP(B204,Input!J:J,Input!N:U)=0,"",
          _xlfn.XLOOKUP(B204,Input!J:J,Input!N:U)),"")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s="13" t="str">
        <v/>
      </c>
      <c r="AB204" s="13" t="str">
        <v/>
      </c>
      <c r="AC204" t="str">
        <f t="shared" si="10"/>
        <v/>
      </c>
      <c r="AD204" t="str">
        <f>_xlfn.XLOOKUP(B:B,Disk_Pivot!G:G,Disk_Pivot!I:I)</f>
        <v>Yes</v>
      </c>
      <c r="AE204" t="str">
        <f>_xlfn.XLOOKUP(B204,Disk_Pivot!G:G,Disk_Pivot!N:N)</f>
        <v>Fail</v>
      </c>
    </row>
    <row r="205" spans="6:31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INDEX(Input!$D$2:$AC$500,
       MATCH(B205, Input!$J$2:$J$500, 0),
       MATCH("Memory Capacity", Input!$D$1:$AC$1, 0))</f>
        <v>#N/A</v>
      </c>
      <c r="M205" s="13" t="e">
        <f>INDEX(Input!$D$2:$AC$500,
       MATCH(B205, Input!$J$2:$J$500, 0),
       MATCH("Memory Type", Input!$D$1:$AC$1, 0))</f>
        <v>#N/A</v>
      </c>
      <c r="N205" s="13" t="e">
        <f t="shared" si="9"/>
        <v>#N/A</v>
      </c>
      <c r="S205" s="13" t="str">
        <f>_xlfn.LET(_xlpm.Result,_xlfn.XLOOKUP(B205,Input!J:J,Input!AA:AA),IF(_xlpm.Result="","",_xlpm.Result))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AB205">IFERROR(IF(_xlfn.XLOOKUP(B205,Input!J:J,Input!N:U)=0,"",
          _xlfn.XLOOKUP(B205,Input!J:J,Input!N:U)),"")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s="13" t="str">
        <v/>
      </c>
      <c r="AB205" s="13" t="str">
        <v/>
      </c>
      <c r="AC205" t="str">
        <f t="shared" si="10"/>
        <v/>
      </c>
      <c r="AD205" t="str">
        <f>_xlfn.XLOOKUP(B:B,Disk_Pivot!G:G,Disk_Pivot!I:I)</f>
        <v>Yes</v>
      </c>
      <c r="AE205" t="str">
        <f>_xlfn.XLOOKUP(B205,Disk_Pivot!G:G,Disk_Pivot!N:N)</f>
        <v>Fail</v>
      </c>
    </row>
    <row r="206" spans="6:31">
      <c r="F206" t="str">
        <f>_xlfn.XLOOKUP(H206,Models!B:B,Models!F:F,"")</f>
        <v/>
      </c>
      <c r="K206">
        <f>_xlfn.XLOOKUP(B206,CPU_Formula!A:A,CPU_Formula!I:I)</f>
        <v>0</v>
      </c>
      <c r="L206" s="13" t="e">
        <f>INDEX(Input!$D$2:$AC$500,
       MATCH(B206, Input!$J$2:$J$500, 0),
       MATCH("Memory Capacity", Input!$D$1:$AC$1, 0))</f>
        <v>#N/A</v>
      </c>
      <c r="M206" s="13" t="e">
        <f>INDEX(Input!$D$2:$AC$500,
       MATCH(B206, Input!$J$2:$J$500, 0),
       MATCH("Memory Type", Input!$D$1:$AC$1, 0))</f>
        <v>#N/A</v>
      </c>
      <c r="N206" s="13" t="e">
        <f t="shared" si="9"/>
        <v>#N/A</v>
      </c>
      <c r="S206" s="13" t="str">
        <f>_xlfn.LET(_xlpm.Result,_xlfn.XLOOKUP(B206,Input!J:J,Input!AA:AA),IF(_xlpm.Result="","",_xlpm.Result))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AB206">IFERROR(IF(_xlfn.XLOOKUP(B206,Input!J:J,Input!N:U)=0,"",
          _xlfn.XLOOKUP(B206,Input!J:J,Input!N:U)),"")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s="13" t="str">
        <v/>
      </c>
      <c r="AB206" s="13" t="str">
        <v/>
      </c>
      <c r="AC206" t="str">
        <f t="shared" si="10"/>
        <v/>
      </c>
      <c r="AD206" t="str">
        <f>_xlfn.XLOOKUP(B:B,Disk_Pivot!G:G,Disk_Pivot!I:I)</f>
        <v>Yes</v>
      </c>
      <c r="AE206" t="str">
        <f>_xlfn.XLOOKUP(B206,Disk_Pivot!G:G,Disk_Pivot!N:N)</f>
        <v>Fail</v>
      </c>
    </row>
    <row r="207" spans="6:31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INDEX(Input!$D$2:$AC$500,
       MATCH(B207, Input!$J$2:$J$500, 0),
       MATCH("Memory Capacity", Input!$D$1:$AC$1, 0))</f>
        <v>#N/A</v>
      </c>
      <c r="M207" s="13" t="e">
        <f>INDEX(Input!$D$2:$AC$500,
       MATCH(B207, Input!$J$2:$J$500, 0),
       MATCH("Memory Type", Input!$D$1:$AC$1, 0))</f>
        <v>#N/A</v>
      </c>
      <c r="N207" s="13" t="e">
        <f t="shared" si="9"/>
        <v>#N/A</v>
      </c>
      <c r="S207" s="13" t="str">
        <f>_xlfn.LET(_xlpm.Result,_xlfn.XLOOKUP(B207,Input!J:J,Input!AA:AA),IF(_xlpm.Result="","",_xlpm.Result))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AB207">IFERROR(IF(_xlfn.XLOOKUP(B207,Input!J:J,Input!N:U)=0,"",
          _xlfn.XLOOKUP(B207,Input!J:J,Input!N:U)),"")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s="13" t="str">
        <v/>
      </c>
      <c r="AB207" s="13" t="str">
        <v/>
      </c>
      <c r="AC207" t="str">
        <f t="shared" si="10"/>
        <v/>
      </c>
      <c r="AD207" t="str">
        <f>_xlfn.XLOOKUP(B:B,Disk_Pivot!G:G,Disk_Pivot!I:I)</f>
        <v>Yes</v>
      </c>
      <c r="AE207" t="str">
        <f>_xlfn.XLOOKUP(B207,Disk_Pivot!G:G,Disk_Pivot!N:N)</f>
        <v>Fail</v>
      </c>
    </row>
    <row r="208" spans="6:31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INDEX(Input!$D$2:$AC$500,
       MATCH(B208, Input!$J$2:$J$500, 0),
       MATCH("Memory Capacity", Input!$D$1:$AC$1, 0))</f>
        <v>#N/A</v>
      </c>
      <c r="M208" s="13" t="e">
        <f>INDEX(Input!$D$2:$AC$500,
       MATCH(B208, Input!$J$2:$J$500, 0),
       MATCH("Memory Type", Input!$D$1:$AC$1, 0))</f>
        <v>#N/A</v>
      </c>
      <c r="N208" s="13" t="e">
        <f t="shared" si="9"/>
        <v>#N/A</v>
      </c>
      <c r="S208" s="13" t="str">
        <f>_xlfn.LET(_xlpm.Result,_xlfn.XLOOKUP(B208,Input!J:J,Input!AA:AA),IF(_xlpm.Result="","",_xlpm.Result))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AB208">IFERROR(IF(_xlfn.XLOOKUP(B208,Input!J:J,Input!N:U)=0,"",
          _xlfn.XLOOKUP(B208,Input!J:J,Input!N:U)),"")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s="13" t="str">
        <v/>
      </c>
      <c r="AB208" s="13" t="str">
        <v/>
      </c>
      <c r="AC208" t="str">
        <f t="shared" si="10"/>
        <v/>
      </c>
      <c r="AD208" t="str">
        <f>_xlfn.XLOOKUP(B:B,Disk_Pivot!G:G,Disk_Pivot!I:I)</f>
        <v>Yes</v>
      </c>
      <c r="AE208" t="str">
        <f>_xlfn.XLOOKUP(B208,Disk_Pivot!G:G,Disk_Pivot!N:N)</f>
        <v>Fail</v>
      </c>
    </row>
    <row r="209" spans="6:31">
      <c r="F209" t="str">
        <f>_xlfn.XLOOKUP(H209,Models!B:B,Models!F:F,"")</f>
        <v/>
      </c>
      <c r="K209">
        <f>_xlfn.XLOOKUP(B209,CPU_Formula!A:A,CPU_Formula!I:I)</f>
        <v>0</v>
      </c>
      <c r="L209" s="13" t="e">
        <f>INDEX(Input!$D$2:$AC$500,
       MATCH(B209, Input!$J$2:$J$500, 0),
       MATCH("Memory Capacity", Input!$D$1:$AC$1, 0))</f>
        <v>#N/A</v>
      </c>
      <c r="M209" s="13" t="e">
        <f>INDEX(Input!$D$2:$AC$500,
       MATCH(B209, Input!$J$2:$J$500, 0),
       MATCH("Memory Type", Input!$D$1:$AC$1, 0))</f>
        <v>#N/A</v>
      </c>
      <c r="N209" s="13" t="e">
        <f t="shared" si="9"/>
        <v>#N/A</v>
      </c>
      <c r="S209" s="13" t="str">
        <f>_xlfn.LET(_xlpm.Result,_xlfn.XLOOKUP(B209,Input!J:J,Input!AA:AA),IF(_xlpm.Result="","",_xlpm.Result))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AB209">IFERROR(IF(_xlfn.XLOOKUP(B209,Input!J:J,Input!N:U)=0,"",
          _xlfn.XLOOKUP(B209,Input!J:J,Input!N:U)),"")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s="13" t="str">
        <v/>
      </c>
      <c r="AB209" s="13" t="str">
        <v/>
      </c>
      <c r="AC209" t="str">
        <f t="shared" si="10"/>
        <v/>
      </c>
      <c r="AD209" t="str">
        <f>_xlfn.XLOOKUP(B:B,Disk_Pivot!G:G,Disk_Pivot!I:I)</f>
        <v>Yes</v>
      </c>
      <c r="AE209" t="str">
        <f>_xlfn.XLOOKUP(B209,Disk_Pivot!G:G,Disk_Pivot!N:N)</f>
        <v>Fail</v>
      </c>
    </row>
    <row r="210" spans="6:31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INDEX(Input!$D$2:$AC$500,
       MATCH(B210, Input!$J$2:$J$500, 0),
       MATCH("Memory Capacity", Input!$D$1:$AC$1, 0))</f>
        <v>#N/A</v>
      </c>
      <c r="M210" s="13" t="e">
        <f>INDEX(Input!$D$2:$AC$500,
       MATCH(B210, Input!$J$2:$J$500, 0),
       MATCH("Memory Type", Input!$D$1:$AC$1, 0))</f>
        <v>#N/A</v>
      </c>
      <c r="N210" s="13" t="e">
        <f t="shared" si="9"/>
        <v>#N/A</v>
      </c>
      <c r="S210" s="13" t="str">
        <f>_xlfn.LET(_xlpm.Result,_xlfn.XLOOKUP(B210,Input!J:J,Input!AA:AA),IF(_xlpm.Result="","",_xlpm.Result))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AB210">IFERROR(IF(_xlfn.XLOOKUP(B210,Input!J:J,Input!N:U)=0,"",
          _xlfn.XLOOKUP(B210,Input!J:J,Input!N:U)),"")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s="13" t="str">
        <v/>
      </c>
      <c r="AB210" s="13" t="str">
        <v/>
      </c>
      <c r="AC210" t="str">
        <f t="shared" si="10"/>
        <v/>
      </c>
      <c r="AD210" t="str">
        <f>_xlfn.XLOOKUP(B:B,Disk_Pivot!G:G,Disk_Pivot!I:I)</f>
        <v>Yes</v>
      </c>
      <c r="AE210" t="str">
        <f>_xlfn.XLOOKUP(B210,Disk_Pivot!G:G,Disk_Pivot!N:N)</f>
        <v>Fail</v>
      </c>
    </row>
    <row r="211" spans="6:31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INDEX(Input!$D$2:$AC$500,
       MATCH(B211, Input!$J$2:$J$500, 0),
       MATCH("Memory Capacity", Input!$D$1:$AC$1, 0))</f>
        <v>#N/A</v>
      </c>
      <c r="M211" s="13" t="e">
        <f>INDEX(Input!$D$2:$AC$500,
       MATCH(B211, Input!$J$2:$J$500, 0),
       MATCH("Memory Type", Input!$D$1:$AC$1, 0))</f>
        <v>#N/A</v>
      </c>
      <c r="N211" s="13" t="e">
        <f t="shared" si="9"/>
        <v>#N/A</v>
      </c>
      <c r="S211" s="13" t="str">
        <f>_xlfn.LET(_xlpm.Result,_xlfn.XLOOKUP(B211,Input!J:J,Input!AA:AA),IF(_xlpm.Result="","",_xlpm.Result))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AB211">IFERROR(IF(_xlfn.XLOOKUP(B211,Input!J:J,Input!N:U)=0,"",
          _xlfn.XLOOKUP(B211,Input!J:J,Input!N:U)),"")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s="13" t="str">
        <v/>
      </c>
      <c r="AB211" s="13" t="str">
        <v/>
      </c>
      <c r="AC211" t="str">
        <f t="shared" si="10"/>
        <v/>
      </c>
      <c r="AD211" t="str">
        <f>_xlfn.XLOOKUP(B:B,Disk_Pivot!G:G,Disk_Pivot!I:I)</f>
        <v>Yes</v>
      </c>
      <c r="AE211" t="str">
        <f>_xlfn.XLOOKUP(B211,Disk_Pivot!G:G,Disk_Pivot!N:N)</f>
        <v>Fail</v>
      </c>
    </row>
    <row r="212" spans="6:31">
      <c r="F212" t="str">
        <f>_xlfn.XLOOKUP(H212,Models!B:B,Models!F:F,"")</f>
        <v/>
      </c>
      <c r="K212">
        <f>_xlfn.XLOOKUP(B212,CPU_Formula!A:A,CPU_Formula!I:I)</f>
        <v>0</v>
      </c>
      <c r="L212" s="13" t="e">
        <f>INDEX(Input!$D$2:$AC$500,
       MATCH(B212, Input!$J$2:$J$500, 0),
       MATCH("Memory Capacity", Input!$D$1:$AC$1, 0))</f>
        <v>#N/A</v>
      </c>
      <c r="M212" s="13" t="e">
        <f>INDEX(Input!$D$2:$AC$500,
       MATCH(B212, Input!$J$2:$J$500, 0),
       MATCH("Memory Type", Input!$D$1:$AC$1, 0))</f>
        <v>#N/A</v>
      </c>
      <c r="N212" s="13" t="e">
        <f t="shared" si="9"/>
        <v>#N/A</v>
      </c>
      <c r="S212" s="13" t="str">
        <f>_xlfn.LET(_xlpm.Result,_xlfn.XLOOKUP(B212,Input!J:J,Input!AA:AA),IF(_xlpm.Result="","",_xlpm.Result))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AB212">IFERROR(IF(_xlfn.XLOOKUP(B212,Input!J:J,Input!N:U)=0,"",
          _xlfn.XLOOKUP(B212,Input!J:J,Input!N:U)),"")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s="13" t="str">
        <v/>
      </c>
      <c r="AB212" s="13" t="str">
        <v/>
      </c>
      <c r="AC212" t="str">
        <f t="shared" si="10"/>
        <v/>
      </c>
      <c r="AD212" t="str">
        <f>_xlfn.XLOOKUP(B:B,Disk_Pivot!G:G,Disk_Pivot!I:I)</f>
        <v>Yes</v>
      </c>
      <c r="AE212" t="str">
        <f>_xlfn.XLOOKUP(B212,Disk_Pivot!G:G,Disk_Pivot!N:N)</f>
        <v>Fail</v>
      </c>
    </row>
    <row r="213" spans="6:31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INDEX(Input!$D$2:$AC$500,
       MATCH(B213, Input!$J$2:$J$500, 0),
       MATCH("Memory Capacity", Input!$D$1:$AC$1, 0))</f>
        <v>#N/A</v>
      </c>
      <c r="M213" s="13" t="e">
        <f>INDEX(Input!$D$2:$AC$500,
       MATCH(B213, Input!$J$2:$J$500, 0),
       MATCH("Memory Type", Input!$D$1:$AC$1, 0))</f>
        <v>#N/A</v>
      </c>
      <c r="N213" s="13" t="e">
        <f t="shared" si="9"/>
        <v>#N/A</v>
      </c>
      <c r="S213" s="13" t="str">
        <f>_xlfn.LET(_xlpm.Result,_xlfn.XLOOKUP(B213,Input!J:J,Input!AA:AA),IF(_xlpm.Result="","",_xlpm.Result))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AB213">IFERROR(IF(_xlfn.XLOOKUP(B213,Input!J:J,Input!N:U)=0,"",
          _xlfn.XLOOKUP(B213,Input!J:J,Input!N:U)),"")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s="13" t="str">
        <v/>
      </c>
      <c r="AB213" s="13" t="str">
        <v/>
      </c>
      <c r="AC213" t="str">
        <f t="shared" si="10"/>
        <v/>
      </c>
      <c r="AD213" t="str">
        <f>_xlfn.XLOOKUP(B:B,Disk_Pivot!G:G,Disk_Pivot!I:I)</f>
        <v>Yes</v>
      </c>
      <c r="AE213" t="str">
        <f>_xlfn.XLOOKUP(B213,Disk_Pivot!G:G,Disk_Pivot!N:N)</f>
        <v>Fail</v>
      </c>
    </row>
    <row r="214" spans="6:31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INDEX(Input!$D$2:$AC$500,
       MATCH(B214, Input!$J$2:$J$500, 0),
       MATCH("Memory Capacity", Input!$D$1:$AC$1, 0))</f>
        <v>#N/A</v>
      </c>
      <c r="M214" s="13" t="e">
        <f>INDEX(Input!$D$2:$AC$500,
       MATCH(B214, Input!$J$2:$J$500, 0),
       MATCH("Memory Type", Input!$D$1:$AC$1, 0))</f>
        <v>#N/A</v>
      </c>
      <c r="N214" s="13" t="e">
        <f t="shared" si="9"/>
        <v>#N/A</v>
      </c>
      <c r="S214" s="13" t="str">
        <f>_xlfn.LET(_xlpm.Result,_xlfn.XLOOKUP(B214,Input!J:J,Input!AA:AA),IF(_xlpm.Result="","",_xlpm.Result))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AB214">IFERROR(IF(_xlfn.XLOOKUP(B214,Input!J:J,Input!N:U)=0,"",
          _xlfn.XLOOKUP(B214,Input!J:J,Input!N:U)),"")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s="13" t="str">
        <v/>
      </c>
      <c r="AB214" s="13" t="str">
        <v/>
      </c>
      <c r="AC214" t="str">
        <f t="shared" si="10"/>
        <v/>
      </c>
      <c r="AD214" t="str">
        <f>_xlfn.XLOOKUP(B:B,Disk_Pivot!G:G,Disk_Pivot!I:I)</f>
        <v>Yes</v>
      </c>
      <c r="AE214" t="str">
        <f>_xlfn.XLOOKUP(B214,Disk_Pivot!G:G,Disk_Pivot!N:N)</f>
        <v>Fail</v>
      </c>
    </row>
    <row r="215" spans="6:31">
      <c r="F215" t="str">
        <f>_xlfn.XLOOKUP(H215,Models!B:B,Models!F:F,"")</f>
        <v/>
      </c>
      <c r="K215">
        <f>_xlfn.XLOOKUP(B215,CPU_Formula!A:A,CPU_Formula!I:I)</f>
        <v>0</v>
      </c>
      <c r="L215" s="13" t="e">
        <f>INDEX(Input!$D$2:$AC$500,
       MATCH(B215, Input!$J$2:$J$500, 0),
       MATCH("Memory Capacity", Input!$D$1:$AC$1, 0))</f>
        <v>#N/A</v>
      </c>
      <c r="M215" s="13" t="e">
        <f>INDEX(Input!$D$2:$AC$500,
       MATCH(B215, Input!$J$2:$J$500, 0),
       MATCH("Memory Type", Input!$D$1:$AC$1, 0))</f>
        <v>#N/A</v>
      </c>
      <c r="N215" s="13" t="e">
        <f t="shared" si="9"/>
        <v>#N/A</v>
      </c>
      <c r="S215" s="13" t="str">
        <f>_xlfn.LET(_xlpm.Result,_xlfn.XLOOKUP(B215,Input!J:J,Input!AA:AA),IF(_xlpm.Result="","",_xlpm.Result))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AB215">IFERROR(IF(_xlfn.XLOOKUP(B215,Input!J:J,Input!N:U)=0,"",
          _xlfn.XLOOKUP(B215,Input!J:J,Input!N:U)),"")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s="13" t="str">
        <v/>
      </c>
      <c r="AB215" s="13" t="str">
        <v/>
      </c>
      <c r="AC215" t="str">
        <f t="shared" si="10"/>
        <v/>
      </c>
      <c r="AD215" t="str">
        <f>_xlfn.XLOOKUP(B:B,Disk_Pivot!G:G,Disk_Pivot!I:I)</f>
        <v>Yes</v>
      </c>
      <c r="AE215" t="str">
        <f>_xlfn.XLOOKUP(B215,Disk_Pivot!G:G,Disk_Pivot!N:N)</f>
        <v>Fail</v>
      </c>
    </row>
    <row r="216" spans="6:31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INDEX(Input!$D$2:$AC$500,
       MATCH(B216, Input!$J$2:$J$500, 0),
       MATCH("Memory Capacity", Input!$D$1:$AC$1, 0))</f>
        <v>#N/A</v>
      </c>
      <c r="M216" s="13" t="e">
        <f>INDEX(Input!$D$2:$AC$500,
       MATCH(B216, Input!$J$2:$J$500, 0),
       MATCH("Memory Type", Input!$D$1:$AC$1, 0))</f>
        <v>#N/A</v>
      </c>
      <c r="N216" s="13" t="e">
        <f t="shared" si="9"/>
        <v>#N/A</v>
      </c>
      <c r="S216" s="13" t="str">
        <f>_xlfn.LET(_xlpm.Result,_xlfn.XLOOKUP(B216,Input!J:J,Input!AA:AA),IF(_xlpm.Result="","",_xlpm.Result))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AB216">IFERROR(IF(_xlfn.XLOOKUP(B216,Input!J:J,Input!N:U)=0,"",
          _xlfn.XLOOKUP(B216,Input!J:J,Input!N:U)),"")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s="13" t="str">
        <v/>
      </c>
      <c r="AB216" s="13" t="str">
        <v/>
      </c>
      <c r="AC216" t="str">
        <f t="shared" si="10"/>
        <v/>
      </c>
      <c r="AD216" t="str">
        <f>_xlfn.XLOOKUP(B:B,Disk_Pivot!G:G,Disk_Pivot!I:I)</f>
        <v>Yes</v>
      </c>
      <c r="AE216" t="str">
        <f>_xlfn.XLOOKUP(B216,Disk_Pivot!G:G,Disk_Pivot!N:N)</f>
        <v>Fail</v>
      </c>
    </row>
    <row r="217" spans="6:31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INDEX(Input!$D$2:$AC$500,
       MATCH(B217, Input!$J$2:$J$500, 0),
       MATCH("Memory Capacity", Input!$D$1:$AC$1, 0))</f>
        <v>#N/A</v>
      </c>
      <c r="M217" s="13" t="e">
        <f>INDEX(Input!$D$2:$AC$500,
       MATCH(B217, Input!$J$2:$J$500, 0),
       MATCH("Memory Type", Input!$D$1:$AC$1, 0))</f>
        <v>#N/A</v>
      </c>
      <c r="N217" s="13" t="e">
        <f t="shared" si="9"/>
        <v>#N/A</v>
      </c>
      <c r="S217" s="13" t="str">
        <f>_xlfn.LET(_xlpm.Result,_xlfn.XLOOKUP(B217,Input!J:J,Input!AA:AA),IF(_xlpm.Result="","",_xlpm.Result))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AB217">IFERROR(IF(_xlfn.XLOOKUP(B217,Input!J:J,Input!N:U)=0,"",
          _xlfn.XLOOKUP(B217,Input!J:J,Input!N:U)),"")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s="13" t="str">
        <v/>
      </c>
      <c r="AB217" s="13" t="str">
        <v/>
      </c>
      <c r="AC217" t="str">
        <f t="shared" si="10"/>
        <v/>
      </c>
      <c r="AD217" t="str">
        <f>_xlfn.XLOOKUP(B:B,Disk_Pivot!G:G,Disk_Pivot!I:I)</f>
        <v>Yes</v>
      </c>
      <c r="AE217" t="str">
        <f>_xlfn.XLOOKUP(B217,Disk_Pivot!G:G,Disk_Pivot!N:N)</f>
        <v>Fail</v>
      </c>
    </row>
    <row r="218" spans="6:31">
      <c r="F218" t="str">
        <f>_xlfn.XLOOKUP(H218,Models!B:B,Models!F:F,"")</f>
        <v/>
      </c>
      <c r="K218">
        <f>_xlfn.XLOOKUP(B218,CPU_Formula!A:A,CPU_Formula!I:I)</f>
        <v>0</v>
      </c>
      <c r="L218" s="13" t="e">
        <f>INDEX(Input!$D$2:$AC$500,
       MATCH(B218, Input!$J$2:$J$500, 0),
       MATCH("Memory Capacity", Input!$D$1:$AC$1, 0))</f>
        <v>#N/A</v>
      </c>
      <c r="M218" s="13" t="e">
        <f>INDEX(Input!$D$2:$AC$500,
       MATCH(B218, Input!$J$2:$J$500, 0),
       MATCH("Memory Type", Input!$D$1:$AC$1, 0))</f>
        <v>#N/A</v>
      </c>
      <c r="N218" s="13" t="e">
        <f t="shared" si="9"/>
        <v>#N/A</v>
      </c>
      <c r="S218" s="13" t="str">
        <f>_xlfn.LET(_xlpm.Result,_xlfn.XLOOKUP(B218,Input!J:J,Input!AA:AA),IF(_xlpm.Result="","",_xlpm.Result))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AB218">IFERROR(IF(_xlfn.XLOOKUP(B218,Input!J:J,Input!N:U)=0,"",
          _xlfn.XLOOKUP(B218,Input!J:J,Input!N:U)),"")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s="13" t="str">
        <v/>
      </c>
      <c r="AB218" s="13" t="str">
        <v/>
      </c>
      <c r="AC218" t="str">
        <f t="shared" si="10"/>
        <v/>
      </c>
      <c r="AD218" t="str">
        <f>_xlfn.XLOOKUP(B:B,Disk_Pivot!G:G,Disk_Pivot!I:I)</f>
        <v>Yes</v>
      </c>
      <c r="AE218" t="str">
        <f>_xlfn.XLOOKUP(B218,Disk_Pivot!G:G,Disk_Pivot!N:N)</f>
        <v>Fail</v>
      </c>
    </row>
    <row r="219" spans="6:31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INDEX(Input!$D$2:$AC$500,
       MATCH(B219, Input!$J$2:$J$500, 0),
       MATCH("Memory Capacity", Input!$D$1:$AC$1, 0))</f>
        <v>#N/A</v>
      </c>
      <c r="M219" s="13" t="e">
        <f>INDEX(Input!$D$2:$AC$500,
       MATCH(B219, Input!$J$2:$J$500, 0),
       MATCH("Memory Type", Input!$D$1:$AC$1, 0))</f>
        <v>#N/A</v>
      </c>
      <c r="N219" s="13" t="e">
        <f t="shared" si="9"/>
        <v>#N/A</v>
      </c>
      <c r="S219" s="13" t="str">
        <f>_xlfn.LET(_xlpm.Result,_xlfn.XLOOKUP(B219,Input!J:J,Input!AA:AA),IF(_xlpm.Result="","",_xlpm.Result))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AB219">IFERROR(IF(_xlfn.XLOOKUP(B219,Input!J:J,Input!N:U)=0,"",
          _xlfn.XLOOKUP(B219,Input!J:J,Input!N:U)),"")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s="13" t="str">
        <v/>
      </c>
      <c r="AB219" s="13" t="str">
        <v/>
      </c>
      <c r="AC219" t="str">
        <f t="shared" si="10"/>
        <v/>
      </c>
      <c r="AD219" t="str">
        <f>_xlfn.XLOOKUP(B:B,Disk_Pivot!G:G,Disk_Pivot!I:I)</f>
        <v>Yes</v>
      </c>
      <c r="AE219" t="str">
        <f>_xlfn.XLOOKUP(B219,Disk_Pivot!G:G,Disk_Pivot!N:N)</f>
        <v>Fail</v>
      </c>
    </row>
    <row r="220" spans="6:31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INDEX(Input!$D$2:$AC$500,
       MATCH(B220, Input!$J$2:$J$500, 0),
       MATCH("Memory Capacity", Input!$D$1:$AC$1, 0))</f>
        <v>#N/A</v>
      </c>
      <c r="M220" s="13" t="e">
        <f>INDEX(Input!$D$2:$AC$500,
       MATCH(B220, Input!$J$2:$J$500, 0),
       MATCH("Memory Type", Input!$D$1:$AC$1, 0))</f>
        <v>#N/A</v>
      </c>
      <c r="N220" s="13" t="e">
        <f t="shared" si="9"/>
        <v>#N/A</v>
      </c>
      <c r="S220" s="13" t="str">
        <f>_xlfn.LET(_xlpm.Result,_xlfn.XLOOKUP(B220,Input!J:J,Input!AA:AA),IF(_xlpm.Result="","",_xlpm.Result))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AB220">IFERROR(IF(_xlfn.XLOOKUP(B220,Input!J:J,Input!N:U)=0,"",
          _xlfn.XLOOKUP(B220,Input!J:J,Input!N:U)),"")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s="13" t="str">
        <v/>
      </c>
      <c r="AB220" s="13" t="str">
        <v/>
      </c>
      <c r="AC220" t="str">
        <f t="shared" si="10"/>
        <v/>
      </c>
      <c r="AD220" t="str">
        <f>_xlfn.XLOOKUP(B:B,Disk_Pivot!G:G,Disk_Pivot!I:I)</f>
        <v>Yes</v>
      </c>
      <c r="AE220" t="str">
        <f>_xlfn.XLOOKUP(B220,Disk_Pivot!G:G,Disk_Pivot!N:N)</f>
        <v>Fail</v>
      </c>
    </row>
    <row r="221" spans="6:31">
      <c r="F221" t="str">
        <f>_xlfn.XLOOKUP(H221,Models!B:B,Models!F:F,"")</f>
        <v/>
      </c>
      <c r="K221">
        <f>_xlfn.XLOOKUP(B221,CPU_Formula!A:A,CPU_Formula!I:I)</f>
        <v>0</v>
      </c>
      <c r="L221" s="13" t="e">
        <f>INDEX(Input!$D$2:$AC$500,
       MATCH(B221, Input!$J$2:$J$500, 0),
       MATCH("Memory Capacity", Input!$D$1:$AC$1, 0))</f>
        <v>#N/A</v>
      </c>
      <c r="M221" s="13" t="e">
        <f>INDEX(Input!$D$2:$AC$500,
       MATCH(B221, Input!$J$2:$J$500, 0),
       MATCH("Memory Type", Input!$D$1:$AC$1, 0))</f>
        <v>#N/A</v>
      </c>
      <c r="N221" s="13" t="e">
        <f t="shared" si="9"/>
        <v>#N/A</v>
      </c>
      <c r="S221" s="13" t="str">
        <f>_xlfn.LET(_xlpm.Result,_xlfn.XLOOKUP(B221,Input!J:J,Input!AA:AA),IF(_xlpm.Result="","",_xlpm.Result))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AB221">IFERROR(IF(_xlfn.XLOOKUP(B221,Input!J:J,Input!N:U)=0,"",
          _xlfn.XLOOKUP(B221,Input!J:J,Input!N:U)),"")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s="13" t="str">
        <v/>
      </c>
      <c r="AB221" s="13" t="str">
        <v/>
      </c>
      <c r="AC221" t="str">
        <f t="shared" si="10"/>
        <v/>
      </c>
      <c r="AD221" t="str">
        <f>_xlfn.XLOOKUP(B:B,Disk_Pivot!G:G,Disk_Pivot!I:I)</f>
        <v>Yes</v>
      </c>
      <c r="AE221" t="str">
        <f>_xlfn.XLOOKUP(B221,Disk_Pivot!G:G,Disk_Pivot!N:N)</f>
        <v>Fail</v>
      </c>
    </row>
    <row r="222" spans="6:31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INDEX(Input!$D$2:$AC$500,
       MATCH(B222, Input!$J$2:$J$500, 0),
       MATCH("Memory Capacity", Input!$D$1:$AC$1, 0))</f>
        <v>#N/A</v>
      </c>
      <c r="M222" s="13" t="e">
        <f>INDEX(Input!$D$2:$AC$500,
       MATCH(B222, Input!$J$2:$J$500, 0),
       MATCH("Memory Type", Input!$D$1:$AC$1, 0))</f>
        <v>#N/A</v>
      </c>
      <c r="N222" s="13" t="e">
        <f t="shared" si="9"/>
        <v>#N/A</v>
      </c>
      <c r="S222" s="13" t="str">
        <f>_xlfn.LET(_xlpm.Result,_xlfn.XLOOKUP(B222,Input!J:J,Input!AA:AA),IF(_xlpm.Result="","",_xlpm.Result))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AB222">IFERROR(IF(_xlfn.XLOOKUP(B222,Input!J:J,Input!N:U)=0,"",
          _xlfn.XLOOKUP(B222,Input!J:J,Input!N:U)),"")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s="13" t="str">
        <v/>
      </c>
      <c r="AB222" s="13" t="str">
        <v/>
      </c>
      <c r="AC222" t="str">
        <f t="shared" si="10"/>
        <v/>
      </c>
      <c r="AD222" t="str">
        <f>_xlfn.XLOOKUP(B:B,Disk_Pivot!G:G,Disk_Pivot!I:I)</f>
        <v>Yes</v>
      </c>
      <c r="AE222" t="str">
        <f>_xlfn.XLOOKUP(B222,Disk_Pivot!G:G,Disk_Pivot!N:N)</f>
        <v>Fail</v>
      </c>
    </row>
    <row r="223" spans="6:31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INDEX(Input!$D$2:$AC$500,
       MATCH(B223, Input!$J$2:$J$500, 0),
       MATCH("Memory Capacity", Input!$D$1:$AC$1, 0))</f>
        <v>#N/A</v>
      </c>
      <c r="M223" s="13" t="e">
        <f>INDEX(Input!$D$2:$AC$500,
       MATCH(B223, Input!$J$2:$J$500, 0),
       MATCH("Memory Type", Input!$D$1:$AC$1, 0))</f>
        <v>#N/A</v>
      </c>
      <c r="N223" s="13" t="e">
        <f t="shared" si="9"/>
        <v>#N/A</v>
      </c>
      <c r="S223" s="13" t="str">
        <f>_xlfn.LET(_xlpm.Result,_xlfn.XLOOKUP(B223,Input!J:J,Input!AA:AA),IF(_xlpm.Result="","",_xlpm.Result))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AB223">IFERROR(IF(_xlfn.XLOOKUP(B223,Input!J:J,Input!N:U)=0,"",
          _xlfn.XLOOKUP(B223,Input!J:J,Input!N:U)),"")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s="13" t="str">
        <v/>
      </c>
      <c r="AB223" s="13" t="str">
        <v/>
      </c>
      <c r="AC223" t="str">
        <f t="shared" si="10"/>
        <v/>
      </c>
      <c r="AD223" t="str">
        <f>_xlfn.XLOOKUP(B:B,Disk_Pivot!G:G,Disk_Pivot!I:I)</f>
        <v>Yes</v>
      </c>
      <c r="AE223" t="str">
        <f>_xlfn.XLOOKUP(B223,Disk_Pivot!G:G,Disk_Pivot!N:N)</f>
        <v>Fail</v>
      </c>
    </row>
    <row r="224" spans="6:31">
      <c r="F224" t="str">
        <f>_xlfn.XLOOKUP(H224,Models!B:B,Models!F:F,"")</f>
        <v/>
      </c>
      <c r="K224">
        <f>_xlfn.XLOOKUP(B224,CPU_Formula!A:A,CPU_Formula!I:I)</f>
        <v>0</v>
      </c>
      <c r="L224" s="13" t="e">
        <f>INDEX(Input!$D$2:$AC$500,
       MATCH(B224, Input!$J$2:$J$500, 0),
       MATCH("Memory Capacity", Input!$D$1:$AC$1, 0))</f>
        <v>#N/A</v>
      </c>
      <c r="M224" s="13" t="e">
        <f>INDEX(Input!$D$2:$AC$500,
       MATCH(B224, Input!$J$2:$J$500, 0),
       MATCH("Memory Type", Input!$D$1:$AC$1, 0))</f>
        <v>#N/A</v>
      </c>
      <c r="N224" s="13" t="e">
        <f t="shared" si="9"/>
        <v>#N/A</v>
      </c>
      <c r="S224" s="13" t="str">
        <f>_xlfn.LET(_xlpm.Result,_xlfn.XLOOKUP(B224,Input!J:J,Input!AA:AA),IF(_xlpm.Result="","",_xlpm.Result))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AB224">IFERROR(IF(_xlfn.XLOOKUP(B224,Input!J:J,Input!N:U)=0,"",
          _xlfn.XLOOKUP(B224,Input!J:J,Input!N:U)),"")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s="13" t="str">
        <v/>
      </c>
      <c r="AB224" s="13" t="str">
        <v/>
      </c>
      <c r="AC224" t="str">
        <f t="shared" si="10"/>
        <v/>
      </c>
      <c r="AD224" t="str">
        <f>_xlfn.XLOOKUP(B:B,Disk_Pivot!G:G,Disk_Pivot!I:I)</f>
        <v>Yes</v>
      </c>
      <c r="AE224" t="str">
        <f>_xlfn.XLOOKUP(B224,Disk_Pivot!G:G,Disk_Pivot!N:N)</f>
        <v>Fail</v>
      </c>
    </row>
    <row r="225" spans="6:31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INDEX(Input!$D$2:$AC$500,
       MATCH(B225, Input!$J$2:$J$500, 0),
       MATCH("Memory Capacity", Input!$D$1:$AC$1, 0))</f>
        <v>#N/A</v>
      </c>
      <c r="M225" s="13" t="e">
        <f>INDEX(Input!$D$2:$AC$500,
       MATCH(B225, Input!$J$2:$J$500, 0),
       MATCH("Memory Type", Input!$D$1:$AC$1, 0))</f>
        <v>#N/A</v>
      </c>
      <c r="N225" s="13" t="e">
        <f t="shared" si="9"/>
        <v>#N/A</v>
      </c>
      <c r="S225" s="13" t="str">
        <f>_xlfn.LET(_xlpm.Result,_xlfn.XLOOKUP(B225,Input!J:J,Input!AA:AA),IF(_xlpm.Result="","",_xlpm.Result))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AB225">IFERROR(IF(_xlfn.XLOOKUP(B225,Input!J:J,Input!N:U)=0,"",
          _xlfn.XLOOKUP(B225,Input!J:J,Input!N:U)),"")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s="13" t="str">
        <v/>
      </c>
      <c r="AB225" s="13" t="str">
        <v/>
      </c>
      <c r="AC225" t="str">
        <f t="shared" si="10"/>
        <v/>
      </c>
      <c r="AD225" t="str">
        <f>_xlfn.XLOOKUP(B:B,Disk_Pivot!G:G,Disk_Pivot!I:I)</f>
        <v>Yes</v>
      </c>
      <c r="AE225" t="str">
        <f>_xlfn.XLOOKUP(B225,Disk_Pivot!G:G,Disk_Pivot!N:N)</f>
        <v>Fail</v>
      </c>
    </row>
    <row r="226" spans="6:31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INDEX(Input!$D$2:$AC$500,
       MATCH(B226, Input!$J$2:$J$500, 0),
       MATCH("Memory Capacity", Input!$D$1:$AC$1, 0))</f>
        <v>#N/A</v>
      </c>
      <c r="M226" s="13" t="e">
        <f>INDEX(Input!$D$2:$AC$500,
       MATCH(B226, Input!$J$2:$J$500, 0),
       MATCH("Memory Type", Input!$D$1:$AC$1, 0))</f>
        <v>#N/A</v>
      </c>
      <c r="N226" s="13" t="e">
        <f t="shared" si="9"/>
        <v>#N/A</v>
      </c>
      <c r="S226" s="13" t="str">
        <f>_xlfn.LET(_xlpm.Result,_xlfn.XLOOKUP(B226,Input!J:J,Input!AA:AA),IF(_xlpm.Result="","",_xlpm.Result))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AB226">IFERROR(IF(_xlfn.XLOOKUP(B226,Input!J:J,Input!N:U)=0,"",
          _xlfn.XLOOKUP(B226,Input!J:J,Input!N:U)),"")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s="13" t="str">
        <v/>
      </c>
      <c r="AB226" s="13" t="str">
        <v/>
      </c>
      <c r="AC226" t="str">
        <f t="shared" si="10"/>
        <v/>
      </c>
      <c r="AD226" t="str">
        <f>_xlfn.XLOOKUP(B:B,Disk_Pivot!G:G,Disk_Pivot!I:I)</f>
        <v>Yes</v>
      </c>
      <c r="AE226" t="str">
        <f>_xlfn.XLOOKUP(B226,Disk_Pivot!G:G,Disk_Pivot!N:N)</f>
        <v>Fail</v>
      </c>
    </row>
    <row r="227" spans="6:31">
      <c r="F227" t="str">
        <f>_xlfn.XLOOKUP(H227,Models!B:B,Models!F:F,"")</f>
        <v/>
      </c>
      <c r="K227">
        <f>_xlfn.XLOOKUP(B227,CPU_Formula!A:A,CPU_Formula!I:I)</f>
        <v>0</v>
      </c>
      <c r="L227" s="13" t="e">
        <f>INDEX(Input!$D$2:$AC$500,
       MATCH(B227, Input!$J$2:$J$500, 0),
       MATCH("Memory Capacity", Input!$D$1:$AC$1, 0))</f>
        <v>#N/A</v>
      </c>
      <c r="M227" s="13" t="e">
        <f>INDEX(Input!$D$2:$AC$500,
       MATCH(B227, Input!$J$2:$J$500, 0),
       MATCH("Memory Type", Input!$D$1:$AC$1, 0))</f>
        <v>#N/A</v>
      </c>
      <c r="N227" s="13" t="e">
        <f t="shared" si="9"/>
        <v>#N/A</v>
      </c>
      <c r="S227" s="13" t="str">
        <f>_xlfn.LET(_xlpm.Result,_xlfn.XLOOKUP(B227,Input!J:J,Input!AA:AA),IF(_xlpm.Result="","",_xlpm.Result))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AB227">IFERROR(IF(_xlfn.XLOOKUP(B227,Input!J:J,Input!N:U)=0,"",
          _xlfn.XLOOKUP(B227,Input!J:J,Input!N:U)),"")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s="13" t="str">
        <v/>
      </c>
      <c r="AB227" s="13" t="str">
        <v/>
      </c>
      <c r="AC227" t="str">
        <f t="shared" si="10"/>
        <v/>
      </c>
      <c r="AD227" t="str">
        <f>_xlfn.XLOOKUP(B:B,Disk_Pivot!G:G,Disk_Pivot!I:I)</f>
        <v>Yes</v>
      </c>
      <c r="AE227" t="str">
        <f>_xlfn.XLOOKUP(B227,Disk_Pivot!G:G,Disk_Pivot!N:N)</f>
        <v>Fail</v>
      </c>
    </row>
    <row r="228" spans="6:31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INDEX(Input!$D$2:$AC$500,
       MATCH(B228, Input!$J$2:$J$500, 0),
       MATCH("Memory Capacity", Input!$D$1:$AC$1, 0))</f>
        <v>#N/A</v>
      </c>
      <c r="M228" s="13" t="e">
        <f>INDEX(Input!$D$2:$AC$500,
       MATCH(B228, Input!$J$2:$J$500, 0),
       MATCH("Memory Type", Input!$D$1:$AC$1, 0))</f>
        <v>#N/A</v>
      </c>
      <c r="N228" s="13" t="e">
        <f t="shared" si="9"/>
        <v>#N/A</v>
      </c>
      <c r="S228" s="13" t="str">
        <f>_xlfn.LET(_xlpm.Result,_xlfn.XLOOKUP(B228,Input!J:J,Input!AA:AA),IF(_xlpm.Result="","",_xlpm.Result))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AB228">IFERROR(IF(_xlfn.XLOOKUP(B228,Input!J:J,Input!N:U)=0,"",
          _xlfn.XLOOKUP(B228,Input!J:J,Input!N:U)),"")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s="13" t="str">
        <v/>
      </c>
      <c r="AB228" s="13" t="str">
        <v/>
      </c>
      <c r="AC228" t="str">
        <f t="shared" si="10"/>
        <v/>
      </c>
      <c r="AD228" t="str">
        <f>_xlfn.XLOOKUP(B:B,Disk_Pivot!G:G,Disk_Pivot!I:I)</f>
        <v>Yes</v>
      </c>
      <c r="AE228" t="str">
        <f>_xlfn.XLOOKUP(B228,Disk_Pivot!G:G,Disk_Pivot!N:N)</f>
        <v>Fail</v>
      </c>
    </row>
    <row r="229" spans="6:31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INDEX(Input!$D$2:$AC$500,
       MATCH(B229, Input!$J$2:$J$500, 0),
       MATCH("Memory Capacity", Input!$D$1:$AC$1, 0))</f>
        <v>#N/A</v>
      </c>
      <c r="M229" s="13" t="e">
        <f>INDEX(Input!$D$2:$AC$500,
       MATCH(B229, Input!$J$2:$J$500, 0),
       MATCH("Memory Type", Input!$D$1:$AC$1, 0))</f>
        <v>#N/A</v>
      </c>
      <c r="N229" s="13" t="e">
        <f t="shared" si="9"/>
        <v>#N/A</v>
      </c>
      <c r="S229" s="13" t="str">
        <f>_xlfn.LET(_xlpm.Result,_xlfn.XLOOKUP(B229,Input!J:J,Input!AA:AA),IF(_xlpm.Result="","",_xlpm.Result))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AB229">IFERROR(IF(_xlfn.XLOOKUP(B229,Input!J:J,Input!N:U)=0,"",
          _xlfn.XLOOKUP(B229,Input!J:J,Input!N:U)),"")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s="13" t="str">
        <v/>
      </c>
      <c r="AB229" s="13" t="str">
        <v/>
      </c>
      <c r="AC229" t="str">
        <f t="shared" si="10"/>
        <v/>
      </c>
      <c r="AD229" t="str">
        <f>_xlfn.XLOOKUP(B:B,Disk_Pivot!G:G,Disk_Pivot!I:I)</f>
        <v>Yes</v>
      </c>
      <c r="AE229" t="str">
        <f>_xlfn.XLOOKUP(B229,Disk_Pivot!G:G,Disk_Pivot!N:N)</f>
        <v>Fail</v>
      </c>
    </row>
    <row r="230" spans="6:31">
      <c r="F230" t="str">
        <f>_xlfn.XLOOKUP(H230,Models!B:B,Models!F:F,"")</f>
        <v/>
      </c>
      <c r="K230">
        <f>_xlfn.XLOOKUP(B230,CPU_Formula!A:A,CPU_Formula!I:I)</f>
        <v>0</v>
      </c>
      <c r="L230" s="13" t="e">
        <f>INDEX(Input!$D$2:$AC$500,
       MATCH(B230, Input!$J$2:$J$500, 0),
       MATCH("Memory Capacity", Input!$D$1:$AC$1, 0))</f>
        <v>#N/A</v>
      </c>
      <c r="M230" s="13" t="e">
        <f>INDEX(Input!$D$2:$AC$500,
       MATCH(B230, Input!$J$2:$J$500, 0),
       MATCH("Memory Type", Input!$D$1:$AC$1, 0))</f>
        <v>#N/A</v>
      </c>
      <c r="N230" s="13" t="e">
        <f t="shared" si="9"/>
        <v>#N/A</v>
      </c>
      <c r="S230" s="13" t="str">
        <f>_xlfn.LET(_xlpm.Result,_xlfn.XLOOKUP(B230,Input!J:J,Input!AA:AA),IF(_xlpm.Result="","",_xlpm.Result))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AB230">IFERROR(IF(_xlfn.XLOOKUP(B230,Input!J:J,Input!N:U)=0,"",
          _xlfn.XLOOKUP(B230,Input!J:J,Input!N:U)),"")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s="13" t="str">
        <v/>
      </c>
      <c r="AB230" s="13" t="str">
        <v/>
      </c>
      <c r="AC230" t="str">
        <f t="shared" si="10"/>
        <v/>
      </c>
      <c r="AD230" t="str">
        <f>_xlfn.XLOOKUP(B:B,Disk_Pivot!G:G,Disk_Pivot!I:I)</f>
        <v>Yes</v>
      </c>
      <c r="AE230" t="str">
        <f>_xlfn.XLOOKUP(B230,Disk_Pivot!G:G,Disk_Pivot!N:N)</f>
        <v>Fail</v>
      </c>
    </row>
    <row r="231" spans="6:31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INDEX(Input!$D$2:$AC$500,
       MATCH(B231, Input!$J$2:$J$500, 0),
       MATCH("Memory Capacity", Input!$D$1:$AC$1, 0))</f>
        <v>#N/A</v>
      </c>
      <c r="M231" s="13" t="e">
        <f>INDEX(Input!$D$2:$AC$500,
       MATCH(B231, Input!$J$2:$J$500, 0),
       MATCH("Memory Type", Input!$D$1:$AC$1, 0))</f>
        <v>#N/A</v>
      </c>
      <c r="N231" s="13" t="e">
        <f t="shared" si="9"/>
        <v>#N/A</v>
      </c>
      <c r="S231" s="13" t="str">
        <f>_xlfn.LET(_xlpm.Result,_xlfn.XLOOKUP(B231,Input!J:J,Input!AA:AA),IF(_xlpm.Result="","",_xlpm.Result))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AB231">IFERROR(IF(_xlfn.XLOOKUP(B231,Input!J:J,Input!N:U)=0,"",
          _xlfn.XLOOKUP(B231,Input!J:J,Input!N:U)),"")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s="13" t="str">
        <v/>
      </c>
      <c r="AB231" s="13" t="str">
        <v/>
      </c>
      <c r="AC231" t="str">
        <f t="shared" si="10"/>
        <v/>
      </c>
      <c r="AD231" t="str">
        <f>_xlfn.XLOOKUP(B:B,Disk_Pivot!G:G,Disk_Pivot!I:I)</f>
        <v>Yes</v>
      </c>
      <c r="AE231" t="str">
        <f>_xlfn.XLOOKUP(B231,Disk_Pivot!G:G,Disk_Pivot!N:N)</f>
        <v>Fail</v>
      </c>
    </row>
    <row r="232" spans="6:31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INDEX(Input!$D$2:$AC$500,
       MATCH(B232, Input!$J$2:$J$500, 0),
       MATCH("Memory Capacity", Input!$D$1:$AC$1, 0))</f>
        <v>#N/A</v>
      </c>
      <c r="M232" s="13" t="e">
        <f>INDEX(Input!$D$2:$AC$500,
       MATCH(B232, Input!$J$2:$J$500, 0),
       MATCH("Memory Type", Input!$D$1:$AC$1, 0))</f>
        <v>#N/A</v>
      </c>
      <c r="N232" s="13" t="e">
        <f t="shared" si="9"/>
        <v>#N/A</v>
      </c>
      <c r="S232" s="13" t="str">
        <f>_xlfn.LET(_xlpm.Result,_xlfn.XLOOKUP(B232,Input!J:J,Input!AA:AA),IF(_xlpm.Result="","",_xlpm.Result))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AB232">IFERROR(IF(_xlfn.XLOOKUP(B232,Input!J:J,Input!N:U)=0,"",
          _xlfn.XLOOKUP(B232,Input!J:J,Input!N:U)),"")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s="13" t="str">
        <v/>
      </c>
      <c r="AB232" s="13" t="str">
        <v/>
      </c>
      <c r="AC232" t="str">
        <f t="shared" si="10"/>
        <v/>
      </c>
      <c r="AD232" t="str">
        <f>_xlfn.XLOOKUP(B:B,Disk_Pivot!G:G,Disk_Pivot!I:I)</f>
        <v>Yes</v>
      </c>
      <c r="AE232" t="str">
        <f>_xlfn.XLOOKUP(B232,Disk_Pivot!G:G,Disk_Pivot!N:N)</f>
        <v>Fail</v>
      </c>
    </row>
    <row r="233" spans="6:31">
      <c r="F233" t="str">
        <f>_xlfn.XLOOKUP(H233,Models!B:B,Models!F:F,"")</f>
        <v/>
      </c>
      <c r="K233">
        <f>_xlfn.XLOOKUP(B233,CPU_Formula!A:A,CPU_Formula!I:I)</f>
        <v>0</v>
      </c>
      <c r="L233" s="13" t="e">
        <f>INDEX(Input!$D$2:$AC$500,
       MATCH(B233, Input!$J$2:$J$500, 0),
       MATCH("Memory Capacity", Input!$D$1:$AC$1, 0))</f>
        <v>#N/A</v>
      </c>
      <c r="M233" s="13" t="e">
        <f>INDEX(Input!$D$2:$AC$500,
       MATCH(B233, Input!$J$2:$J$500, 0),
       MATCH("Memory Type", Input!$D$1:$AC$1, 0))</f>
        <v>#N/A</v>
      </c>
      <c r="N233" s="13" t="e">
        <f t="shared" si="9"/>
        <v>#N/A</v>
      </c>
      <c r="S233" s="13" t="str">
        <f>_xlfn.LET(_xlpm.Result,_xlfn.XLOOKUP(B233,Input!J:J,Input!AA:AA),IF(_xlpm.Result="","",_xlpm.Result))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AB233">IFERROR(IF(_xlfn.XLOOKUP(B233,Input!J:J,Input!N:U)=0,"",
          _xlfn.XLOOKUP(B233,Input!J:J,Input!N:U)),"")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s="13" t="str">
        <v/>
      </c>
      <c r="AB233" s="13" t="str">
        <v/>
      </c>
      <c r="AC233" t="str">
        <f t="shared" si="10"/>
        <v/>
      </c>
      <c r="AD233" t="str">
        <f>_xlfn.XLOOKUP(B:B,Disk_Pivot!G:G,Disk_Pivot!I:I)</f>
        <v>Yes</v>
      </c>
      <c r="AE233" t="str">
        <f>_xlfn.XLOOKUP(B233,Disk_Pivot!G:G,Disk_Pivot!N:N)</f>
        <v>Fail</v>
      </c>
    </row>
    <row r="234" spans="6:31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INDEX(Input!$D$2:$AC$500,
       MATCH(B234, Input!$J$2:$J$500, 0),
       MATCH("Memory Capacity", Input!$D$1:$AC$1, 0))</f>
        <v>#N/A</v>
      </c>
      <c r="M234" s="13" t="e">
        <f>INDEX(Input!$D$2:$AC$500,
       MATCH(B234, Input!$J$2:$J$500, 0),
       MATCH("Memory Type", Input!$D$1:$AC$1, 0))</f>
        <v>#N/A</v>
      </c>
      <c r="N234" s="13" t="e">
        <f t="shared" si="9"/>
        <v>#N/A</v>
      </c>
      <c r="S234" s="13" t="str">
        <f>_xlfn.LET(_xlpm.Result,_xlfn.XLOOKUP(B234,Input!J:J,Input!AA:AA),IF(_xlpm.Result="","",_xlpm.Result))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AB234">IFERROR(IF(_xlfn.XLOOKUP(B234,Input!J:J,Input!N:U)=0,"",
          _xlfn.XLOOKUP(B234,Input!J:J,Input!N:U)),"")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s="13" t="str">
        <v/>
      </c>
      <c r="AB234" s="13" t="str">
        <v/>
      </c>
      <c r="AC234" t="str">
        <f t="shared" si="10"/>
        <v/>
      </c>
      <c r="AD234" t="str">
        <f>_xlfn.XLOOKUP(B:B,Disk_Pivot!G:G,Disk_Pivot!I:I)</f>
        <v>Yes</v>
      </c>
      <c r="AE234" t="str">
        <f>_xlfn.XLOOKUP(B234,Disk_Pivot!G:G,Disk_Pivot!N:N)</f>
        <v>Fail</v>
      </c>
    </row>
    <row r="235" spans="6:31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INDEX(Input!$D$2:$AC$500,
       MATCH(B235, Input!$J$2:$J$500, 0),
       MATCH("Memory Capacity", Input!$D$1:$AC$1, 0))</f>
        <v>#N/A</v>
      </c>
      <c r="M235" s="13" t="e">
        <f>INDEX(Input!$D$2:$AC$500,
       MATCH(B235, Input!$J$2:$J$500, 0),
       MATCH("Memory Type", Input!$D$1:$AC$1, 0))</f>
        <v>#N/A</v>
      </c>
      <c r="N235" s="13" t="e">
        <f t="shared" si="9"/>
        <v>#N/A</v>
      </c>
      <c r="S235" s="13" t="str">
        <f>_xlfn.LET(_xlpm.Result,_xlfn.XLOOKUP(B235,Input!J:J,Input!AA:AA),IF(_xlpm.Result="","",_xlpm.Result))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AB235">IFERROR(IF(_xlfn.XLOOKUP(B235,Input!J:J,Input!N:U)=0,"",
          _xlfn.XLOOKUP(B235,Input!J:J,Input!N:U)),"")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s="13" t="str">
        <v/>
      </c>
      <c r="AB235" s="13" t="str">
        <v/>
      </c>
      <c r="AC235" t="str">
        <f t="shared" si="10"/>
        <v/>
      </c>
      <c r="AD235" t="str">
        <f>_xlfn.XLOOKUP(B:B,Disk_Pivot!G:G,Disk_Pivot!I:I)</f>
        <v>Yes</v>
      </c>
      <c r="AE235" t="str">
        <f>_xlfn.XLOOKUP(B235,Disk_Pivot!G:G,Disk_Pivot!N:N)</f>
        <v>Fail</v>
      </c>
    </row>
    <row r="236" spans="6:31">
      <c r="F236" t="str">
        <f>_xlfn.XLOOKUP(H236,Models!B:B,Models!F:F,"")</f>
        <v/>
      </c>
      <c r="K236">
        <f>_xlfn.XLOOKUP(B236,CPU_Formula!A:A,CPU_Formula!I:I)</f>
        <v>0</v>
      </c>
      <c r="L236" s="13" t="e">
        <f>INDEX(Input!$D$2:$AC$500,
       MATCH(B236, Input!$J$2:$J$500, 0),
       MATCH("Memory Capacity", Input!$D$1:$AC$1, 0))</f>
        <v>#N/A</v>
      </c>
      <c r="M236" s="13" t="e">
        <f>INDEX(Input!$D$2:$AC$500,
       MATCH(B236, Input!$J$2:$J$500, 0),
       MATCH("Memory Type", Input!$D$1:$AC$1, 0))</f>
        <v>#N/A</v>
      </c>
      <c r="N236" s="13" t="e">
        <f t="shared" si="9"/>
        <v>#N/A</v>
      </c>
      <c r="S236" s="13" t="str">
        <f>_xlfn.LET(_xlpm.Result,_xlfn.XLOOKUP(B236,Input!J:J,Input!AA:AA),IF(_xlpm.Result="","",_xlpm.Result))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AB236">IFERROR(IF(_xlfn.XLOOKUP(B236,Input!J:J,Input!N:U)=0,"",
          _xlfn.XLOOKUP(B236,Input!J:J,Input!N:U)),"")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s="13" t="str">
        <v/>
      </c>
      <c r="AB236" s="13" t="str">
        <v/>
      </c>
      <c r="AC236" t="str">
        <f t="shared" si="10"/>
        <v/>
      </c>
      <c r="AD236" t="str">
        <f>_xlfn.XLOOKUP(B:B,Disk_Pivot!G:G,Disk_Pivot!I:I)</f>
        <v>Yes</v>
      </c>
      <c r="AE236" t="str">
        <f>_xlfn.XLOOKUP(B236,Disk_Pivot!G:G,Disk_Pivot!N:N)</f>
        <v>Fail</v>
      </c>
    </row>
    <row r="237" spans="6:31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INDEX(Input!$D$2:$AC$500,
       MATCH(B237, Input!$J$2:$J$500, 0),
       MATCH("Memory Capacity", Input!$D$1:$AC$1, 0))</f>
        <v>#N/A</v>
      </c>
      <c r="M237" s="13" t="e">
        <f>INDEX(Input!$D$2:$AC$500,
       MATCH(B237, Input!$J$2:$J$500, 0),
       MATCH("Memory Type", Input!$D$1:$AC$1, 0))</f>
        <v>#N/A</v>
      </c>
      <c r="N237" s="13" t="e">
        <f t="shared" si="9"/>
        <v>#N/A</v>
      </c>
      <c r="S237" s="13" t="str">
        <f>_xlfn.LET(_xlpm.Result,_xlfn.XLOOKUP(B237,Input!J:J,Input!AA:AA),IF(_xlpm.Result="","",_xlpm.Result))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AB237">IFERROR(IF(_xlfn.XLOOKUP(B237,Input!J:J,Input!N:U)=0,"",
          _xlfn.XLOOKUP(B237,Input!J:J,Input!N:U)),"")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s="13" t="str">
        <v/>
      </c>
      <c r="AB237" s="13" t="str">
        <v/>
      </c>
      <c r="AC237" t="str">
        <f t="shared" si="10"/>
        <v/>
      </c>
      <c r="AD237" t="str">
        <f>_xlfn.XLOOKUP(B:B,Disk_Pivot!G:G,Disk_Pivot!I:I)</f>
        <v>Yes</v>
      </c>
      <c r="AE237" t="str">
        <f>_xlfn.XLOOKUP(B237,Disk_Pivot!G:G,Disk_Pivot!N:N)</f>
        <v>Fail</v>
      </c>
    </row>
    <row r="238" spans="6:31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INDEX(Input!$D$2:$AC$500,
       MATCH(B238, Input!$J$2:$J$500, 0),
       MATCH("Memory Capacity", Input!$D$1:$AC$1, 0))</f>
        <v>#N/A</v>
      </c>
      <c r="M238" s="13" t="e">
        <f>INDEX(Input!$D$2:$AC$500,
       MATCH(B238, Input!$J$2:$J$500, 0),
       MATCH("Memory Type", Input!$D$1:$AC$1, 0))</f>
        <v>#N/A</v>
      </c>
      <c r="N238" s="13" t="e">
        <f t="shared" si="9"/>
        <v>#N/A</v>
      </c>
      <c r="S238" s="13" t="str">
        <f>_xlfn.LET(_xlpm.Result,_xlfn.XLOOKUP(B238,Input!J:J,Input!AA:AA),IF(_xlpm.Result="","",_xlpm.Result))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AB238">IFERROR(IF(_xlfn.XLOOKUP(B238,Input!J:J,Input!N:U)=0,"",
          _xlfn.XLOOKUP(B238,Input!J:J,Input!N:U)),"")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s="13" t="str">
        <v/>
      </c>
      <c r="AB238" s="13" t="str">
        <v/>
      </c>
      <c r="AC238" t="str">
        <f t="shared" si="10"/>
        <v/>
      </c>
      <c r="AD238" t="str">
        <f>_xlfn.XLOOKUP(B:B,Disk_Pivot!G:G,Disk_Pivot!I:I)</f>
        <v>Yes</v>
      </c>
      <c r="AE238" t="str">
        <f>_xlfn.XLOOKUP(B238,Disk_Pivot!G:G,Disk_Pivot!N:N)</f>
        <v>Fail</v>
      </c>
    </row>
    <row r="239" spans="6:31">
      <c r="F239" t="str">
        <f>_xlfn.XLOOKUP(H239,Models!B:B,Models!F:F,"")</f>
        <v/>
      </c>
      <c r="K239">
        <f>_xlfn.XLOOKUP(B239,CPU_Formula!A:A,CPU_Formula!I:I)</f>
        <v>0</v>
      </c>
      <c r="L239" s="13" t="e">
        <f>INDEX(Input!$D$2:$AC$500,
       MATCH(B239, Input!$J$2:$J$500, 0),
       MATCH("Memory Capacity", Input!$D$1:$AC$1, 0))</f>
        <v>#N/A</v>
      </c>
      <c r="M239" s="13" t="e">
        <f>INDEX(Input!$D$2:$AC$500,
       MATCH(B239, Input!$J$2:$J$500, 0),
       MATCH("Memory Type", Input!$D$1:$AC$1, 0))</f>
        <v>#N/A</v>
      </c>
      <c r="N239" s="13" t="e">
        <f t="shared" si="9"/>
        <v>#N/A</v>
      </c>
      <c r="S239" s="13" t="str">
        <f>_xlfn.LET(_xlpm.Result,_xlfn.XLOOKUP(B239,Input!J:J,Input!AA:AA),IF(_xlpm.Result="","",_xlpm.Result))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AB239">IFERROR(IF(_xlfn.XLOOKUP(B239,Input!J:J,Input!N:U)=0,"",
          _xlfn.XLOOKUP(B239,Input!J:J,Input!N:U)),"")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s="13" t="str">
        <v/>
      </c>
      <c r="AB239" s="13" t="str">
        <v/>
      </c>
      <c r="AC239" t="str">
        <f t="shared" si="10"/>
        <v/>
      </c>
      <c r="AD239" t="str">
        <f>_xlfn.XLOOKUP(B:B,Disk_Pivot!G:G,Disk_Pivot!I:I)</f>
        <v>Yes</v>
      </c>
      <c r="AE239" t="str">
        <f>_xlfn.XLOOKUP(B239,Disk_Pivot!G:G,Disk_Pivot!N:N)</f>
        <v>Fail</v>
      </c>
    </row>
    <row r="240" spans="6:31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INDEX(Input!$D$2:$AC$500,
       MATCH(B240, Input!$J$2:$J$500, 0),
       MATCH("Memory Capacity", Input!$D$1:$AC$1, 0))</f>
        <v>#N/A</v>
      </c>
      <c r="M240" s="13" t="e">
        <f>INDEX(Input!$D$2:$AC$500,
       MATCH(B240, Input!$J$2:$J$500, 0),
       MATCH("Memory Type", Input!$D$1:$AC$1, 0))</f>
        <v>#N/A</v>
      </c>
      <c r="N240" s="13" t="e">
        <f t="shared" si="9"/>
        <v>#N/A</v>
      </c>
      <c r="S240" s="13" t="str">
        <f>_xlfn.LET(_xlpm.Result,_xlfn.XLOOKUP(B240,Input!J:J,Input!AA:AA),IF(_xlpm.Result="","",_xlpm.Result))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AB240">IFERROR(IF(_xlfn.XLOOKUP(B240,Input!J:J,Input!N:U)=0,"",
          _xlfn.XLOOKUP(B240,Input!J:J,Input!N:U)),"")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s="13" t="str">
        <v/>
      </c>
      <c r="AB240" s="13" t="str">
        <v/>
      </c>
      <c r="AC240" t="str">
        <f t="shared" si="10"/>
        <v/>
      </c>
      <c r="AD240" t="str">
        <f>_xlfn.XLOOKUP(B:B,Disk_Pivot!G:G,Disk_Pivot!I:I)</f>
        <v>Yes</v>
      </c>
      <c r="AE240" t="str">
        <f>_xlfn.XLOOKUP(B240,Disk_Pivot!G:G,Disk_Pivot!N:N)</f>
        <v>Fail</v>
      </c>
    </row>
    <row r="241" spans="6:31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INDEX(Input!$D$2:$AC$500,
       MATCH(B241, Input!$J$2:$J$500, 0),
       MATCH("Memory Capacity", Input!$D$1:$AC$1, 0))</f>
        <v>#N/A</v>
      </c>
      <c r="M241" s="13" t="e">
        <f>INDEX(Input!$D$2:$AC$500,
       MATCH(B241, Input!$J$2:$J$500, 0),
       MATCH("Memory Type", Input!$D$1:$AC$1, 0))</f>
        <v>#N/A</v>
      </c>
      <c r="N241" s="13" t="e">
        <f t="shared" si="9"/>
        <v>#N/A</v>
      </c>
      <c r="S241" s="13" t="str">
        <f>_xlfn.LET(_xlpm.Result,_xlfn.XLOOKUP(B241,Input!J:J,Input!AA:AA),IF(_xlpm.Result="","",_xlpm.Result))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AB241">IFERROR(IF(_xlfn.XLOOKUP(B241,Input!J:J,Input!N:U)=0,"",
          _xlfn.XLOOKUP(B241,Input!J:J,Input!N:U)),"")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s="13" t="str">
        <v/>
      </c>
      <c r="AB241" s="13" t="str">
        <v/>
      </c>
      <c r="AC241" t="str">
        <f t="shared" si="10"/>
        <v/>
      </c>
      <c r="AD241" t="str">
        <f>_xlfn.XLOOKUP(B:B,Disk_Pivot!G:G,Disk_Pivot!I:I)</f>
        <v>Yes</v>
      </c>
      <c r="AE241" t="str">
        <f>_xlfn.XLOOKUP(B241,Disk_Pivot!G:G,Disk_Pivot!N:N)</f>
        <v>Fail</v>
      </c>
    </row>
    <row r="242" spans="6:31">
      <c r="F242" t="str">
        <f>_xlfn.XLOOKUP(H242,Models!B:B,Models!F:F,"")</f>
        <v/>
      </c>
      <c r="K242">
        <f>_xlfn.XLOOKUP(B242,CPU_Formula!A:A,CPU_Formula!I:I)</f>
        <v>0</v>
      </c>
      <c r="L242" s="13" t="e">
        <f>INDEX(Input!$D$2:$AC$500,
       MATCH(B242, Input!$J$2:$J$500, 0),
       MATCH("Memory Capacity", Input!$D$1:$AC$1, 0))</f>
        <v>#N/A</v>
      </c>
      <c r="M242" s="13" t="e">
        <f>INDEX(Input!$D$2:$AC$500,
       MATCH(B242, Input!$J$2:$J$500, 0),
       MATCH("Memory Type", Input!$D$1:$AC$1, 0))</f>
        <v>#N/A</v>
      </c>
      <c r="N242" s="13" t="e">
        <f t="shared" si="9"/>
        <v>#N/A</v>
      </c>
      <c r="S242" s="13" t="str">
        <f>_xlfn.LET(_xlpm.Result,_xlfn.XLOOKUP(B242,Input!J:J,Input!AA:AA),IF(_xlpm.Result="","",_xlpm.Result))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AB242">IFERROR(IF(_xlfn.XLOOKUP(B242,Input!J:J,Input!N:U)=0,"",
          _xlfn.XLOOKUP(B242,Input!J:J,Input!N:U)),"")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s="13" t="str">
        <v/>
      </c>
      <c r="AB242" s="13" t="str">
        <v/>
      </c>
      <c r="AC242" t="str">
        <f t="shared" si="10"/>
        <v/>
      </c>
      <c r="AD242" t="str">
        <f>_xlfn.XLOOKUP(B:B,Disk_Pivot!G:G,Disk_Pivot!I:I)</f>
        <v>Yes</v>
      </c>
      <c r="AE242" t="str">
        <f>_xlfn.XLOOKUP(B242,Disk_Pivot!G:G,Disk_Pivot!N:N)</f>
        <v>Fail</v>
      </c>
    </row>
    <row r="243" spans="6:31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INDEX(Input!$D$2:$AC$500,
       MATCH(B243, Input!$J$2:$J$500, 0),
       MATCH("Memory Capacity", Input!$D$1:$AC$1, 0))</f>
        <v>#N/A</v>
      </c>
      <c r="M243" s="13" t="e">
        <f>INDEX(Input!$D$2:$AC$500,
       MATCH(B243, Input!$J$2:$J$500, 0),
       MATCH("Memory Type", Input!$D$1:$AC$1, 0))</f>
        <v>#N/A</v>
      </c>
      <c r="N243" s="13" t="e">
        <f t="shared" si="9"/>
        <v>#N/A</v>
      </c>
      <c r="S243" s="13" t="str">
        <f>_xlfn.LET(_xlpm.Result,_xlfn.XLOOKUP(B243,Input!J:J,Input!AA:AA),IF(_xlpm.Result="","",_xlpm.Result))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AB243">IFERROR(IF(_xlfn.XLOOKUP(B243,Input!J:J,Input!N:U)=0,"",
          _xlfn.XLOOKUP(B243,Input!J:J,Input!N:U)),"")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s="13" t="str">
        <v/>
      </c>
      <c r="AB243" s="13" t="str">
        <v/>
      </c>
      <c r="AC243" t="str">
        <f t="shared" si="10"/>
        <v/>
      </c>
      <c r="AD243" t="str">
        <f>_xlfn.XLOOKUP(B:B,Disk_Pivot!G:G,Disk_Pivot!I:I)</f>
        <v>Yes</v>
      </c>
      <c r="AE243" t="str">
        <f>_xlfn.XLOOKUP(B243,Disk_Pivot!G:G,Disk_Pivot!N:N)</f>
        <v>Fail</v>
      </c>
    </row>
    <row r="244" spans="6:31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INDEX(Input!$D$2:$AC$500,
       MATCH(B244, Input!$J$2:$J$500, 0),
       MATCH("Memory Capacity", Input!$D$1:$AC$1, 0))</f>
        <v>#N/A</v>
      </c>
      <c r="M244" s="13" t="e">
        <f>INDEX(Input!$D$2:$AC$500,
       MATCH(B244, Input!$J$2:$J$500, 0),
       MATCH("Memory Type", Input!$D$1:$AC$1, 0))</f>
        <v>#N/A</v>
      </c>
      <c r="N244" s="13" t="e">
        <f t="shared" si="9"/>
        <v>#N/A</v>
      </c>
      <c r="S244" s="13" t="str">
        <f>_xlfn.LET(_xlpm.Result,_xlfn.XLOOKUP(B244,Input!J:J,Input!AA:AA),IF(_xlpm.Result="","",_xlpm.Result))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AB244">IFERROR(IF(_xlfn.XLOOKUP(B244,Input!J:J,Input!N:U)=0,"",
          _xlfn.XLOOKUP(B244,Input!J:J,Input!N:U)),"")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s="13" t="str">
        <v/>
      </c>
      <c r="AB244" s="13" t="str">
        <v/>
      </c>
      <c r="AC244" t="str">
        <f t="shared" si="10"/>
        <v/>
      </c>
      <c r="AD244" t="str">
        <f>_xlfn.XLOOKUP(B:B,Disk_Pivot!G:G,Disk_Pivot!I:I)</f>
        <v>Yes</v>
      </c>
      <c r="AE244" t="str">
        <f>_xlfn.XLOOKUP(B244,Disk_Pivot!G:G,Disk_Pivot!N:N)</f>
        <v>Fail</v>
      </c>
    </row>
    <row r="245" spans="6:31">
      <c r="F245" t="str">
        <f>_xlfn.XLOOKUP(H245,Models!B:B,Models!F:F,"")</f>
        <v/>
      </c>
      <c r="K245">
        <f>_xlfn.XLOOKUP(B245,CPU_Formula!A:A,CPU_Formula!I:I)</f>
        <v>0</v>
      </c>
      <c r="L245" s="13" t="e">
        <f>INDEX(Input!$D$2:$AC$500,
       MATCH(B245, Input!$J$2:$J$500, 0),
       MATCH("Memory Capacity", Input!$D$1:$AC$1, 0))</f>
        <v>#N/A</v>
      </c>
      <c r="M245" s="13" t="e">
        <f>INDEX(Input!$D$2:$AC$500,
       MATCH(B245, Input!$J$2:$J$500, 0),
       MATCH("Memory Type", Input!$D$1:$AC$1, 0))</f>
        <v>#N/A</v>
      </c>
      <c r="N245" s="13" t="e">
        <f t="shared" si="9"/>
        <v>#N/A</v>
      </c>
      <c r="S245" s="13" t="str">
        <f>_xlfn.LET(_xlpm.Result,_xlfn.XLOOKUP(B245,Input!J:J,Input!AA:AA),IF(_xlpm.Result="","",_xlpm.Result))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AB245">IFERROR(IF(_xlfn.XLOOKUP(B245,Input!J:J,Input!N:U)=0,"",
          _xlfn.XLOOKUP(B245,Input!J:J,Input!N:U)),"")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s="13" t="str">
        <v/>
      </c>
      <c r="AB245" s="13" t="str">
        <v/>
      </c>
      <c r="AC245" t="str">
        <f t="shared" si="10"/>
        <v/>
      </c>
      <c r="AD245" t="str">
        <f>_xlfn.XLOOKUP(B:B,Disk_Pivot!G:G,Disk_Pivot!I:I)</f>
        <v>Yes</v>
      </c>
      <c r="AE245" t="str">
        <f>_xlfn.XLOOKUP(B245,Disk_Pivot!G:G,Disk_Pivot!N:N)</f>
        <v>Fail</v>
      </c>
    </row>
    <row r="246" spans="6:31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INDEX(Input!$D$2:$AC$500,
       MATCH(B246, Input!$J$2:$J$500, 0),
       MATCH("Memory Capacity", Input!$D$1:$AC$1, 0))</f>
        <v>#N/A</v>
      </c>
      <c r="M246" s="13" t="e">
        <f>INDEX(Input!$D$2:$AC$500,
       MATCH(B246, Input!$J$2:$J$500, 0),
       MATCH("Memory Type", Input!$D$1:$AC$1, 0))</f>
        <v>#N/A</v>
      </c>
      <c r="N246" s="13" t="e">
        <f t="shared" si="9"/>
        <v>#N/A</v>
      </c>
      <c r="S246" s="13" t="str">
        <f>_xlfn.LET(_xlpm.Result,_xlfn.XLOOKUP(B246,Input!J:J,Input!AA:AA),IF(_xlpm.Result="","",_xlpm.Result))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AB246">IFERROR(IF(_xlfn.XLOOKUP(B246,Input!J:J,Input!N:U)=0,"",
          _xlfn.XLOOKUP(B246,Input!J:J,Input!N:U)),"")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s="13" t="str">
        <v/>
      </c>
      <c r="AB246" s="13" t="str">
        <v/>
      </c>
      <c r="AC246" t="str">
        <f t="shared" si="10"/>
        <v/>
      </c>
      <c r="AD246" t="str">
        <f>_xlfn.XLOOKUP(B:B,Disk_Pivot!G:G,Disk_Pivot!I:I)</f>
        <v>Yes</v>
      </c>
      <c r="AE246" t="str">
        <f>_xlfn.XLOOKUP(B246,Disk_Pivot!G:G,Disk_Pivot!N:N)</f>
        <v>Fail</v>
      </c>
    </row>
    <row r="247" spans="6:31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INDEX(Input!$D$2:$AC$500,
       MATCH(B247, Input!$J$2:$J$500, 0),
       MATCH("Memory Capacity", Input!$D$1:$AC$1, 0))</f>
        <v>#N/A</v>
      </c>
      <c r="M247" s="13" t="e">
        <f>INDEX(Input!$D$2:$AC$500,
       MATCH(B247, Input!$J$2:$J$500, 0),
       MATCH("Memory Type", Input!$D$1:$AC$1, 0))</f>
        <v>#N/A</v>
      </c>
      <c r="N247" s="13" t="e">
        <f t="shared" si="9"/>
        <v>#N/A</v>
      </c>
      <c r="S247" s="13" t="str">
        <f>_xlfn.LET(_xlpm.Result,_xlfn.XLOOKUP(B247,Input!J:J,Input!AA:AA),IF(_xlpm.Result="","",_xlpm.Result))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AB247">IFERROR(IF(_xlfn.XLOOKUP(B247,Input!J:J,Input!N:U)=0,"",
          _xlfn.XLOOKUP(B247,Input!J:J,Input!N:U)),"")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s="13" t="str">
        <v/>
      </c>
      <c r="AB247" s="13" t="str">
        <v/>
      </c>
      <c r="AC247" t="str">
        <f t="shared" si="10"/>
        <v/>
      </c>
      <c r="AD247" t="str">
        <f>_xlfn.XLOOKUP(B:B,Disk_Pivot!G:G,Disk_Pivot!I:I)</f>
        <v>Yes</v>
      </c>
      <c r="AE247" t="str">
        <f>_xlfn.XLOOKUP(B247,Disk_Pivot!G:G,Disk_Pivot!N:N)</f>
        <v>Fail</v>
      </c>
    </row>
    <row r="248" spans="6:31">
      <c r="F248" t="str">
        <f>_xlfn.XLOOKUP(H248,Models!B:B,Models!F:F,"")</f>
        <v/>
      </c>
      <c r="K248">
        <f>_xlfn.XLOOKUP(B248,CPU_Formula!A:A,CPU_Formula!I:I)</f>
        <v>0</v>
      </c>
      <c r="L248" s="13" t="e">
        <f>INDEX(Input!$D$2:$AC$500,
       MATCH(B248, Input!$J$2:$J$500, 0),
       MATCH("Memory Capacity", Input!$D$1:$AC$1, 0))</f>
        <v>#N/A</v>
      </c>
      <c r="M248" s="13" t="e">
        <f>INDEX(Input!$D$2:$AC$500,
       MATCH(B248, Input!$J$2:$J$500, 0),
       MATCH("Memory Type", Input!$D$1:$AC$1, 0))</f>
        <v>#N/A</v>
      </c>
      <c r="N248" s="13" t="e">
        <f t="shared" si="9"/>
        <v>#N/A</v>
      </c>
      <c r="S248" s="13" t="str">
        <f>_xlfn.LET(_xlpm.Result,_xlfn.XLOOKUP(B248,Input!J:J,Input!AA:AA),IF(_xlpm.Result="","",_xlpm.Result))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AB248">IFERROR(IF(_xlfn.XLOOKUP(B248,Input!J:J,Input!N:U)=0,"",
          _xlfn.XLOOKUP(B248,Input!J:J,Input!N:U)),"")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s="13" t="str">
        <v/>
      </c>
      <c r="AB248" s="13" t="str">
        <v/>
      </c>
      <c r="AC248" t="str">
        <f t="shared" si="10"/>
        <v/>
      </c>
      <c r="AD248" t="str">
        <f>_xlfn.XLOOKUP(B:B,Disk_Pivot!G:G,Disk_Pivot!I:I)</f>
        <v>Yes</v>
      </c>
      <c r="AE248" t="str">
        <f>_xlfn.XLOOKUP(B248,Disk_Pivot!G:G,Disk_Pivot!N:N)</f>
        <v>Fail</v>
      </c>
    </row>
    <row r="249" spans="6:31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INDEX(Input!$D$2:$AC$500,
       MATCH(B249, Input!$J$2:$J$500, 0),
       MATCH("Memory Capacity", Input!$D$1:$AC$1, 0))</f>
        <v>#N/A</v>
      </c>
      <c r="M249" s="13" t="e">
        <f>INDEX(Input!$D$2:$AC$500,
       MATCH(B249, Input!$J$2:$J$500, 0),
       MATCH("Memory Type", Input!$D$1:$AC$1, 0))</f>
        <v>#N/A</v>
      </c>
      <c r="N249" s="13" t="e">
        <f t="shared" si="9"/>
        <v>#N/A</v>
      </c>
      <c r="S249" s="13" t="str">
        <f>_xlfn.LET(_xlpm.Result,_xlfn.XLOOKUP(B249,Input!J:J,Input!AA:AA),IF(_xlpm.Result="","",_xlpm.Result))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AB249">IFERROR(IF(_xlfn.XLOOKUP(B249,Input!J:J,Input!N:U)=0,"",
          _xlfn.XLOOKUP(B249,Input!J:J,Input!N:U)),"")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s="13" t="str">
        <v/>
      </c>
      <c r="AB249" s="13" t="str">
        <v/>
      </c>
      <c r="AC249" t="str">
        <f t="shared" si="10"/>
        <v/>
      </c>
      <c r="AD249" t="str">
        <f>_xlfn.XLOOKUP(B:B,Disk_Pivot!G:G,Disk_Pivot!I:I)</f>
        <v>Yes</v>
      </c>
      <c r="AE249" t="str">
        <f>_xlfn.XLOOKUP(B249,Disk_Pivot!G:G,Disk_Pivot!N:N)</f>
        <v>Fail</v>
      </c>
    </row>
    <row r="250" spans="6:31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INDEX(Input!$D$2:$AC$500,
       MATCH(B250, Input!$J$2:$J$500, 0),
       MATCH("Memory Capacity", Input!$D$1:$AC$1, 0))</f>
        <v>#N/A</v>
      </c>
      <c r="M250" s="13" t="e">
        <f>INDEX(Input!$D$2:$AC$500,
       MATCH(B250, Input!$J$2:$J$500, 0),
       MATCH("Memory Type", Input!$D$1:$AC$1, 0))</f>
        <v>#N/A</v>
      </c>
      <c r="N250" s="13" t="e">
        <f t="shared" si="9"/>
        <v>#N/A</v>
      </c>
      <c r="S250" s="13" t="str">
        <f>_xlfn.LET(_xlpm.Result,_xlfn.XLOOKUP(B250,Input!J:J,Input!AA:AA),IF(_xlpm.Result="","",_xlpm.Result))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AB250">IFERROR(IF(_xlfn.XLOOKUP(B250,Input!J:J,Input!N:U)=0,"",
          _xlfn.XLOOKUP(B250,Input!J:J,Input!N:U)),"")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s="13" t="str">
        <v/>
      </c>
      <c r="AB250" s="13" t="str">
        <v/>
      </c>
      <c r="AC250" t="str">
        <f t="shared" si="10"/>
        <v/>
      </c>
      <c r="AD250" t="str">
        <f>_xlfn.XLOOKUP(B:B,Disk_Pivot!G:G,Disk_Pivot!I:I)</f>
        <v>Yes</v>
      </c>
      <c r="AE250" t="str">
        <f>_xlfn.XLOOKUP(B250,Disk_Pivot!G:G,Disk_Pivot!N:N)</f>
        <v>Fail</v>
      </c>
    </row>
    <row r="251" spans="6:31">
      <c r="F251" t="str">
        <f>_xlfn.XLOOKUP(H251,Models!B:B,Models!F:F,"")</f>
        <v/>
      </c>
      <c r="K251">
        <f>_xlfn.XLOOKUP(B251,CPU_Formula!A:A,CPU_Formula!I:I)</f>
        <v>0</v>
      </c>
      <c r="L251" s="13" t="e">
        <f>INDEX(Input!$D$2:$AC$500,
       MATCH(B251, Input!$J$2:$J$500, 0),
       MATCH("Memory Capacity", Input!$D$1:$AC$1, 0))</f>
        <v>#N/A</v>
      </c>
      <c r="M251" s="13" t="e">
        <f>INDEX(Input!$D$2:$AC$500,
       MATCH(B251, Input!$J$2:$J$500, 0),
       MATCH("Memory Type", Input!$D$1:$AC$1, 0))</f>
        <v>#N/A</v>
      </c>
      <c r="N251" s="13" t="e">
        <f t="shared" si="9"/>
        <v>#N/A</v>
      </c>
      <c r="S251" s="13" t="str">
        <f>_xlfn.LET(_xlpm.Result,_xlfn.XLOOKUP(B251,Input!J:J,Input!AA:AA),IF(_xlpm.Result="","",_xlpm.Result))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AB251">IFERROR(IF(_xlfn.XLOOKUP(B251,Input!J:J,Input!N:U)=0,"",
          _xlfn.XLOOKUP(B251,Input!J:J,Input!N:U)),"")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s="13" t="str">
        <v/>
      </c>
      <c r="AB251" s="13" t="str">
        <v/>
      </c>
      <c r="AC251" t="str">
        <f t="shared" si="10"/>
        <v/>
      </c>
      <c r="AD251" t="str">
        <f>_xlfn.XLOOKUP(B:B,Disk_Pivot!G:G,Disk_Pivot!I:I)</f>
        <v>Yes</v>
      </c>
      <c r="AE251" t="str">
        <f>_xlfn.XLOOKUP(B251,Disk_Pivot!G:G,Disk_Pivot!N:N)</f>
        <v>Fail</v>
      </c>
    </row>
    <row r="252" spans="6:31">
      <c r="F252" t="str">
        <f>_xlfn.XLOOKUP(H252,Models!B:B,Models!F:F,"")</f>
        <v/>
      </c>
      <c r="K252">
        <f>_xlfn.XLOOKUP(B252,CPU_Formula!A:A,CPU_Formula!I:I)</f>
        <v>0</v>
      </c>
      <c r="L252" s="13" t="e">
        <f>INDEX(Input!$D$2:$AC$500,
       MATCH(B252, Input!$J$2:$J$500, 0),
       MATCH("Memory Capacity", Input!$D$1:$AC$1, 0))</f>
        <v>#N/A</v>
      </c>
      <c r="M252" s="13" t="e">
        <f>INDEX(Input!$D$2:$AC$500,
       MATCH(B252, Input!$J$2:$J$500, 0),
       MATCH("Memory Type", Input!$D$1:$AC$1, 0))</f>
        <v>#N/A</v>
      </c>
      <c r="N252" s="13" t="e">
        <f t="shared" si="9"/>
        <v>#N/A</v>
      </c>
      <c r="S252" s="13" t="str">
        <f>_xlfn.LET(_xlpm.Result,_xlfn.XLOOKUP(B252,Input!J:J,Input!AA:AA),IF(_xlpm.Result="","",_xlpm.Result))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AB252">IFERROR(IF(_xlfn.XLOOKUP(B252,Input!J:J,Input!N:U)=0,"",
          _xlfn.XLOOKUP(B252,Input!J:J,Input!N:U)),"")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s="13" t="str">
        <v/>
      </c>
      <c r="AB252" s="13" t="str">
        <v/>
      </c>
      <c r="AC252" t="str">
        <f t="shared" si="10"/>
        <v/>
      </c>
      <c r="AD252" t="str">
        <f>_xlfn.XLOOKUP(B:B,Disk_Pivot!G:G,Disk_Pivot!I:I)</f>
        <v>Yes</v>
      </c>
      <c r="AE252" t="str">
        <f>_xlfn.XLOOKUP(B252,Disk_Pivot!G:G,Disk_Pivot!N:N)</f>
        <v>Fail</v>
      </c>
    </row>
    <row r="253" spans="6:31">
      <c r="F253" t="str">
        <f>_xlfn.XLOOKUP(H253,Models!B:B,Models!F:F,"")</f>
        <v/>
      </c>
      <c r="K253">
        <f>_xlfn.XLOOKUP(B253,CPU_Formula!A:A,CPU_Formula!I:I)</f>
        <v>0</v>
      </c>
      <c r="L253" s="13" t="e">
        <f>INDEX(Input!$D$2:$AC$500,
       MATCH(B253, Input!$J$2:$J$500, 0),
       MATCH("Memory Capacity", Input!$D$1:$AC$1, 0))</f>
        <v>#N/A</v>
      </c>
      <c r="M253" s="13" t="e">
        <f>INDEX(Input!$D$2:$AC$500,
       MATCH(B253, Input!$J$2:$J$500, 0),
       MATCH("Memory Type", Input!$D$1:$AC$1, 0))</f>
        <v>#N/A</v>
      </c>
      <c r="N253" s="13" t="e">
        <f t="shared" si="9"/>
        <v>#N/A</v>
      </c>
      <c r="S253" s="13" t="str">
        <f>_xlfn.LET(_xlpm.Result,_xlfn.XLOOKUP(B253,Input!J:J,Input!AA:AA),IF(_xlpm.Result="","",_xlpm.Result))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Z253">IFERROR(IF(_xlfn.XLOOKUP(B254,Input!J:J,Input!N:S)=0,"",
          _xlfn.XLOOKUP(B254,Input!J:J,Input!N:S)),"")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C253" t="str">
        <f t="shared" si="10"/>
        <v/>
      </c>
    </row>
    <row r="254" spans="6:31">
      <c r="F254">
        <f>_xlfn.XLOOKUP(H254,Models!B:B,Models!F:F,"")</f>
        <v>0</v>
      </c>
      <c r="K254">
        <f>_xlfn.XLOOKUP(B254,CPU_Formula!A:A,CPU_Formula!I:I)</f>
        <v>0</v>
      </c>
      <c r="L254" s="13" t="e">
        <f>INDEX(Input!$D$2:$AC$500,
       MATCH(B254, Input!$J$2:$J$500, 0),
       MATCH("Memory Capacity", Input!$D$1:$AC$1, 0))</f>
        <v>#N/A</v>
      </c>
      <c r="M254" s="13" t="e">
        <f>INDEX(Input!$D$2:$AC$500,
       MATCH(B254, Input!$J$2:$J$500, 0),
       MATCH("Memory Type", Input!$D$1:$AC$1, 0))</f>
        <v>#N/A</v>
      </c>
      <c r="N254" s="13" t="e">
        <f t="shared" si="9"/>
        <v>#N/A</v>
      </c>
      <c r="S254" s="13" t="str">
        <f>_xlfn.LET(_xlpm.Result,_xlfn.XLOOKUP(B254,Input!J:J,Input!AA:AA),IF(_xlpm.Result="","",_xlpm.Result))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Z254">IFERROR(IF(_xlfn.XLOOKUP(B255,Input!J:J,Input!N:S)=0,"",
          _xlfn.XLOOKUP(B255,Input!J:J,Input!N:S)),"")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C254" t="str">
        <f t="shared" si="10"/>
        <v/>
      </c>
    </row>
    <row r="255" spans="6:31">
      <c r="K255">
        <f>_xlfn.XLOOKUP(B255,CPU_Formula!A:A,CPU_Formula!I:I)</f>
        <v>0</v>
      </c>
      <c r="S255" s="13" t="str">
        <f>_xlfn.LET(_xlpm.Result,_xlfn.XLOOKUP(B255,Input!J:J,Input!AA:AA),IF(_xlpm.Result="","",_xlpm.Result))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Z255">IFERROR(IF(_xlfn.XLOOKUP(B256,Input!J:J,Input!N:S)=0,"",
          _xlfn.XLOOKUP(B256,Input!J:J,Input!N:S)),"")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C255" t="str">
        <f t="shared" si="10"/>
        <v/>
      </c>
    </row>
    <row r="256" spans="6:31">
      <c r="K256">
        <f>_xlfn.XLOOKUP(B256,CPU_Formula!A:A,CPU_Formula!I:I)</f>
        <v>0</v>
      </c>
      <c r="S256" s="13" t="str">
        <f>_xlfn.LET(_xlpm.Result,_xlfn.XLOOKUP(B256,Input!J:J,Input!AA:AA),IF(_xlpm.Result="","",_xlpm.Result))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Z256">IFERROR(IF(_xlfn.XLOOKUP(B257,Input!J:J,Input!N:S)=0,"",
          _xlfn.XLOOKUP(B257,Input!J:J,Input!N:S)),"")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C256" t="str">
        <f t="shared" si="10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_xlfn.LET(_xlpm.Result,_xlfn.XLOOKUP(B257,Input!J:J,Input!AA:AA),IF(_xlpm.Result="","",_xlpm.Result))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_xlfn.LET(_xlpm.Result,_xlfn.XLOOKUP(B258,Input!J:J,Input!AA:AA),IF(_xlpm.Result="","",_xlpm.Result))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_xlfn.LET(_xlpm.Result,_xlfn.XLOOKUP(B259,Input!J:J,Input!AA:AA),IF(_xlpm.Result="","",_xlpm.Result))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_xlfn.LET(_xlpm.Result,_xlfn.XLOOKUP(B260,Input!J:J,Input!AA:AA),IF(_xlpm.Result="","",_xlpm.Result))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693"/>
  <sheetViews>
    <sheetView workbookViewId="0">
      <selection activeCell="N37" sqref="N37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59</v>
      </c>
      <c r="B1" s="12" t="s">
        <v>287</v>
      </c>
      <c r="C1" s="12" t="s">
        <v>543</v>
      </c>
      <c r="D1" s="12" t="s">
        <v>283</v>
      </c>
      <c r="E1" s="12" t="s">
        <v>284</v>
      </c>
      <c r="F1" s="12" t="s">
        <v>544</v>
      </c>
      <c r="G1" s="12" t="s">
        <v>285</v>
      </c>
      <c r="H1" s="12" t="s">
        <v>286</v>
      </c>
      <c r="I1" s="1" t="s">
        <v>9</v>
      </c>
    </row>
    <row r="2" spans="1:9" ht="15.75" thickTop="1">
      <c r="A2">
        <f>CSV!B2</f>
        <v>0</v>
      </c>
      <c r="B2" s="13" t="e">
        <f>INDEX(Input!$D$2:$AC$500,
       MATCH(CPU_Formula!A2, Input!$J$2:$J$500, 0),
       MATCH("CPU model", Input!$D$1:$AC$1, 0))</f>
        <v>#N/A</v>
      </c>
      <c r="C2" s="13" t="str">
        <f>IFERROR(_xlfn.TEXTAFTER(B2,"Core(TM) "),IFERROR(_xlfn.TEXTAFTER(B2,"Xeon(R) CPU"),""))</f>
        <v/>
      </c>
      <c r="D2" s="13" t="str">
        <f t="shared" ref="D2:D65" si="0">IF(ISNUMBER(SEARCH("Ryzen", B2)), _xlfn.TEXTAFTER(B2, "AMD"), "")</f>
        <v/>
      </c>
      <c r="E2" s="13" t="str">
        <f t="shared" ref="E2:E65" si="1">IF(ISNUMBER(SEARCH("Ultra", B2)), "Ultra"&amp;_xlfn.TEXTAFTER(B2, "Ultra"), "")</f>
        <v/>
      </c>
      <c r="F2" s="13" t="str">
        <f t="shared" ref="F2:F65" si="2">IF(C2&lt;&gt;"", TRIM(_xlfn.TEXTBEFORE(C2," ",,1,1)), "")</f>
        <v/>
      </c>
      <c r="G2" s="13" t="str">
        <f t="shared" ref="G2:G65" si="3">IFERROR(_xlfn.TEXTBEFORE(D2,"w/"),"")</f>
        <v/>
      </c>
      <c r="H2" s="13" t="str">
        <f t="shared" ref="H2:H65" si="4">E2</f>
        <v/>
      </c>
      <c r="I2" t="str">
        <f t="shared" ref="I2:I65" si="5">IF(H2&lt;&gt;"",H2,IF(G2&lt;&gt;"",G2,F2))</f>
        <v/>
      </c>
    </row>
    <row r="3" spans="1:9">
      <c r="A3">
        <f>CSV!B3</f>
        <v>0</v>
      </c>
      <c r="B3" s="13" t="e">
        <f>INDEX(Input!$D$2:$AC$500,
       MATCH(CPU_Formula!A3, Input!$J$2:$J$500, 0),
       MATCH("CPU model", Input!$D$1:$AC$1, 0))</f>
        <v>#N/A</v>
      </c>
      <c r="C3" s="13" t="str">
        <f t="shared" ref="C3:C66" si="6">IFERROR(_xlfn.TEXTAFTER(B3,"Core(TM) "),IFERROR(_xlfn.TEXTAFTER(B3,"Xeon(R) CPU"),""))</f>
        <v/>
      </c>
      <c r="D3" s="13" t="str">
        <f t="shared" si="0"/>
        <v/>
      </c>
      <c r="E3" s="13" t="str">
        <f t="shared" si="1"/>
        <v/>
      </c>
      <c r="F3" s="13" t="str">
        <f t="shared" si="2"/>
        <v/>
      </c>
      <c r="G3" s="13" t="str">
        <f t="shared" si="3"/>
        <v/>
      </c>
      <c r="H3" s="13" t="str">
        <f t="shared" si="4"/>
        <v/>
      </c>
      <c r="I3" t="str">
        <f t="shared" si="5"/>
        <v/>
      </c>
    </row>
    <row r="4" spans="1:9">
      <c r="A4">
        <f>CSV!B4</f>
        <v>0</v>
      </c>
      <c r="B4" s="13" t="e">
        <f>INDEX(Input!$D$2:$AC$500,
       MATCH(CPU_Formula!A4, Input!$J$2:$J$500, 0),
       MATCH("CPU model", Input!$D$1:$AC$1, 0))</f>
        <v>#N/A</v>
      </c>
      <c r="C4" s="13" t="str">
        <f t="shared" si="6"/>
        <v/>
      </c>
      <c r="D4" s="13" t="str">
        <f t="shared" si="0"/>
        <v/>
      </c>
      <c r="E4" s="13" t="str">
        <f t="shared" si="1"/>
        <v/>
      </c>
      <c r="F4" s="13" t="str">
        <f t="shared" si="2"/>
        <v/>
      </c>
      <c r="G4" s="13" t="str">
        <f t="shared" si="3"/>
        <v/>
      </c>
      <c r="H4" s="13" t="str">
        <f t="shared" si="4"/>
        <v/>
      </c>
      <c r="I4" t="str">
        <f t="shared" si="5"/>
        <v/>
      </c>
    </row>
    <row r="5" spans="1:9">
      <c r="A5">
        <f>CSV!B5</f>
        <v>0</v>
      </c>
      <c r="B5" s="13" t="e">
        <f>INDEX(Input!$D$2:$AC$500,
       MATCH(CPU_Formula!A5, Input!$J$2:$J$500, 0),
       MATCH("CPU model", Input!$D$1:$AC$1, 0))</f>
        <v>#N/A</v>
      </c>
      <c r="C5" s="13" t="str">
        <f t="shared" si="6"/>
        <v/>
      </c>
      <c r="D5" s="13" t="str">
        <f t="shared" si="0"/>
        <v/>
      </c>
      <c r="E5" s="13" t="str">
        <f t="shared" si="1"/>
        <v/>
      </c>
      <c r="F5" s="13" t="str">
        <f t="shared" si="2"/>
        <v/>
      </c>
      <c r="G5" s="13" t="str">
        <f t="shared" si="3"/>
        <v/>
      </c>
      <c r="H5" s="13" t="str">
        <f t="shared" si="4"/>
        <v/>
      </c>
      <c r="I5" t="str">
        <f t="shared" si="5"/>
        <v/>
      </c>
    </row>
    <row r="6" spans="1:9">
      <c r="A6">
        <f>CSV!B6</f>
        <v>0</v>
      </c>
      <c r="B6" s="13" t="e">
        <f>INDEX(Input!$D$2:$AC$500,
       MATCH(CPU_Formula!A6, Input!$J$2:$J$500, 0),
       MATCH("CPU model", Input!$D$1:$AC$1, 0))</f>
        <v>#N/A</v>
      </c>
      <c r="C6" s="13" t="str">
        <f t="shared" si="6"/>
        <v/>
      </c>
      <c r="D6" s="13" t="str">
        <f t="shared" si="0"/>
        <v/>
      </c>
      <c r="E6" s="13" t="str">
        <f t="shared" si="1"/>
        <v/>
      </c>
      <c r="F6" s="13" t="str">
        <f t="shared" si="2"/>
        <v/>
      </c>
      <c r="G6" s="13" t="str">
        <f t="shared" si="3"/>
        <v/>
      </c>
      <c r="H6" s="13" t="str">
        <f t="shared" si="4"/>
        <v/>
      </c>
      <c r="I6" t="str">
        <f t="shared" si="5"/>
        <v/>
      </c>
    </row>
    <row r="7" spans="1:9">
      <c r="A7">
        <f>CSV!B7</f>
        <v>0</v>
      </c>
      <c r="B7" s="13" t="e">
        <f>INDEX(Input!$D$2:$AC$500,
       MATCH(CPU_Formula!A7, Input!$J$2:$J$500, 0),
       MATCH("CPU model", Input!$D$1:$AC$1, 0))</f>
        <v>#N/A</v>
      </c>
      <c r="C7" s="13" t="str">
        <f t="shared" si="6"/>
        <v/>
      </c>
      <c r="D7" s="13" t="str">
        <f t="shared" si="0"/>
        <v/>
      </c>
      <c r="E7" s="13" t="str">
        <f t="shared" si="1"/>
        <v/>
      </c>
      <c r="F7" s="13" t="str">
        <f t="shared" si="2"/>
        <v/>
      </c>
      <c r="G7" s="13" t="str">
        <f t="shared" si="3"/>
        <v/>
      </c>
      <c r="H7" s="13" t="str">
        <f t="shared" si="4"/>
        <v/>
      </c>
      <c r="I7" t="str">
        <f t="shared" si="5"/>
        <v/>
      </c>
    </row>
    <row r="8" spans="1:9">
      <c r="A8">
        <f>CSV!B8</f>
        <v>0</v>
      </c>
      <c r="B8" s="13" t="e">
        <f>INDEX(Input!$D$2:$AC$500,
       MATCH(CPU_Formula!A8, Input!$J$2:$J$500, 0),
       MATCH("CPU model", Input!$D$1:$AC$1, 0))</f>
        <v>#N/A</v>
      </c>
      <c r="C8" s="13" t="str">
        <f t="shared" si="6"/>
        <v/>
      </c>
      <c r="D8" s="13" t="str">
        <f t="shared" si="0"/>
        <v/>
      </c>
      <c r="E8" s="13" t="str">
        <f t="shared" si="1"/>
        <v/>
      </c>
      <c r="F8" s="13" t="str">
        <f t="shared" si="2"/>
        <v/>
      </c>
      <c r="G8" s="13" t="str">
        <f t="shared" si="3"/>
        <v/>
      </c>
      <c r="H8" s="13" t="str">
        <f t="shared" si="4"/>
        <v/>
      </c>
      <c r="I8" t="str">
        <f t="shared" si="5"/>
        <v/>
      </c>
    </row>
    <row r="9" spans="1:9">
      <c r="A9">
        <f>CSV!B9</f>
        <v>0</v>
      </c>
      <c r="B9" s="13" t="e">
        <f>INDEX(Input!$D$2:$AC$500,
       MATCH(CPU_Formula!A9, Input!$J$2:$J$500, 0),
       MATCH("CPU model", Input!$D$1:$AC$1, 0))</f>
        <v>#N/A</v>
      </c>
      <c r="C9" s="13" t="str">
        <f t="shared" si="6"/>
        <v/>
      </c>
      <c r="D9" s="13" t="str">
        <f t="shared" si="0"/>
        <v/>
      </c>
      <c r="E9" s="13" t="str">
        <f t="shared" si="1"/>
        <v/>
      </c>
      <c r="F9" s="13" t="str">
        <f t="shared" si="2"/>
        <v/>
      </c>
      <c r="G9" s="13" t="str">
        <f t="shared" si="3"/>
        <v/>
      </c>
      <c r="H9" s="13" t="str">
        <f t="shared" si="4"/>
        <v/>
      </c>
      <c r="I9" t="str">
        <f t="shared" si="5"/>
        <v/>
      </c>
    </row>
    <row r="10" spans="1:9">
      <c r="A10">
        <f>CSV!B10</f>
        <v>0</v>
      </c>
      <c r="B10" s="13" t="e">
        <f>INDEX(Input!$D$2:$AC$500,
       MATCH(CPU_Formula!A10, Input!$J$2:$J$500, 0),
       MATCH("CPU model", Input!$D$1:$AC$1, 0))</f>
        <v>#N/A</v>
      </c>
      <c r="C10" s="13" t="str">
        <f t="shared" si="6"/>
        <v/>
      </c>
      <c r="D10" s="13" t="str">
        <f t="shared" si="0"/>
        <v/>
      </c>
      <c r="E10" s="13" t="str">
        <f t="shared" si="1"/>
        <v/>
      </c>
      <c r="F10" s="13" t="str">
        <f t="shared" si="2"/>
        <v/>
      </c>
      <c r="G10" s="13" t="str">
        <f t="shared" si="3"/>
        <v/>
      </c>
      <c r="H10" s="13" t="str">
        <f t="shared" si="4"/>
        <v/>
      </c>
      <c r="I10" t="str">
        <f t="shared" si="5"/>
        <v/>
      </c>
    </row>
    <row r="11" spans="1:9">
      <c r="A11">
        <f>CSV!B11</f>
        <v>0</v>
      </c>
      <c r="B11" s="13" t="e">
        <f>INDEX(Input!$D$2:$AC$500,
       MATCH(CPU_Formula!A11, Input!$J$2:$J$500, 0),
       MATCH("CPU model", Input!$D$1:$AC$1, 0))</f>
        <v>#N/A</v>
      </c>
      <c r="C11" s="13" t="str">
        <f t="shared" si="6"/>
        <v/>
      </c>
      <c r="D11" s="13" t="str">
        <f t="shared" si="0"/>
        <v/>
      </c>
      <c r="E11" s="13" t="str">
        <f t="shared" si="1"/>
        <v/>
      </c>
      <c r="F11" s="13" t="str">
        <f t="shared" si="2"/>
        <v/>
      </c>
      <c r="G11" s="13" t="str">
        <f t="shared" si="3"/>
        <v/>
      </c>
      <c r="H11" s="13" t="str">
        <f t="shared" si="4"/>
        <v/>
      </c>
      <c r="I11" t="str">
        <f t="shared" si="5"/>
        <v/>
      </c>
    </row>
    <row r="12" spans="1:9">
      <c r="A12">
        <f>CSV!B12</f>
        <v>0</v>
      </c>
      <c r="B12" s="13" t="e">
        <f>INDEX(Input!$D$2:$AC$500,
       MATCH(CPU_Formula!A12, Input!$J$2:$J$500, 0),
       MATCH("CPU model", Input!$D$1:$AC$1, 0))</f>
        <v>#N/A</v>
      </c>
      <c r="C12" s="13" t="str">
        <f t="shared" si="6"/>
        <v/>
      </c>
      <c r="D12" s="13" t="str">
        <f t="shared" si="0"/>
        <v/>
      </c>
      <c r="E12" s="13" t="str">
        <f t="shared" si="1"/>
        <v/>
      </c>
      <c r="F12" s="13" t="str">
        <f t="shared" si="2"/>
        <v/>
      </c>
      <c r="G12" s="13" t="str">
        <f t="shared" si="3"/>
        <v/>
      </c>
      <c r="H12" s="13" t="str">
        <f t="shared" si="4"/>
        <v/>
      </c>
      <c r="I12" t="str">
        <f t="shared" si="5"/>
        <v/>
      </c>
    </row>
    <row r="13" spans="1:9">
      <c r="A13">
        <f>CSV!B13</f>
        <v>0</v>
      </c>
      <c r="B13" s="13" t="e">
        <f>INDEX(Input!$D$2:$AC$500,
       MATCH(CPU_Formula!A13, Input!$J$2:$J$500, 0),
       MATCH("CPU model", Input!$D$1:$AC$1, 0))</f>
        <v>#N/A</v>
      </c>
      <c r="C13" s="13" t="str">
        <f t="shared" si="6"/>
        <v/>
      </c>
      <c r="D13" s="13" t="str">
        <f t="shared" si="0"/>
        <v/>
      </c>
      <c r="E13" s="13" t="str">
        <f t="shared" si="1"/>
        <v/>
      </c>
      <c r="F13" s="13" t="str">
        <f t="shared" si="2"/>
        <v/>
      </c>
      <c r="G13" s="13" t="str">
        <f t="shared" si="3"/>
        <v/>
      </c>
      <c r="H13" s="13" t="str">
        <f t="shared" si="4"/>
        <v/>
      </c>
      <c r="I13" t="str">
        <f t="shared" si="5"/>
        <v/>
      </c>
    </row>
    <row r="14" spans="1:9">
      <c r="A14">
        <f>CSV!B14</f>
        <v>0</v>
      </c>
      <c r="B14" s="13" t="e">
        <f>INDEX(Input!$D$2:$AC$500,
       MATCH(CPU_Formula!A14, Input!$J$2:$J$500, 0),
       MATCH("CPU model", Input!$D$1:$AC$1, 0))</f>
        <v>#N/A</v>
      </c>
      <c r="C14" s="13" t="str">
        <f t="shared" si="6"/>
        <v/>
      </c>
      <c r="D14" s="13" t="str">
        <f t="shared" si="0"/>
        <v/>
      </c>
      <c r="E14" s="13" t="str">
        <f t="shared" si="1"/>
        <v/>
      </c>
      <c r="F14" s="13" t="str">
        <f t="shared" si="2"/>
        <v/>
      </c>
      <c r="G14" s="13" t="str">
        <f t="shared" si="3"/>
        <v/>
      </c>
      <c r="H14" s="13" t="str">
        <f t="shared" si="4"/>
        <v/>
      </c>
      <c r="I14" t="str">
        <f t="shared" si="5"/>
        <v/>
      </c>
    </row>
    <row r="15" spans="1:9">
      <c r="A15">
        <f>CSV!B15</f>
        <v>0</v>
      </c>
      <c r="B15" s="13" t="e">
        <f>INDEX(Input!$D$2:$AC$500,
       MATCH(CPU_Formula!A15, Input!$J$2:$J$500, 0),
       MATCH("CPU model", Input!$D$1:$AC$1, 0))</f>
        <v>#N/A</v>
      </c>
      <c r="C15" s="13" t="str">
        <f t="shared" si="6"/>
        <v/>
      </c>
      <c r="D15" s="13" t="str">
        <f t="shared" si="0"/>
        <v/>
      </c>
      <c r="E15" s="13" t="str">
        <f t="shared" si="1"/>
        <v/>
      </c>
      <c r="F15" s="13" t="str">
        <f t="shared" si="2"/>
        <v/>
      </c>
      <c r="G15" s="13" t="str">
        <f t="shared" si="3"/>
        <v/>
      </c>
      <c r="H15" s="13" t="str">
        <f t="shared" si="4"/>
        <v/>
      </c>
      <c r="I15" t="str">
        <f t="shared" si="5"/>
        <v/>
      </c>
    </row>
    <row r="16" spans="1:9">
      <c r="A16">
        <f>CSV!B16</f>
        <v>0</v>
      </c>
      <c r="B16" s="13" t="e">
        <f>INDEX(Input!$D$2:$AC$500,
       MATCH(CPU_Formula!A16, Input!$J$2:$J$500, 0),
       MATCH("CPU model", Input!$D$1:$AC$1, 0))</f>
        <v>#N/A</v>
      </c>
      <c r="C16" s="13" t="str">
        <f t="shared" si="6"/>
        <v/>
      </c>
      <c r="D16" s="13" t="str">
        <f t="shared" si="0"/>
        <v/>
      </c>
      <c r="E16" s="13" t="str">
        <f t="shared" si="1"/>
        <v/>
      </c>
      <c r="F16" s="13" t="str">
        <f t="shared" si="2"/>
        <v/>
      </c>
      <c r="G16" s="13" t="str">
        <f t="shared" si="3"/>
        <v/>
      </c>
      <c r="H16" s="13" t="str">
        <f t="shared" si="4"/>
        <v/>
      </c>
      <c r="I16" t="str">
        <f t="shared" si="5"/>
        <v/>
      </c>
    </row>
    <row r="17" spans="1:9">
      <c r="A17">
        <f>CSV!B17</f>
        <v>0</v>
      </c>
      <c r="B17" s="13" t="e">
        <f>INDEX(Input!$D$2:$AC$500,
       MATCH(CPU_Formula!A17, Input!$J$2:$J$500, 0),
       MATCH("CPU model", Input!$D$1:$AC$1, 0))</f>
        <v>#N/A</v>
      </c>
      <c r="C17" s="13" t="str">
        <f t="shared" si="6"/>
        <v/>
      </c>
      <c r="D17" s="13" t="str">
        <f t="shared" si="0"/>
        <v/>
      </c>
      <c r="E17" s="13" t="str">
        <f t="shared" si="1"/>
        <v/>
      </c>
      <c r="F17" s="13" t="str">
        <f t="shared" si="2"/>
        <v/>
      </c>
      <c r="G17" s="13" t="str">
        <f t="shared" si="3"/>
        <v/>
      </c>
      <c r="H17" s="13" t="str">
        <f t="shared" si="4"/>
        <v/>
      </c>
      <c r="I17" t="str">
        <f t="shared" si="5"/>
        <v/>
      </c>
    </row>
    <row r="18" spans="1:9">
      <c r="A18">
        <f>CSV!B18</f>
        <v>0</v>
      </c>
      <c r="B18" s="13" t="e">
        <f>INDEX(Input!$D$2:$AC$500,
       MATCH(CPU_Formula!A18, Input!$J$2:$J$500, 0),
       MATCH("CPU model", Input!$D$1:$AC$1, 0))</f>
        <v>#N/A</v>
      </c>
      <c r="C18" s="13" t="str">
        <f t="shared" si="6"/>
        <v/>
      </c>
      <c r="D18" s="13" t="str">
        <f t="shared" si="0"/>
        <v/>
      </c>
      <c r="E18" s="13" t="str">
        <f t="shared" si="1"/>
        <v/>
      </c>
      <c r="F18" s="13" t="str">
        <f t="shared" si="2"/>
        <v/>
      </c>
      <c r="G18" s="13" t="str">
        <f t="shared" si="3"/>
        <v/>
      </c>
      <c r="H18" s="13" t="str">
        <f t="shared" si="4"/>
        <v/>
      </c>
      <c r="I18" t="str">
        <f t="shared" si="5"/>
        <v/>
      </c>
    </row>
    <row r="19" spans="1:9">
      <c r="A19">
        <f>CSV!B19</f>
        <v>0</v>
      </c>
      <c r="B19" s="13" t="e">
        <f>INDEX(Input!$D$2:$AC$500,
       MATCH(CPU_Formula!A19, Input!$J$2:$J$500, 0),
       MATCH("CPU model", Input!$D$1:$AC$1, 0))</f>
        <v>#N/A</v>
      </c>
      <c r="C19" s="13" t="str">
        <f t="shared" si="6"/>
        <v/>
      </c>
      <c r="D19" s="13" t="str">
        <f t="shared" si="0"/>
        <v/>
      </c>
      <c r="E19" s="13" t="str">
        <f t="shared" si="1"/>
        <v/>
      </c>
      <c r="F19" s="13" t="str">
        <f t="shared" si="2"/>
        <v/>
      </c>
      <c r="G19" s="13" t="str">
        <f t="shared" si="3"/>
        <v/>
      </c>
      <c r="H19" s="13" t="str">
        <f t="shared" si="4"/>
        <v/>
      </c>
      <c r="I19" t="str">
        <f t="shared" si="5"/>
        <v/>
      </c>
    </row>
    <row r="20" spans="1:9">
      <c r="A20">
        <f>CSV!B20</f>
        <v>0</v>
      </c>
      <c r="B20" s="13" t="e">
        <f>INDEX(Input!$D$2:$AC$500,
       MATCH(CPU_Formula!A20, Input!$J$2:$J$500, 0),
       MATCH("CPU model", Input!$D$1:$AC$1, 0))</f>
        <v>#N/A</v>
      </c>
      <c r="C20" s="13" t="str">
        <f t="shared" si="6"/>
        <v/>
      </c>
      <c r="D20" s="13" t="str">
        <f t="shared" si="0"/>
        <v/>
      </c>
      <c r="E20" s="13" t="str">
        <f t="shared" si="1"/>
        <v/>
      </c>
      <c r="F20" s="13" t="str">
        <f t="shared" si="2"/>
        <v/>
      </c>
      <c r="G20" s="13" t="str">
        <f t="shared" si="3"/>
        <v/>
      </c>
      <c r="H20" s="13" t="str">
        <f t="shared" si="4"/>
        <v/>
      </c>
      <c r="I20" t="str">
        <f t="shared" si="5"/>
        <v/>
      </c>
    </row>
    <row r="21" spans="1:9">
      <c r="A21">
        <f>CSV!B21</f>
        <v>0</v>
      </c>
      <c r="B21" s="13" t="e">
        <f>INDEX(Input!$D$2:$AC$500,
       MATCH(CPU_Formula!A21, Input!$J$2:$J$500, 0),
       MATCH("CPU model", Input!$D$1:$AC$1, 0))</f>
        <v>#N/A</v>
      </c>
      <c r="C21" s="13" t="str">
        <f t="shared" si="6"/>
        <v/>
      </c>
      <c r="D21" s="13" t="str">
        <f t="shared" si="0"/>
        <v/>
      </c>
      <c r="E21" s="13" t="str">
        <f t="shared" si="1"/>
        <v/>
      </c>
      <c r="F21" s="13" t="str">
        <f t="shared" si="2"/>
        <v/>
      </c>
      <c r="G21" s="13" t="str">
        <f t="shared" si="3"/>
        <v/>
      </c>
      <c r="H21" s="13" t="str">
        <f t="shared" si="4"/>
        <v/>
      </c>
      <c r="I21" t="str">
        <f t="shared" si="5"/>
        <v/>
      </c>
    </row>
    <row r="22" spans="1:9">
      <c r="A22">
        <f>CSV!B22</f>
        <v>0</v>
      </c>
      <c r="B22" s="13" t="e">
        <f>INDEX(Input!$D$2:$AC$500,
       MATCH(CPU_Formula!A22, Input!$J$2:$J$500, 0),
       MATCH("CPU model", Input!$D$1:$AC$1, 0))</f>
        <v>#N/A</v>
      </c>
      <c r="C22" s="13" t="str">
        <f t="shared" si="6"/>
        <v/>
      </c>
      <c r="D22" s="13" t="str">
        <f t="shared" si="0"/>
        <v/>
      </c>
      <c r="E22" s="13" t="str">
        <f t="shared" si="1"/>
        <v/>
      </c>
      <c r="F22" s="13" t="str">
        <f t="shared" si="2"/>
        <v/>
      </c>
      <c r="G22" s="13" t="str">
        <f t="shared" si="3"/>
        <v/>
      </c>
      <c r="H22" s="13" t="str">
        <f t="shared" si="4"/>
        <v/>
      </c>
      <c r="I22" t="str">
        <f t="shared" si="5"/>
        <v/>
      </c>
    </row>
    <row r="23" spans="1:9">
      <c r="A23">
        <f>CSV!B23</f>
        <v>0</v>
      </c>
      <c r="B23" s="13" t="e">
        <f>INDEX(Input!$D$2:$AC$500,
       MATCH(CPU_Formula!A23, Input!$J$2:$J$500, 0),
       MATCH("CPU model", Input!$D$1:$AC$1, 0))</f>
        <v>#N/A</v>
      </c>
      <c r="C23" s="13" t="str">
        <f t="shared" si="6"/>
        <v/>
      </c>
      <c r="D23" s="13" t="str">
        <f t="shared" si="0"/>
        <v/>
      </c>
      <c r="E23" s="13" t="str">
        <f t="shared" si="1"/>
        <v/>
      </c>
      <c r="F23" s="13" t="str">
        <f t="shared" si="2"/>
        <v/>
      </c>
      <c r="G23" s="13" t="str">
        <f t="shared" si="3"/>
        <v/>
      </c>
      <c r="H23" s="13" t="str">
        <f t="shared" si="4"/>
        <v/>
      </c>
      <c r="I23" t="str">
        <f t="shared" si="5"/>
        <v/>
      </c>
    </row>
    <row r="24" spans="1:9">
      <c r="A24">
        <f>CSV!B24</f>
        <v>0</v>
      </c>
      <c r="B24" s="13" t="e">
        <f>INDEX(Input!$D$2:$AC$500,
       MATCH(CPU_Formula!A24, Input!$J$2:$J$500, 0),
       MATCH("CPU model", Input!$D$1:$AC$1, 0))</f>
        <v>#N/A</v>
      </c>
      <c r="C24" s="13" t="str">
        <f t="shared" si="6"/>
        <v/>
      </c>
      <c r="D24" s="13" t="str">
        <f t="shared" si="0"/>
        <v/>
      </c>
      <c r="E24" s="13" t="str">
        <f t="shared" si="1"/>
        <v/>
      </c>
      <c r="F24" s="13" t="str">
        <f t="shared" si="2"/>
        <v/>
      </c>
      <c r="G24" s="13" t="str">
        <f t="shared" si="3"/>
        <v/>
      </c>
      <c r="H24" s="13" t="str">
        <f t="shared" si="4"/>
        <v/>
      </c>
      <c r="I24" t="str">
        <f t="shared" si="5"/>
        <v/>
      </c>
    </row>
    <row r="25" spans="1:9">
      <c r="A25">
        <f>CSV!B25</f>
        <v>0</v>
      </c>
      <c r="B25" s="13" t="e">
        <f>INDEX(Input!$D$2:$AC$500,
       MATCH(CPU_Formula!A25, Input!$J$2:$J$500, 0),
       MATCH("CPU model", Input!$D$1:$AC$1, 0))</f>
        <v>#N/A</v>
      </c>
      <c r="C25" s="13" t="str">
        <f t="shared" si="6"/>
        <v/>
      </c>
      <c r="D25" s="13" t="str">
        <f t="shared" si="0"/>
        <v/>
      </c>
      <c r="E25" s="13" t="str">
        <f t="shared" si="1"/>
        <v/>
      </c>
      <c r="F25" s="13" t="str">
        <f t="shared" si="2"/>
        <v/>
      </c>
      <c r="G25" s="13" t="str">
        <f t="shared" si="3"/>
        <v/>
      </c>
      <c r="H25" s="13" t="str">
        <f t="shared" si="4"/>
        <v/>
      </c>
      <c r="I25" t="str">
        <f t="shared" si="5"/>
        <v/>
      </c>
    </row>
    <row r="26" spans="1:9">
      <c r="A26">
        <f>CSV!B26</f>
        <v>0</v>
      </c>
      <c r="B26" s="13" t="e">
        <f>INDEX(Input!$D$2:$AC$500,
       MATCH(CPU_Formula!A26, Input!$J$2:$J$500, 0),
       MATCH("CPU model", Input!$D$1:$AC$1, 0))</f>
        <v>#N/A</v>
      </c>
      <c r="C26" s="13" t="str">
        <f t="shared" si="6"/>
        <v/>
      </c>
      <c r="D26" s="13" t="str">
        <f t="shared" si="0"/>
        <v/>
      </c>
      <c r="E26" s="13" t="str">
        <f t="shared" si="1"/>
        <v/>
      </c>
      <c r="F26" s="13" t="str">
        <f t="shared" si="2"/>
        <v/>
      </c>
      <c r="G26" s="13" t="str">
        <f t="shared" si="3"/>
        <v/>
      </c>
      <c r="H26" s="13" t="str">
        <f t="shared" si="4"/>
        <v/>
      </c>
      <c r="I26" t="str">
        <f t="shared" si="5"/>
        <v/>
      </c>
    </row>
    <row r="27" spans="1:9">
      <c r="A27">
        <f>CSV!B27</f>
        <v>0</v>
      </c>
      <c r="B27" s="13" t="e">
        <f>INDEX(Input!$D$2:$AC$500,
       MATCH(CPU_Formula!A27, Input!$J$2:$J$500, 0),
       MATCH("CPU model", Input!$D$1:$AC$1, 0))</f>
        <v>#N/A</v>
      </c>
      <c r="C27" s="13" t="str">
        <f t="shared" si="6"/>
        <v/>
      </c>
      <c r="D27" s="13" t="str">
        <f t="shared" si="0"/>
        <v/>
      </c>
      <c r="E27" s="13" t="str">
        <f t="shared" si="1"/>
        <v/>
      </c>
      <c r="F27" s="13" t="str">
        <f t="shared" si="2"/>
        <v/>
      </c>
      <c r="G27" s="13" t="str">
        <f t="shared" si="3"/>
        <v/>
      </c>
      <c r="H27" s="13" t="str">
        <f t="shared" si="4"/>
        <v/>
      </c>
      <c r="I27" t="str">
        <f t="shared" si="5"/>
        <v/>
      </c>
    </row>
    <row r="28" spans="1:9">
      <c r="A28">
        <f>CSV!B28</f>
        <v>0</v>
      </c>
      <c r="B28" s="13" t="e">
        <f>INDEX(Input!$D$2:$AC$500,
       MATCH(CPU_Formula!A28, Input!$J$2:$J$500, 0),
       MATCH("CPU model", Input!$D$1:$AC$1, 0))</f>
        <v>#N/A</v>
      </c>
      <c r="C28" s="13" t="str">
        <f t="shared" si="6"/>
        <v/>
      </c>
      <c r="D28" s="13" t="str">
        <f t="shared" si="0"/>
        <v/>
      </c>
      <c r="E28" s="13" t="str">
        <f t="shared" si="1"/>
        <v/>
      </c>
      <c r="F28" s="13" t="str">
        <f t="shared" si="2"/>
        <v/>
      </c>
      <c r="G28" s="13" t="str">
        <f t="shared" si="3"/>
        <v/>
      </c>
      <c r="H28" s="13" t="str">
        <f t="shared" si="4"/>
        <v/>
      </c>
      <c r="I28" t="str">
        <f t="shared" si="5"/>
        <v/>
      </c>
    </row>
    <row r="29" spans="1:9">
      <c r="A29">
        <f>CSV!B29</f>
        <v>0</v>
      </c>
      <c r="B29" s="13" t="e">
        <f>INDEX(Input!$D$2:$AC$500,
       MATCH(CPU_Formula!A29, Input!$J$2:$J$500, 0),
       MATCH("CPU model", Input!$D$1:$AC$1, 0))</f>
        <v>#N/A</v>
      </c>
      <c r="C29" s="13" t="str">
        <f t="shared" si="6"/>
        <v/>
      </c>
      <c r="D29" s="13" t="str">
        <f t="shared" si="0"/>
        <v/>
      </c>
      <c r="E29" s="13" t="str">
        <f t="shared" si="1"/>
        <v/>
      </c>
      <c r="F29" s="13" t="str">
        <f t="shared" si="2"/>
        <v/>
      </c>
      <c r="G29" s="13" t="str">
        <f t="shared" si="3"/>
        <v/>
      </c>
      <c r="H29" s="13" t="str">
        <f t="shared" si="4"/>
        <v/>
      </c>
      <c r="I29" t="str">
        <f t="shared" si="5"/>
        <v/>
      </c>
    </row>
    <row r="30" spans="1:9">
      <c r="A30">
        <f>CSV!B30</f>
        <v>0</v>
      </c>
      <c r="B30" s="13" t="e">
        <f>INDEX(Input!$D$2:$AC$500,
       MATCH(CPU_Formula!A30, Input!$J$2:$J$500, 0),
       MATCH("CPU model", Input!$D$1:$AC$1, 0))</f>
        <v>#N/A</v>
      </c>
      <c r="C30" s="13" t="str">
        <f t="shared" si="6"/>
        <v/>
      </c>
      <c r="D30" s="13" t="str">
        <f t="shared" si="0"/>
        <v/>
      </c>
      <c r="E30" s="13" t="str">
        <f t="shared" si="1"/>
        <v/>
      </c>
      <c r="F30" s="13" t="str">
        <f t="shared" si="2"/>
        <v/>
      </c>
      <c r="G30" s="13" t="str">
        <f t="shared" si="3"/>
        <v/>
      </c>
      <c r="H30" s="13" t="str">
        <f t="shared" si="4"/>
        <v/>
      </c>
      <c r="I30" t="str">
        <f t="shared" si="5"/>
        <v/>
      </c>
    </row>
    <row r="31" spans="1:9">
      <c r="A31">
        <f>CSV!B31</f>
        <v>0</v>
      </c>
      <c r="B31" s="13" t="e">
        <f>INDEX(Input!$D$2:$AC$500,
       MATCH(CPU_Formula!A31, Input!$J$2:$J$500, 0),
       MATCH("CPU model", Input!$D$1:$AC$1, 0))</f>
        <v>#N/A</v>
      </c>
      <c r="C31" s="13" t="str">
        <f t="shared" si="6"/>
        <v/>
      </c>
      <c r="D31" s="13" t="str">
        <f t="shared" si="0"/>
        <v/>
      </c>
      <c r="E31" s="13" t="str">
        <f t="shared" si="1"/>
        <v/>
      </c>
      <c r="F31" s="13" t="str">
        <f t="shared" si="2"/>
        <v/>
      </c>
      <c r="G31" s="13" t="str">
        <f t="shared" si="3"/>
        <v/>
      </c>
      <c r="H31" s="13" t="str">
        <f t="shared" si="4"/>
        <v/>
      </c>
      <c r="I31" t="str">
        <f t="shared" si="5"/>
        <v/>
      </c>
    </row>
    <row r="32" spans="1:9">
      <c r="A32">
        <f>CSV!B32</f>
        <v>0</v>
      </c>
      <c r="B32" s="13" t="e">
        <f>INDEX(Input!$D$2:$AC$500,
       MATCH(CPU_Formula!A32, Input!$J$2:$J$500, 0),
       MATCH("CPU model", Input!$D$1:$AC$1, 0))</f>
        <v>#N/A</v>
      </c>
      <c r="C32" s="13" t="str">
        <f t="shared" si="6"/>
        <v/>
      </c>
      <c r="D32" s="13" t="str">
        <f t="shared" si="0"/>
        <v/>
      </c>
      <c r="E32" s="13" t="str">
        <f t="shared" si="1"/>
        <v/>
      </c>
      <c r="F32" s="13" t="str">
        <f t="shared" si="2"/>
        <v/>
      </c>
      <c r="G32" s="13" t="str">
        <f t="shared" si="3"/>
        <v/>
      </c>
      <c r="H32" s="13" t="str">
        <f t="shared" si="4"/>
        <v/>
      </c>
      <c r="I32" t="str">
        <f t="shared" si="5"/>
        <v/>
      </c>
    </row>
    <row r="33" spans="1:9">
      <c r="A33">
        <f>CSV!B33</f>
        <v>0</v>
      </c>
      <c r="B33" s="13" t="e">
        <f>INDEX(Input!$D$2:$AC$500,
       MATCH(CPU_Formula!A33, Input!$J$2:$J$500, 0),
       MATCH("CPU model", Input!$D$1:$AC$1, 0))</f>
        <v>#N/A</v>
      </c>
      <c r="C33" s="13" t="str">
        <f t="shared" si="6"/>
        <v/>
      </c>
      <c r="D33" s="13" t="str">
        <f t="shared" si="0"/>
        <v/>
      </c>
      <c r="E33" s="13" t="str">
        <f t="shared" si="1"/>
        <v/>
      </c>
      <c r="F33" s="13" t="str">
        <f t="shared" si="2"/>
        <v/>
      </c>
      <c r="G33" s="13" t="str">
        <f t="shared" si="3"/>
        <v/>
      </c>
      <c r="H33" s="13" t="str">
        <f t="shared" si="4"/>
        <v/>
      </c>
      <c r="I33" t="str">
        <f t="shared" si="5"/>
        <v/>
      </c>
    </row>
    <row r="34" spans="1:9">
      <c r="A34">
        <f>CSV!B34</f>
        <v>0</v>
      </c>
      <c r="B34" s="13" t="e">
        <f>INDEX(Input!$D$2:$AC$500,
       MATCH(CPU_Formula!A34, Input!$J$2:$J$500, 0),
       MATCH("CPU model", Input!$D$1:$AC$1, 0))</f>
        <v>#N/A</v>
      </c>
      <c r="C34" s="13" t="str">
        <f t="shared" si="6"/>
        <v/>
      </c>
      <c r="D34" s="13" t="str">
        <f t="shared" si="0"/>
        <v/>
      </c>
      <c r="E34" s="13" t="str">
        <f t="shared" si="1"/>
        <v/>
      </c>
      <c r="F34" s="13" t="str">
        <f t="shared" si="2"/>
        <v/>
      </c>
      <c r="G34" s="13" t="str">
        <f t="shared" si="3"/>
        <v/>
      </c>
      <c r="H34" s="13" t="str">
        <f t="shared" si="4"/>
        <v/>
      </c>
      <c r="I34" t="str">
        <f t="shared" si="5"/>
        <v/>
      </c>
    </row>
    <row r="35" spans="1:9">
      <c r="A35">
        <f>CSV!B35</f>
        <v>0</v>
      </c>
      <c r="B35" s="13" t="e">
        <f>INDEX(Input!$D$2:$AC$500,
       MATCH(CPU_Formula!A35, Input!$J$2:$J$500, 0),
       MATCH("CPU model", Input!$D$1:$AC$1, 0))</f>
        <v>#N/A</v>
      </c>
      <c r="C35" s="13" t="str">
        <f t="shared" si="6"/>
        <v/>
      </c>
      <c r="D35" s="13" t="str">
        <f t="shared" si="0"/>
        <v/>
      </c>
      <c r="E35" s="13" t="str">
        <f t="shared" si="1"/>
        <v/>
      </c>
      <c r="F35" s="13" t="str">
        <f t="shared" si="2"/>
        <v/>
      </c>
      <c r="G35" s="13" t="str">
        <f t="shared" si="3"/>
        <v/>
      </c>
      <c r="H35" s="13" t="str">
        <f t="shared" si="4"/>
        <v/>
      </c>
      <c r="I35" t="str">
        <f t="shared" si="5"/>
        <v/>
      </c>
    </row>
    <row r="36" spans="1:9">
      <c r="A36">
        <f>CSV!B36</f>
        <v>0</v>
      </c>
      <c r="B36" s="13" t="e">
        <f>INDEX(Input!$D$2:$AC$500,
       MATCH(CPU_Formula!A36, Input!$J$2:$J$500, 0),
       MATCH("CPU model", Input!$D$1:$AC$1, 0))</f>
        <v>#N/A</v>
      </c>
      <c r="C36" s="13" t="str">
        <f t="shared" si="6"/>
        <v/>
      </c>
      <c r="D36" s="13" t="str">
        <f t="shared" si="0"/>
        <v/>
      </c>
      <c r="E36" s="13" t="str">
        <f t="shared" si="1"/>
        <v/>
      </c>
      <c r="F36" s="13" t="str">
        <f t="shared" si="2"/>
        <v/>
      </c>
      <c r="G36" s="13" t="str">
        <f t="shared" si="3"/>
        <v/>
      </c>
      <c r="H36" s="13" t="str">
        <f t="shared" si="4"/>
        <v/>
      </c>
      <c r="I36" t="str">
        <f t="shared" si="5"/>
        <v/>
      </c>
    </row>
    <row r="37" spans="1:9">
      <c r="A37">
        <f>CSV!B37</f>
        <v>0</v>
      </c>
      <c r="B37" s="13" t="e">
        <f>INDEX(Input!$D$2:$AC$500,
       MATCH(CPU_Formula!A37, Input!$J$2:$J$500, 0),
       MATCH("CPU model", Input!$D$1:$AC$1, 0))</f>
        <v>#N/A</v>
      </c>
      <c r="C37" s="13" t="str">
        <f t="shared" si="6"/>
        <v/>
      </c>
      <c r="D37" s="13" t="str">
        <f t="shared" si="0"/>
        <v/>
      </c>
      <c r="E37" s="13" t="str">
        <f t="shared" si="1"/>
        <v/>
      </c>
      <c r="F37" s="13" t="str">
        <f t="shared" si="2"/>
        <v/>
      </c>
      <c r="G37" s="13" t="str">
        <f t="shared" si="3"/>
        <v/>
      </c>
      <c r="H37" s="13" t="str">
        <f t="shared" si="4"/>
        <v/>
      </c>
      <c r="I37" t="str">
        <f t="shared" si="5"/>
        <v/>
      </c>
    </row>
    <row r="38" spans="1:9">
      <c r="A38">
        <f>CSV!B38</f>
        <v>0</v>
      </c>
      <c r="B38" s="13" t="e">
        <f>INDEX(Input!$D$2:$AC$500,
       MATCH(CPU_Formula!A38, Input!$J$2:$J$500, 0),
       MATCH("CPU model", Input!$D$1:$AC$1, 0))</f>
        <v>#N/A</v>
      </c>
      <c r="C38" s="13" t="str">
        <f t="shared" si="6"/>
        <v/>
      </c>
      <c r="D38" s="13" t="str">
        <f t="shared" si="0"/>
        <v/>
      </c>
      <c r="E38" s="13" t="str">
        <f t="shared" si="1"/>
        <v/>
      </c>
      <c r="F38" s="13" t="str">
        <f t="shared" si="2"/>
        <v/>
      </c>
      <c r="G38" s="13" t="str">
        <f t="shared" si="3"/>
        <v/>
      </c>
      <c r="H38" s="13" t="str">
        <f t="shared" si="4"/>
        <v/>
      </c>
      <c r="I38" t="str">
        <f t="shared" si="5"/>
        <v/>
      </c>
    </row>
    <row r="39" spans="1:9">
      <c r="A39">
        <f>CSV!B39</f>
        <v>0</v>
      </c>
      <c r="B39" s="13" t="e">
        <f>INDEX(Input!$D$2:$AC$500,
       MATCH(CPU_Formula!A39, Input!$J$2:$J$500, 0),
       MATCH("CPU model", Input!$D$1:$AC$1, 0))</f>
        <v>#N/A</v>
      </c>
      <c r="C39" s="13" t="str">
        <f t="shared" si="6"/>
        <v/>
      </c>
      <c r="D39" s="13" t="str">
        <f t="shared" si="0"/>
        <v/>
      </c>
      <c r="E39" s="13" t="str">
        <f t="shared" si="1"/>
        <v/>
      </c>
      <c r="F39" s="13" t="str">
        <f t="shared" si="2"/>
        <v/>
      </c>
      <c r="G39" s="13" t="str">
        <f t="shared" si="3"/>
        <v/>
      </c>
      <c r="H39" s="13" t="str">
        <f t="shared" si="4"/>
        <v/>
      </c>
      <c r="I39" t="str">
        <f t="shared" si="5"/>
        <v/>
      </c>
    </row>
    <row r="40" spans="1:9">
      <c r="A40">
        <f>CSV!B40</f>
        <v>0</v>
      </c>
      <c r="B40" s="13" t="e">
        <f>INDEX(Input!$D$2:$AC$500,
       MATCH(CPU_Formula!A40, Input!$J$2:$J$500, 0),
       MATCH("CPU model", Input!$D$1:$AC$1, 0))</f>
        <v>#N/A</v>
      </c>
      <c r="C40" s="13" t="str">
        <f t="shared" si="6"/>
        <v/>
      </c>
      <c r="D40" s="13" t="str">
        <f t="shared" si="0"/>
        <v/>
      </c>
      <c r="E40" s="13" t="str">
        <f t="shared" si="1"/>
        <v/>
      </c>
      <c r="F40" s="13" t="str">
        <f t="shared" si="2"/>
        <v/>
      </c>
      <c r="G40" s="13" t="str">
        <f t="shared" si="3"/>
        <v/>
      </c>
      <c r="H40" s="13" t="str">
        <f t="shared" si="4"/>
        <v/>
      </c>
      <c r="I40" t="str">
        <f t="shared" si="5"/>
        <v/>
      </c>
    </row>
    <row r="41" spans="1:9">
      <c r="A41">
        <f>CSV!B41</f>
        <v>0</v>
      </c>
      <c r="B41" s="13" t="e">
        <f>INDEX(Input!$D$2:$AC$500,
       MATCH(CPU_Formula!A41, Input!$J$2:$J$500, 0),
       MATCH("CPU model", Input!$D$1:$AC$1, 0))</f>
        <v>#N/A</v>
      </c>
      <c r="C41" s="13" t="str">
        <f t="shared" si="6"/>
        <v/>
      </c>
      <c r="D41" s="13" t="str">
        <f t="shared" si="0"/>
        <v/>
      </c>
      <c r="E41" s="13" t="str">
        <f t="shared" si="1"/>
        <v/>
      </c>
      <c r="F41" s="13" t="str">
        <f t="shared" si="2"/>
        <v/>
      </c>
      <c r="G41" s="13" t="str">
        <f t="shared" si="3"/>
        <v/>
      </c>
      <c r="H41" s="13" t="str">
        <f t="shared" si="4"/>
        <v/>
      </c>
      <c r="I41" t="str">
        <f t="shared" si="5"/>
        <v/>
      </c>
    </row>
    <row r="42" spans="1:9">
      <c r="A42">
        <f>CSV!B42</f>
        <v>0</v>
      </c>
      <c r="B42" s="13" t="e">
        <f>INDEX(Input!$D$2:$AC$500,
       MATCH(CPU_Formula!A42, Input!$J$2:$J$500, 0),
       MATCH("CPU model", Input!$D$1:$AC$1, 0))</f>
        <v>#N/A</v>
      </c>
      <c r="C42" s="13" t="str">
        <f t="shared" si="6"/>
        <v/>
      </c>
      <c r="D42" s="13" t="str">
        <f t="shared" si="0"/>
        <v/>
      </c>
      <c r="E42" s="13" t="str">
        <f t="shared" si="1"/>
        <v/>
      </c>
      <c r="F42" s="13" t="str">
        <f t="shared" si="2"/>
        <v/>
      </c>
      <c r="G42" s="13" t="str">
        <f t="shared" si="3"/>
        <v/>
      </c>
      <c r="H42" s="13" t="str">
        <f t="shared" si="4"/>
        <v/>
      </c>
      <c r="I42" t="str">
        <f t="shared" si="5"/>
        <v/>
      </c>
    </row>
    <row r="43" spans="1:9">
      <c r="A43">
        <f>CSV!B43</f>
        <v>0</v>
      </c>
      <c r="B43" s="13" t="e">
        <f>INDEX(Input!$D$2:$AC$500,
       MATCH(CPU_Formula!A43, Input!$J$2:$J$500, 0),
       MATCH("CPU model", Input!$D$1:$AC$1, 0))</f>
        <v>#N/A</v>
      </c>
      <c r="C43" s="13" t="str">
        <f t="shared" si="6"/>
        <v/>
      </c>
      <c r="D43" s="13" t="str">
        <f t="shared" si="0"/>
        <v/>
      </c>
      <c r="E43" s="13" t="str">
        <f t="shared" si="1"/>
        <v/>
      </c>
      <c r="F43" s="13" t="str">
        <f t="shared" si="2"/>
        <v/>
      </c>
      <c r="G43" s="13" t="str">
        <f t="shared" si="3"/>
        <v/>
      </c>
      <c r="H43" s="13" t="str">
        <f t="shared" si="4"/>
        <v/>
      </c>
      <c r="I43" t="str">
        <f t="shared" si="5"/>
        <v/>
      </c>
    </row>
    <row r="44" spans="1:9">
      <c r="A44">
        <f>CSV!B44</f>
        <v>0</v>
      </c>
      <c r="B44" s="13" t="e">
        <f>INDEX(Input!$D$2:$AC$500,
       MATCH(CPU_Formula!A44, Input!$J$2:$J$500, 0),
       MATCH("CPU model", Input!$D$1:$AC$1, 0))</f>
        <v>#N/A</v>
      </c>
      <c r="C44" s="13" t="str">
        <f t="shared" si="6"/>
        <v/>
      </c>
      <c r="D44" s="13" t="str">
        <f t="shared" si="0"/>
        <v/>
      </c>
      <c r="E44" s="13" t="str">
        <f t="shared" si="1"/>
        <v/>
      </c>
      <c r="F44" s="13" t="str">
        <f t="shared" si="2"/>
        <v/>
      </c>
      <c r="G44" s="13" t="str">
        <f t="shared" si="3"/>
        <v/>
      </c>
      <c r="H44" s="13" t="str">
        <f t="shared" si="4"/>
        <v/>
      </c>
      <c r="I44" t="str">
        <f t="shared" si="5"/>
        <v/>
      </c>
    </row>
    <row r="45" spans="1:9">
      <c r="A45">
        <f>CSV!B45</f>
        <v>0</v>
      </c>
      <c r="B45" s="13" t="e">
        <f>INDEX(Input!$D$2:$AC$500,
       MATCH(CPU_Formula!A45, Input!$J$2:$J$500, 0),
       MATCH("CPU model", Input!$D$1:$AC$1, 0))</f>
        <v>#N/A</v>
      </c>
      <c r="C45" s="13" t="str">
        <f t="shared" si="6"/>
        <v/>
      </c>
      <c r="D45" s="13" t="str">
        <f t="shared" si="0"/>
        <v/>
      </c>
      <c r="E45" s="13" t="str">
        <f t="shared" si="1"/>
        <v/>
      </c>
      <c r="F45" s="13" t="str">
        <f t="shared" si="2"/>
        <v/>
      </c>
      <c r="G45" s="13" t="str">
        <f t="shared" si="3"/>
        <v/>
      </c>
      <c r="H45" s="13" t="str">
        <f t="shared" si="4"/>
        <v/>
      </c>
      <c r="I45" t="str">
        <f t="shared" si="5"/>
        <v/>
      </c>
    </row>
    <row r="46" spans="1:9">
      <c r="A46">
        <f>CSV!B46</f>
        <v>0</v>
      </c>
      <c r="B46" s="13" t="e">
        <f>INDEX(Input!$D$2:$AC$500,
       MATCH(CPU_Formula!A46, Input!$J$2:$J$500, 0),
       MATCH("CPU model", Input!$D$1:$AC$1, 0))</f>
        <v>#N/A</v>
      </c>
      <c r="C46" s="13" t="str">
        <f t="shared" si="6"/>
        <v/>
      </c>
      <c r="D46" s="13" t="str">
        <f t="shared" si="0"/>
        <v/>
      </c>
      <c r="E46" s="13" t="str">
        <f t="shared" si="1"/>
        <v/>
      </c>
      <c r="F46" s="13" t="str">
        <f t="shared" si="2"/>
        <v/>
      </c>
      <c r="G46" s="13" t="str">
        <f t="shared" si="3"/>
        <v/>
      </c>
      <c r="H46" s="13" t="str">
        <f t="shared" si="4"/>
        <v/>
      </c>
      <c r="I46" t="str">
        <f t="shared" si="5"/>
        <v/>
      </c>
    </row>
    <row r="47" spans="1:9">
      <c r="A47">
        <f>CSV!B47</f>
        <v>0</v>
      </c>
      <c r="B47" s="13" t="e">
        <f>INDEX(Input!$D$2:$AC$500,
       MATCH(CPU_Formula!A47, Input!$J$2:$J$500, 0),
       MATCH("CPU model", Input!$D$1:$AC$1, 0))</f>
        <v>#N/A</v>
      </c>
      <c r="C47" s="13" t="str">
        <f t="shared" si="6"/>
        <v/>
      </c>
      <c r="D47" s="13" t="str">
        <f t="shared" si="0"/>
        <v/>
      </c>
      <c r="E47" s="13" t="str">
        <f t="shared" si="1"/>
        <v/>
      </c>
      <c r="F47" s="13" t="str">
        <f t="shared" si="2"/>
        <v/>
      </c>
      <c r="G47" s="13" t="str">
        <f t="shared" si="3"/>
        <v/>
      </c>
      <c r="H47" s="13" t="str">
        <f t="shared" si="4"/>
        <v/>
      </c>
      <c r="I47" t="str">
        <f t="shared" si="5"/>
        <v/>
      </c>
    </row>
    <row r="48" spans="1:9">
      <c r="A48">
        <f>CSV!B48</f>
        <v>0</v>
      </c>
      <c r="B48" s="13" t="e">
        <f>INDEX(Input!$D$2:$AC$500,
       MATCH(CPU_Formula!A48, Input!$J$2:$J$500, 0),
       MATCH("CPU model", Input!$D$1:$AC$1, 0))</f>
        <v>#N/A</v>
      </c>
      <c r="C48" s="13" t="str">
        <f t="shared" si="6"/>
        <v/>
      </c>
      <c r="D48" s="13" t="str">
        <f t="shared" si="0"/>
        <v/>
      </c>
      <c r="E48" s="13" t="str">
        <f t="shared" si="1"/>
        <v/>
      </c>
      <c r="F48" s="13" t="str">
        <f t="shared" si="2"/>
        <v/>
      </c>
      <c r="G48" s="13" t="str">
        <f t="shared" si="3"/>
        <v/>
      </c>
      <c r="H48" s="13" t="str">
        <f t="shared" si="4"/>
        <v/>
      </c>
      <c r="I48" t="str">
        <f t="shared" si="5"/>
        <v/>
      </c>
    </row>
    <row r="49" spans="1:9">
      <c r="A49">
        <f>CSV!B49</f>
        <v>0</v>
      </c>
      <c r="B49" s="13" t="e">
        <f>INDEX(Input!$D$2:$AC$500,
       MATCH(CPU_Formula!A49, Input!$J$2:$J$500, 0),
       MATCH("CPU model", Input!$D$1:$AC$1, 0))</f>
        <v>#N/A</v>
      </c>
      <c r="C49" s="13" t="str">
        <f t="shared" si="6"/>
        <v/>
      </c>
      <c r="D49" s="13" t="str">
        <f t="shared" si="0"/>
        <v/>
      </c>
      <c r="E49" s="13" t="str">
        <f t="shared" si="1"/>
        <v/>
      </c>
      <c r="F49" s="13" t="str">
        <f t="shared" si="2"/>
        <v/>
      </c>
      <c r="G49" s="13" t="str">
        <f t="shared" si="3"/>
        <v/>
      </c>
      <c r="H49" s="13" t="str">
        <f t="shared" si="4"/>
        <v/>
      </c>
      <c r="I49" t="str">
        <f t="shared" si="5"/>
        <v/>
      </c>
    </row>
    <row r="50" spans="1:9">
      <c r="A50">
        <f>CSV!B50</f>
        <v>0</v>
      </c>
      <c r="B50" s="13" t="e">
        <f>INDEX(Input!$D$2:$AC$500,
       MATCH(CPU_Formula!A50, Input!$J$2:$J$500, 0),
       MATCH("CPU model", Input!$D$1:$AC$1, 0))</f>
        <v>#N/A</v>
      </c>
      <c r="C50" s="13" t="str">
        <f t="shared" si="6"/>
        <v/>
      </c>
      <c r="D50" s="13" t="str">
        <f t="shared" si="0"/>
        <v/>
      </c>
      <c r="E50" s="13" t="str">
        <f t="shared" si="1"/>
        <v/>
      </c>
      <c r="F50" s="13" t="str">
        <f t="shared" si="2"/>
        <v/>
      </c>
      <c r="G50" s="13" t="str">
        <f t="shared" si="3"/>
        <v/>
      </c>
      <c r="H50" s="13" t="str">
        <f t="shared" si="4"/>
        <v/>
      </c>
      <c r="I50" t="str">
        <f t="shared" si="5"/>
        <v/>
      </c>
    </row>
    <row r="51" spans="1:9">
      <c r="A51">
        <f>CSV!B51</f>
        <v>0</v>
      </c>
      <c r="B51" s="13" t="e">
        <f>INDEX(Input!$D$2:$AC$500,
       MATCH(CPU_Formula!A51, Input!$J$2:$J$500, 0),
       MATCH("CPU model", Input!$D$1:$AC$1, 0))</f>
        <v>#N/A</v>
      </c>
      <c r="C51" s="13" t="str">
        <f t="shared" si="6"/>
        <v/>
      </c>
      <c r="D51" s="13" t="str">
        <f t="shared" si="0"/>
        <v/>
      </c>
      <c r="E51" s="13" t="str">
        <f t="shared" si="1"/>
        <v/>
      </c>
      <c r="F51" s="13" t="str">
        <f t="shared" si="2"/>
        <v/>
      </c>
      <c r="G51" s="13" t="str">
        <f t="shared" si="3"/>
        <v/>
      </c>
      <c r="H51" s="13" t="str">
        <f t="shared" si="4"/>
        <v/>
      </c>
      <c r="I51" t="str">
        <f t="shared" si="5"/>
        <v/>
      </c>
    </row>
    <row r="52" spans="1:9">
      <c r="A52">
        <f>CSV!B52</f>
        <v>0</v>
      </c>
      <c r="B52" s="13" t="e">
        <f>INDEX(Input!$D$2:$AC$500,
       MATCH(CPU_Formula!A52, Input!$J$2:$J$500, 0),
       MATCH("CPU model", Input!$D$1:$AC$1, 0))</f>
        <v>#N/A</v>
      </c>
      <c r="C52" s="13" t="str">
        <f t="shared" si="6"/>
        <v/>
      </c>
      <c r="D52" s="13" t="str">
        <f t="shared" si="0"/>
        <v/>
      </c>
      <c r="E52" s="13" t="str">
        <f t="shared" si="1"/>
        <v/>
      </c>
      <c r="F52" s="13" t="str">
        <f t="shared" si="2"/>
        <v/>
      </c>
      <c r="G52" s="13" t="str">
        <f t="shared" si="3"/>
        <v/>
      </c>
      <c r="H52" s="13" t="str">
        <f t="shared" si="4"/>
        <v/>
      </c>
      <c r="I52" t="str">
        <f t="shared" si="5"/>
        <v/>
      </c>
    </row>
    <row r="53" spans="1:9">
      <c r="A53">
        <f>CSV!B53</f>
        <v>0</v>
      </c>
      <c r="B53" s="13" t="e">
        <f>INDEX(Input!$D$2:$AC$500,
       MATCH(CPU_Formula!A53, Input!$J$2:$J$500, 0),
       MATCH("CPU model", Input!$D$1:$AC$1, 0))</f>
        <v>#N/A</v>
      </c>
      <c r="C53" s="13" t="str">
        <f t="shared" si="6"/>
        <v/>
      </c>
      <c r="D53" s="13" t="str">
        <f t="shared" si="0"/>
        <v/>
      </c>
      <c r="E53" s="13" t="str">
        <f t="shared" si="1"/>
        <v/>
      </c>
      <c r="F53" s="13" t="str">
        <f t="shared" si="2"/>
        <v/>
      </c>
      <c r="G53" s="13" t="str">
        <f t="shared" si="3"/>
        <v/>
      </c>
      <c r="H53" s="13" t="str">
        <f t="shared" si="4"/>
        <v/>
      </c>
      <c r="I53" t="str">
        <f t="shared" si="5"/>
        <v/>
      </c>
    </row>
    <row r="54" spans="1:9">
      <c r="A54">
        <f>CSV!B54</f>
        <v>0</v>
      </c>
      <c r="B54" s="13" t="e">
        <f>INDEX(Input!$D$2:$AC$500,
       MATCH(CPU_Formula!A54, Input!$J$2:$J$500, 0),
       MATCH("CPU model", Input!$D$1:$AC$1, 0))</f>
        <v>#N/A</v>
      </c>
      <c r="C54" s="13" t="str">
        <f t="shared" si="6"/>
        <v/>
      </c>
      <c r="D54" s="13" t="str">
        <f t="shared" si="0"/>
        <v/>
      </c>
      <c r="E54" s="13" t="str">
        <f t="shared" si="1"/>
        <v/>
      </c>
      <c r="F54" s="13" t="str">
        <f t="shared" si="2"/>
        <v/>
      </c>
      <c r="G54" s="13" t="str">
        <f t="shared" si="3"/>
        <v/>
      </c>
      <c r="H54" s="13" t="str">
        <f t="shared" si="4"/>
        <v/>
      </c>
      <c r="I54" t="str">
        <f t="shared" si="5"/>
        <v/>
      </c>
    </row>
    <row r="55" spans="1:9">
      <c r="A55">
        <f>CSV!B55</f>
        <v>0</v>
      </c>
      <c r="B55" s="13" t="e">
        <f>INDEX(Input!$D$2:$AC$500,
       MATCH(CPU_Formula!A55, Input!$J$2:$J$500, 0),
       MATCH("CPU model", Input!$D$1:$AC$1, 0))</f>
        <v>#N/A</v>
      </c>
      <c r="C55" s="13" t="str">
        <f t="shared" si="6"/>
        <v/>
      </c>
      <c r="D55" s="13" t="str">
        <f t="shared" si="0"/>
        <v/>
      </c>
      <c r="E55" s="13" t="str">
        <f t="shared" si="1"/>
        <v/>
      </c>
      <c r="F55" s="13" t="str">
        <f t="shared" si="2"/>
        <v/>
      </c>
      <c r="G55" s="13" t="str">
        <f t="shared" si="3"/>
        <v/>
      </c>
      <c r="H55" s="13" t="str">
        <f t="shared" si="4"/>
        <v/>
      </c>
      <c r="I55" t="str">
        <f t="shared" si="5"/>
        <v/>
      </c>
    </row>
    <row r="56" spans="1:9">
      <c r="A56">
        <f>CSV!B56</f>
        <v>0</v>
      </c>
      <c r="B56" s="13" t="e">
        <f>INDEX(Input!$D$2:$AC$500,
       MATCH(CPU_Formula!A56, Input!$J$2:$J$500, 0),
       MATCH("CPU model", Input!$D$1:$AC$1, 0))</f>
        <v>#N/A</v>
      </c>
      <c r="C56" s="13" t="str">
        <f t="shared" si="6"/>
        <v/>
      </c>
      <c r="D56" s="13" t="str">
        <f t="shared" si="0"/>
        <v/>
      </c>
      <c r="E56" s="13" t="str">
        <f t="shared" si="1"/>
        <v/>
      </c>
      <c r="F56" s="13" t="str">
        <f t="shared" si="2"/>
        <v/>
      </c>
      <c r="G56" s="13" t="str">
        <f t="shared" si="3"/>
        <v/>
      </c>
      <c r="H56" s="13" t="str">
        <f t="shared" si="4"/>
        <v/>
      </c>
      <c r="I56" t="str">
        <f t="shared" si="5"/>
        <v/>
      </c>
    </row>
    <row r="57" spans="1:9">
      <c r="A57">
        <f>CSV!B57</f>
        <v>0</v>
      </c>
      <c r="B57" s="13" t="e">
        <f>INDEX(Input!$D$2:$AC$500,
       MATCH(CPU_Formula!A57, Input!$J$2:$J$500, 0),
       MATCH("CPU model", Input!$D$1:$AC$1, 0))</f>
        <v>#N/A</v>
      </c>
      <c r="C57" s="13" t="str">
        <f t="shared" si="6"/>
        <v/>
      </c>
      <c r="D57" s="13" t="str">
        <f t="shared" si="0"/>
        <v/>
      </c>
      <c r="E57" s="13" t="str">
        <f t="shared" si="1"/>
        <v/>
      </c>
      <c r="F57" s="13" t="str">
        <f t="shared" si="2"/>
        <v/>
      </c>
      <c r="G57" s="13" t="str">
        <f t="shared" si="3"/>
        <v/>
      </c>
      <c r="H57" s="13" t="str">
        <f t="shared" si="4"/>
        <v/>
      </c>
      <c r="I57" t="str">
        <f t="shared" si="5"/>
        <v/>
      </c>
    </row>
    <row r="58" spans="1:9">
      <c r="A58">
        <f>CSV!B58</f>
        <v>0</v>
      </c>
      <c r="B58" s="13" t="e">
        <f>INDEX(Input!$D$2:$AC$500,
       MATCH(CPU_Formula!A58, Input!$J$2:$J$500, 0),
       MATCH("CPU model", Input!$D$1:$AC$1, 0))</f>
        <v>#N/A</v>
      </c>
      <c r="C58" s="13" t="str">
        <f t="shared" si="6"/>
        <v/>
      </c>
      <c r="D58" s="13" t="str">
        <f t="shared" si="0"/>
        <v/>
      </c>
      <c r="E58" s="13" t="str">
        <f t="shared" si="1"/>
        <v/>
      </c>
      <c r="F58" s="13" t="str">
        <f t="shared" si="2"/>
        <v/>
      </c>
      <c r="G58" s="13" t="str">
        <f t="shared" si="3"/>
        <v/>
      </c>
      <c r="H58" s="13" t="str">
        <f t="shared" si="4"/>
        <v/>
      </c>
      <c r="I58" t="str">
        <f t="shared" si="5"/>
        <v/>
      </c>
    </row>
    <row r="59" spans="1:9">
      <c r="A59">
        <f>CSV!B59</f>
        <v>0</v>
      </c>
      <c r="B59" s="13" t="e">
        <f>INDEX(Input!$D$2:$AC$500,
       MATCH(CPU_Formula!A59, Input!$J$2:$J$500, 0),
       MATCH("CPU model", Input!$D$1:$AC$1, 0))</f>
        <v>#N/A</v>
      </c>
      <c r="C59" s="13" t="str">
        <f t="shared" si="6"/>
        <v/>
      </c>
      <c r="D59" s="13" t="str">
        <f t="shared" si="0"/>
        <v/>
      </c>
      <c r="E59" s="13" t="str">
        <f t="shared" si="1"/>
        <v/>
      </c>
      <c r="F59" s="13" t="str">
        <f t="shared" si="2"/>
        <v/>
      </c>
      <c r="G59" s="13" t="str">
        <f t="shared" si="3"/>
        <v/>
      </c>
      <c r="H59" s="13" t="str">
        <f t="shared" si="4"/>
        <v/>
      </c>
      <c r="I59" t="str">
        <f t="shared" si="5"/>
        <v/>
      </c>
    </row>
    <row r="60" spans="1:9">
      <c r="A60">
        <f>CSV!B60</f>
        <v>0</v>
      </c>
      <c r="B60" s="13" t="e">
        <f>INDEX(Input!$D$2:$AC$500,
       MATCH(CPU_Formula!A60, Input!$J$2:$J$500, 0),
       MATCH("CPU model", Input!$D$1:$AC$1, 0))</f>
        <v>#N/A</v>
      </c>
      <c r="C60" s="13" t="str">
        <f t="shared" si="6"/>
        <v/>
      </c>
      <c r="D60" s="13" t="str">
        <f t="shared" si="0"/>
        <v/>
      </c>
      <c r="E60" s="13" t="str">
        <f t="shared" si="1"/>
        <v/>
      </c>
      <c r="F60" s="13" t="str">
        <f t="shared" si="2"/>
        <v/>
      </c>
      <c r="G60" s="13" t="str">
        <f t="shared" si="3"/>
        <v/>
      </c>
      <c r="H60" s="13" t="str">
        <f t="shared" si="4"/>
        <v/>
      </c>
      <c r="I60" t="str">
        <f t="shared" si="5"/>
        <v/>
      </c>
    </row>
    <row r="61" spans="1:9">
      <c r="A61">
        <f>CSV!B61</f>
        <v>0</v>
      </c>
      <c r="B61" s="13" t="e">
        <f>INDEX(Input!$D$2:$AC$500,
       MATCH(CPU_Formula!A61, Input!$J$2:$J$500, 0),
       MATCH("CPU model", Input!$D$1:$AC$1, 0))</f>
        <v>#N/A</v>
      </c>
      <c r="C61" s="13" t="str">
        <f t="shared" si="6"/>
        <v/>
      </c>
      <c r="D61" s="13" t="str">
        <f t="shared" si="0"/>
        <v/>
      </c>
      <c r="E61" s="13" t="str">
        <f t="shared" si="1"/>
        <v/>
      </c>
      <c r="F61" s="13" t="str">
        <f t="shared" si="2"/>
        <v/>
      </c>
      <c r="G61" s="13" t="str">
        <f t="shared" si="3"/>
        <v/>
      </c>
      <c r="H61" s="13" t="str">
        <f t="shared" si="4"/>
        <v/>
      </c>
      <c r="I61" t="str">
        <f t="shared" si="5"/>
        <v/>
      </c>
    </row>
    <row r="62" spans="1:9">
      <c r="A62">
        <f>CSV!B62</f>
        <v>0</v>
      </c>
      <c r="B62" s="13" t="e">
        <f>INDEX(Input!$D$2:$AC$500,
       MATCH(CPU_Formula!A62, Input!$J$2:$J$500, 0),
       MATCH("CPU model", Input!$D$1:$AC$1, 0))</f>
        <v>#N/A</v>
      </c>
      <c r="C62" s="13" t="str">
        <f t="shared" si="6"/>
        <v/>
      </c>
      <c r="D62" s="13" t="str">
        <f t="shared" si="0"/>
        <v/>
      </c>
      <c r="E62" s="13" t="str">
        <f t="shared" si="1"/>
        <v/>
      </c>
      <c r="F62" s="13" t="str">
        <f t="shared" si="2"/>
        <v/>
      </c>
      <c r="G62" s="13" t="str">
        <f t="shared" si="3"/>
        <v/>
      </c>
      <c r="H62" s="13" t="str">
        <f t="shared" si="4"/>
        <v/>
      </c>
      <c r="I62" t="str">
        <f t="shared" si="5"/>
        <v/>
      </c>
    </row>
    <row r="63" spans="1:9">
      <c r="A63">
        <f>CSV!B63</f>
        <v>0</v>
      </c>
      <c r="B63" s="13" t="e">
        <f>INDEX(Input!$D$2:$AC$500,
       MATCH(CPU_Formula!A63, Input!$J$2:$J$500, 0),
       MATCH("CPU model", Input!$D$1:$AC$1, 0))</f>
        <v>#N/A</v>
      </c>
      <c r="C63" s="13" t="str">
        <f t="shared" si="6"/>
        <v/>
      </c>
      <c r="D63" s="13" t="str">
        <f t="shared" si="0"/>
        <v/>
      </c>
      <c r="E63" s="13" t="str">
        <f t="shared" si="1"/>
        <v/>
      </c>
      <c r="F63" s="13" t="str">
        <f t="shared" si="2"/>
        <v/>
      </c>
      <c r="G63" s="13" t="str">
        <f t="shared" si="3"/>
        <v/>
      </c>
      <c r="H63" s="13" t="str">
        <f t="shared" si="4"/>
        <v/>
      </c>
      <c r="I63" t="str">
        <f t="shared" si="5"/>
        <v/>
      </c>
    </row>
    <row r="64" spans="1:9">
      <c r="A64">
        <f>CSV!B64</f>
        <v>0</v>
      </c>
      <c r="B64" s="13" t="e">
        <f>INDEX(Input!$D$2:$AC$500,
       MATCH(CPU_Formula!A64, Input!$J$2:$J$500, 0),
       MATCH("CPU model", Input!$D$1:$AC$1, 0))</f>
        <v>#N/A</v>
      </c>
      <c r="C64" s="13" t="str">
        <f t="shared" si="6"/>
        <v/>
      </c>
      <c r="D64" s="13" t="str">
        <f t="shared" si="0"/>
        <v/>
      </c>
      <c r="E64" s="13" t="str">
        <f t="shared" si="1"/>
        <v/>
      </c>
      <c r="F64" s="13" t="str">
        <f t="shared" si="2"/>
        <v/>
      </c>
      <c r="G64" s="13" t="str">
        <f t="shared" si="3"/>
        <v/>
      </c>
      <c r="H64" s="13" t="str">
        <f t="shared" si="4"/>
        <v/>
      </c>
      <c r="I64" t="str">
        <f t="shared" si="5"/>
        <v/>
      </c>
    </row>
    <row r="65" spans="1:9">
      <c r="A65">
        <f>CSV!B65</f>
        <v>0</v>
      </c>
      <c r="B65" s="13" t="e">
        <f>INDEX(Input!$D$2:$AC$500,
       MATCH(CPU_Formula!A65, Input!$J$2:$J$500, 0),
       MATCH("CPU model", Input!$D$1:$AC$1, 0))</f>
        <v>#N/A</v>
      </c>
      <c r="C65" s="13" t="str">
        <f t="shared" si="6"/>
        <v/>
      </c>
      <c r="D65" s="13" t="str">
        <f t="shared" si="0"/>
        <v/>
      </c>
      <c r="E65" s="13" t="str">
        <f t="shared" si="1"/>
        <v/>
      </c>
      <c r="F65" s="13" t="str">
        <f t="shared" si="2"/>
        <v/>
      </c>
      <c r="G65" s="13" t="str">
        <f t="shared" si="3"/>
        <v/>
      </c>
      <c r="H65" s="13" t="str">
        <f t="shared" si="4"/>
        <v/>
      </c>
      <c r="I65" t="str">
        <f t="shared" si="5"/>
        <v/>
      </c>
    </row>
    <row r="66" spans="1:9">
      <c r="A66">
        <f>CSV!B66</f>
        <v>0</v>
      </c>
      <c r="B66" s="13" t="e">
        <f>INDEX(Input!$D$2:$AC$500,
       MATCH(CPU_Formula!A66, Input!$J$2:$J$500, 0),
       MATCH("CPU model", Input!$D$1:$AC$1, 0))</f>
        <v>#N/A</v>
      </c>
      <c r="C66" s="13" t="str">
        <f t="shared" si="6"/>
        <v/>
      </c>
      <c r="D66" s="13" t="str">
        <f t="shared" ref="D66:D73" si="7">IF(ISNUMBER(SEARCH("Ryzen", B66)), _xlfn.TEXTAFTER(B66, "AMD"), "")</f>
        <v/>
      </c>
      <c r="E66" s="13" t="str">
        <f t="shared" ref="E66:E73" si="8">IF(ISNUMBER(SEARCH("Ultra", B66)), "Ultra"&amp;_xlfn.TEXTAFTER(B66, "Ultra"), "")</f>
        <v/>
      </c>
      <c r="F66" s="13" t="str">
        <f t="shared" ref="F66:F73" si="9">IF(C66&lt;&gt;"", TRIM(_xlfn.TEXTBEFORE(C66," ",,1,1)), "")</f>
        <v/>
      </c>
      <c r="G66" s="13" t="str">
        <f t="shared" ref="G66:G73" si="10">IFERROR(_xlfn.TEXTBEFORE(D66,"w/"),"")</f>
        <v/>
      </c>
      <c r="H66" s="13" t="str">
        <f t="shared" ref="H66:H73" si="11">E66</f>
        <v/>
      </c>
      <c r="I66" t="str">
        <f t="shared" ref="I66:I73" si="12">IF(H66&lt;&gt;"",H66,IF(G66&lt;&gt;"",G66,F66))</f>
        <v/>
      </c>
    </row>
    <row r="67" spans="1:9">
      <c r="A67">
        <f>CSV!B67</f>
        <v>0</v>
      </c>
      <c r="B67" s="13" t="e">
        <f>INDEX(Input!$D$2:$AC$500,
       MATCH(CPU_Formula!A67, Input!$J$2:$J$500, 0),
       MATCH("CPU model", Input!$D$1:$AC$1, 0))</f>
        <v>#N/A</v>
      </c>
      <c r="C67" s="13" t="str">
        <f t="shared" ref="C67:C130" si="13">IFERROR(_xlfn.TEXTAFTER(B67,"Core(TM) "),IFERROR(_xlfn.TEXTAFTER(B67,"Xeon(R) CPU"),""))</f>
        <v/>
      </c>
      <c r="D67" s="13" t="str">
        <f t="shared" si="7"/>
        <v/>
      </c>
      <c r="E67" s="13" t="str">
        <f t="shared" si="8"/>
        <v/>
      </c>
      <c r="F67" s="13" t="str">
        <f t="shared" si="9"/>
        <v/>
      </c>
      <c r="G67" s="13" t="str">
        <f t="shared" si="10"/>
        <v/>
      </c>
      <c r="H67" s="13" t="str">
        <f t="shared" si="11"/>
        <v/>
      </c>
      <c r="I67" t="str">
        <f t="shared" si="12"/>
        <v/>
      </c>
    </row>
    <row r="68" spans="1:9">
      <c r="A68">
        <f>CSV!B68</f>
        <v>0</v>
      </c>
      <c r="B68" s="13" t="e">
        <f>INDEX(Input!$D$2:$AC$500,
       MATCH(CPU_Formula!A68, Input!$J$2:$J$500, 0),
       MATCH("CPU model", Input!$D$1:$AC$1, 0))</f>
        <v>#N/A</v>
      </c>
      <c r="C68" s="13" t="str">
        <f t="shared" si="13"/>
        <v/>
      </c>
      <c r="D68" s="13" t="str">
        <f t="shared" si="7"/>
        <v/>
      </c>
      <c r="E68" s="13" t="str">
        <f t="shared" si="8"/>
        <v/>
      </c>
      <c r="F68" s="13" t="str">
        <f t="shared" si="9"/>
        <v/>
      </c>
      <c r="G68" s="13" t="str">
        <f t="shared" si="10"/>
        <v/>
      </c>
      <c r="H68" s="13" t="str">
        <f t="shared" si="11"/>
        <v/>
      </c>
      <c r="I68" t="str">
        <f t="shared" si="12"/>
        <v/>
      </c>
    </row>
    <row r="69" spans="1:9">
      <c r="A69">
        <f>CSV!B69</f>
        <v>0</v>
      </c>
      <c r="B69" s="13" t="e">
        <f>INDEX(Input!$D$2:$AC$500,
       MATCH(CPU_Formula!A69, Input!$J$2:$J$500, 0),
       MATCH("CPU model", Input!$D$1:$AC$1, 0))</f>
        <v>#N/A</v>
      </c>
      <c r="C69" s="13" t="str">
        <f t="shared" si="13"/>
        <v/>
      </c>
      <c r="D69" s="13" t="str">
        <f t="shared" si="7"/>
        <v/>
      </c>
      <c r="E69" s="13" t="str">
        <f t="shared" si="8"/>
        <v/>
      </c>
      <c r="F69" s="13" t="str">
        <f t="shared" si="9"/>
        <v/>
      </c>
      <c r="G69" s="13" t="str">
        <f t="shared" si="10"/>
        <v/>
      </c>
      <c r="H69" s="13" t="str">
        <f t="shared" si="11"/>
        <v/>
      </c>
      <c r="I69" t="str">
        <f t="shared" si="12"/>
        <v/>
      </c>
    </row>
    <row r="70" spans="1:9">
      <c r="A70">
        <f>CSV!B70</f>
        <v>0</v>
      </c>
      <c r="B70" s="13" t="e">
        <f>INDEX(Input!$D$2:$AC$500,
       MATCH(CPU_Formula!A70, Input!$J$2:$J$500, 0),
       MATCH("CPU model", Input!$D$1:$AC$1, 0))</f>
        <v>#N/A</v>
      </c>
      <c r="C70" s="13" t="str">
        <f t="shared" si="13"/>
        <v/>
      </c>
      <c r="D70" s="13" t="str">
        <f t="shared" si="7"/>
        <v/>
      </c>
      <c r="E70" s="13" t="str">
        <f t="shared" si="8"/>
        <v/>
      </c>
      <c r="F70" s="13" t="str">
        <f t="shared" si="9"/>
        <v/>
      </c>
      <c r="G70" s="13" t="str">
        <f t="shared" si="10"/>
        <v/>
      </c>
      <c r="H70" s="13" t="str">
        <f t="shared" si="11"/>
        <v/>
      </c>
      <c r="I70" t="str">
        <f t="shared" si="12"/>
        <v/>
      </c>
    </row>
    <row r="71" spans="1:9">
      <c r="A71">
        <f>CSV!B71</f>
        <v>0</v>
      </c>
      <c r="B71" s="13" t="e">
        <f>INDEX(Input!$D$2:$AC$500,
       MATCH(CPU_Formula!A71, Input!$J$2:$J$500, 0),
       MATCH("CPU model", Input!$D$1:$AC$1, 0))</f>
        <v>#N/A</v>
      </c>
      <c r="C71" s="13" t="str">
        <f t="shared" si="13"/>
        <v/>
      </c>
      <c r="D71" s="13" t="str">
        <f t="shared" si="7"/>
        <v/>
      </c>
      <c r="E71" s="13" t="str">
        <f t="shared" si="8"/>
        <v/>
      </c>
      <c r="F71" s="13" t="str">
        <f t="shared" si="9"/>
        <v/>
      </c>
      <c r="G71" s="13" t="str">
        <f t="shared" si="10"/>
        <v/>
      </c>
      <c r="H71" s="13" t="str">
        <f t="shared" si="11"/>
        <v/>
      </c>
      <c r="I71" t="str">
        <f t="shared" si="12"/>
        <v/>
      </c>
    </row>
    <row r="72" spans="1:9">
      <c r="A72">
        <f>CSV!B72</f>
        <v>0</v>
      </c>
      <c r="B72" s="13" t="e">
        <f>INDEX(Input!$D$2:$AC$500,
       MATCH(CPU_Formula!A72, Input!$J$2:$J$500, 0),
       MATCH("CPU model", Input!$D$1:$AC$1, 0))</f>
        <v>#N/A</v>
      </c>
      <c r="C72" s="13" t="str">
        <f t="shared" si="13"/>
        <v/>
      </c>
      <c r="D72" s="13" t="str">
        <f t="shared" si="7"/>
        <v/>
      </c>
      <c r="E72" s="13" t="str">
        <f t="shared" si="8"/>
        <v/>
      </c>
      <c r="F72" s="13" t="str">
        <f t="shared" si="9"/>
        <v/>
      </c>
      <c r="G72" s="13" t="str">
        <f t="shared" si="10"/>
        <v/>
      </c>
      <c r="H72" s="13" t="str">
        <f t="shared" si="11"/>
        <v/>
      </c>
      <c r="I72" t="str">
        <f t="shared" si="12"/>
        <v/>
      </c>
    </row>
    <row r="73" spans="1:9">
      <c r="A73">
        <f>CSV!B73</f>
        <v>0</v>
      </c>
      <c r="B73" s="13" t="e">
        <f>INDEX(Input!$D$2:$AC$500,
       MATCH(CPU_Formula!A73, Input!$J$2:$J$500, 0),
       MATCH("CPU model", Input!$D$1:$AC$1, 0))</f>
        <v>#N/A</v>
      </c>
      <c r="C73" s="13" t="str">
        <f t="shared" si="13"/>
        <v/>
      </c>
      <c r="D73" s="13" t="str">
        <f t="shared" si="7"/>
        <v/>
      </c>
      <c r="E73" s="13" t="str">
        <f t="shared" si="8"/>
        <v/>
      </c>
      <c r="F73" s="13" t="str">
        <f t="shared" si="9"/>
        <v/>
      </c>
      <c r="G73" s="13" t="str">
        <f t="shared" si="10"/>
        <v/>
      </c>
      <c r="H73" s="13" t="str">
        <f t="shared" si="11"/>
        <v/>
      </c>
      <c r="I73" t="str">
        <f t="shared" si="12"/>
        <v/>
      </c>
    </row>
    <row r="74" spans="1:9">
      <c r="A74">
        <f>CSV!B74</f>
        <v>0</v>
      </c>
      <c r="B74" s="13" t="e">
        <f>INDEX(Input!$D$2:$AC$500,
       MATCH(CPU_Formula!A74, Input!$J$2:$J$500, 0),
       MATCH("CPU model", Input!$D$1:$AC$1, 0))</f>
        <v>#N/A</v>
      </c>
      <c r="C74" s="13" t="str">
        <f t="shared" si="13"/>
        <v/>
      </c>
      <c r="D74" s="13" t="str">
        <f>IF(ISNUMBER(SEARCH("Ryzen", B74)), _xlfn.TEXTAFTER(B74, "AMD"), "")</f>
        <v/>
      </c>
      <c r="E74" s="13" t="str">
        <f t="shared" ref="E74:E104" si="14">IF(ISNUMBER(SEARCH("Ultra", B74)), "Ultra"&amp;_xlfn.TEXTAFTER(B74, "Ultra"), "")</f>
        <v/>
      </c>
      <c r="F74" s="13" t="str">
        <f t="shared" ref="F74:F104" si="15">IF(C74&lt;&gt;"", TRIM(_xlfn.TEXTBEFORE(C74," ",,1,1)), "")</f>
        <v/>
      </c>
      <c r="G74" s="13" t="str">
        <f>IFERROR(_xlfn.TEXTBEFORE(D74,"w/"),"")</f>
        <v/>
      </c>
      <c r="H74" s="13" t="str">
        <f t="shared" ref="H74:H104" si="16">E74</f>
        <v/>
      </c>
      <c r="I74" t="str">
        <f t="shared" ref="I74:I104" si="17">IF(H74&lt;&gt;"",H74,IF(G74&lt;&gt;"",G74,F74))</f>
        <v/>
      </c>
    </row>
    <row r="75" spans="1:9">
      <c r="A75">
        <f>CSV!B75</f>
        <v>0</v>
      </c>
      <c r="B75" s="13" t="e">
        <f>INDEX(Input!$D$2:$AC$500,
       MATCH(CPU_Formula!A75, Input!$J$2:$J$500, 0),
       MATCH("CPU model", Input!$D$1:$AC$1, 0))</f>
        <v>#N/A</v>
      </c>
      <c r="C75" s="13" t="str">
        <f t="shared" si="13"/>
        <v/>
      </c>
      <c r="D75" s="13" t="str">
        <f t="shared" ref="D75:D87" si="18">IF(ISNUMBER(SEARCH("Ryzen", B75)), _xlfn.TEXTAFTER(B75, "AMD"), "")</f>
        <v/>
      </c>
      <c r="E75" s="13" t="str">
        <f t="shared" ref="E75:E87" si="19">IF(ISNUMBER(SEARCH("Ultra", B75)), "Ultra"&amp;_xlfn.TEXTAFTER(B75, "Ultra"), "")</f>
        <v/>
      </c>
      <c r="F75" s="13" t="str">
        <f t="shared" ref="F75:F87" si="20">IF(C75&lt;&gt;"", TRIM(_xlfn.TEXTBEFORE(C75," ",,1,1)), "")</f>
        <v/>
      </c>
      <c r="G75" s="13" t="str">
        <f t="shared" ref="G75:G87" si="21">IFERROR(_xlfn.TEXTBEFORE(D75,"w/"),"")</f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INDEX(Input!$D$2:$AC$500,
       MATCH(CPU_Formula!A76, Input!$J$2:$J$500, 0),
       MATCH("CPU model", Input!$D$1:$AC$1, 0))</f>
        <v>#N/A</v>
      </c>
      <c r="C76" s="13" t="str">
        <f t="shared" si="13"/>
        <v/>
      </c>
      <c r="D76" s="13" t="str">
        <f t="shared" si="18"/>
        <v/>
      </c>
      <c r="E76" s="13" t="str">
        <f t="shared" si="19"/>
        <v/>
      </c>
      <c r="F76" s="13" t="str">
        <f t="shared" si="20"/>
        <v/>
      </c>
      <c r="G76" s="13" t="str">
        <f t="shared" si="2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INDEX(Input!$D$2:$AC$500,
       MATCH(CPU_Formula!A77, Input!$J$2:$J$500, 0),
       MATCH("CPU model", Input!$D$1:$AC$1, 0))</f>
        <v>#N/A</v>
      </c>
      <c r="C77" s="13" t="str">
        <f t="shared" si="13"/>
        <v/>
      </c>
      <c r="D77" s="13" t="str">
        <f t="shared" si="18"/>
        <v/>
      </c>
      <c r="E77" s="13" t="str">
        <f t="shared" si="19"/>
        <v/>
      </c>
      <c r="F77" s="13" t="str">
        <f t="shared" si="20"/>
        <v/>
      </c>
      <c r="G77" s="13" t="str">
        <f t="shared" si="2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INDEX(Input!$D$2:$AC$500,
       MATCH(CPU_Formula!A78, Input!$J$2:$J$500, 0),
       MATCH("CPU model", Input!$D$1:$AC$1, 0))</f>
        <v>#N/A</v>
      </c>
      <c r="C78" s="13" t="str">
        <f t="shared" si="13"/>
        <v/>
      </c>
      <c r="D78" s="13" t="str">
        <f t="shared" si="18"/>
        <v/>
      </c>
      <c r="E78" s="13" t="str">
        <f t="shared" si="19"/>
        <v/>
      </c>
      <c r="F78" s="13" t="str">
        <f t="shared" si="20"/>
        <v/>
      </c>
      <c r="G78" s="13" t="str">
        <f t="shared" si="2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INDEX(Input!$D$2:$AC$500,
       MATCH(CPU_Formula!A79, Input!$J$2:$J$500, 0),
       MATCH("CPU model", Input!$D$1:$AC$1, 0))</f>
        <v>#N/A</v>
      </c>
      <c r="C79" s="13" t="str">
        <f t="shared" si="13"/>
        <v/>
      </c>
      <c r="D79" s="13" t="str">
        <f t="shared" si="18"/>
        <v/>
      </c>
      <c r="E79" s="13" t="str">
        <f t="shared" si="19"/>
        <v/>
      </c>
      <c r="F79" s="13" t="str">
        <f t="shared" si="20"/>
        <v/>
      </c>
      <c r="G79" s="13" t="str">
        <f t="shared" si="2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INDEX(Input!$D$2:$AC$500,
       MATCH(CPU_Formula!A80, Input!$J$2:$J$500, 0),
       MATCH("CPU model", Input!$D$1:$AC$1, 0))</f>
        <v>#N/A</v>
      </c>
      <c r="C80" s="13" t="str">
        <f t="shared" si="13"/>
        <v/>
      </c>
      <c r="D80" s="13" t="str">
        <f t="shared" si="18"/>
        <v/>
      </c>
      <c r="E80" s="13" t="str">
        <f t="shared" si="19"/>
        <v/>
      </c>
      <c r="F80" s="13" t="str">
        <f t="shared" si="20"/>
        <v/>
      </c>
      <c r="G80" s="13" t="str">
        <f t="shared" si="2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INDEX(Input!$D$2:$AC$500,
       MATCH(CPU_Formula!A81, Input!$J$2:$J$500, 0),
       MATCH("CPU model", Input!$D$1:$AC$1, 0))</f>
        <v>#N/A</v>
      </c>
      <c r="C81" s="13" t="str">
        <f t="shared" si="13"/>
        <v/>
      </c>
      <c r="D81" s="13" t="str">
        <f t="shared" si="18"/>
        <v/>
      </c>
      <c r="E81" s="13" t="str">
        <f t="shared" si="19"/>
        <v/>
      </c>
      <c r="F81" s="13" t="str">
        <f t="shared" si="20"/>
        <v/>
      </c>
      <c r="G81" s="13" t="str">
        <f t="shared" si="2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INDEX(Input!$D$2:$AC$500,
       MATCH(CPU_Formula!A82, Input!$J$2:$J$500, 0),
       MATCH("CPU model", Input!$D$1:$AC$1, 0))</f>
        <v>#N/A</v>
      </c>
      <c r="C82" s="13" t="str">
        <f t="shared" si="13"/>
        <v/>
      </c>
      <c r="D82" s="13" t="str">
        <f t="shared" si="18"/>
        <v/>
      </c>
      <c r="E82" s="13" t="str">
        <f t="shared" si="19"/>
        <v/>
      </c>
      <c r="F82" s="13" t="str">
        <f t="shared" si="20"/>
        <v/>
      </c>
      <c r="G82" s="13" t="str">
        <f t="shared" si="2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INDEX(Input!$D$2:$AC$500,
       MATCH(CPU_Formula!A83, Input!$J$2:$J$500, 0),
       MATCH("CPU model", Input!$D$1:$AC$1, 0))</f>
        <v>#N/A</v>
      </c>
      <c r="C83" s="13" t="str">
        <f t="shared" si="13"/>
        <v/>
      </c>
      <c r="D83" s="13" t="str">
        <f t="shared" si="18"/>
        <v/>
      </c>
      <c r="E83" s="13" t="str">
        <f t="shared" si="19"/>
        <v/>
      </c>
      <c r="F83" s="13" t="str">
        <f t="shared" si="20"/>
        <v/>
      </c>
      <c r="G83" s="13" t="str">
        <f t="shared" si="2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INDEX(Input!$D$2:$AC$500,
       MATCH(CPU_Formula!A84, Input!$J$2:$J$500, 0),
       MATCH("CPU model", Input!$D$1:$AC$1, 0))</f>
        <v>#N/A</v>
      </c>
      <c r="C84" s="13" t="str">
        <f t="shared" si="13"/>
        <v/>
      </c>
      <c r="D84" s="13" t="str">
        <f t="shared" si="18"/>
        <v/>
      </c>
      <c r="E84" s="13" t="str">
        <f t="shared" si="19"/>
        <v/>
      </c>
      <c r="F84" s="13" t="str">
        <f t="shared" si="20"/>
        <v/>
      </c>
      <c r="G84" s="13" t="str">
        <f t="shared" si="2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INDEX(Input!$D$2:$AC$500,
       MATCH(CPU_Formula!A85, Input!$J$2:$J$500, 0),
       MATCH("CPU model", Input!$D$1:$AC$1, 0))</f>
        <v>#N/A</v>
      </c>
      <c r="C85" s="13" t="str">
        <f t="shared" si="13"/>
        <v/>
      </c>
      <c r="D85" s="13" t="str">
        <f t="shared" si="18"/>
        <v/>
      </c>
      <c r="E85" s="13" t="str">
        <f t="shared" si="19"/>
        <v/>
      </c>
      <c r="F85" s="13" t="str">
        <f t="shared" si="20"/>
        <v/>
      </c>
      <c r="G85" s="13" t="str">
        <f t="shared" si="2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INDEX(Input!$D$2:$AC$500,
       MATCH(CPU_Formula!A86, Input!$J$2:$J$500, 0),
       MATCH("CPU model", Input!$D$1:$AC$1, 0))</f>
        <v>#N/A</v>
      </c>
      <c r="C86" s="13" t="str">
        <f t="shared" si="13"/>
        <v/>
      </c>
      <c r="D86" s="13" t="str">
        <f t="shared" si="18"/>
        <v/>
      </c>
      <c r="E86" s="13" t="str">
        <f t="shared" si="19"/>
        <v/>
      </c>
      <c r="F86" s="13" t="str">
        <f t="shared" si="20"/>
        <v/>
      </c>
      <c r="G86" s="13" t="str">
        <f t="shared" si="2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INDEX(Input!$D$2:$AC$500,
       MATCH(CPU_Formula!A87, Input!$J$2:$J$500, 0),
       MATCH("CPU model", Input!$D$1:$AC$1, 0))</f>
        <v>#N/A</v>
      </c>
      <c r="C87" s="13" t="str">
        <f t="shared" si="13"/>
        <v/>
      </c>
      <c r="D87" s="13" t="str">
        <f t="shared" si="18"/>
        <v/>
      </c>
      <c r="E87" s="13" t="str">
        <f t="shared" si="19"/>
        <v/>
      </c>
      <c r="F87" s="13" t="str">
        <f t="shared" si="20"/>
        <v/>
      </c>
      <c r="G87" s="13" t="str">
        <f t="shared" si="2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INDEX(Input!$D$2:$AC$500,
       MATCH(CPU_Formula!A88, Input!$J$2:$J$500, 0),
       MATCH("CPU model", Input!$D$1:$AC$1, 0))</f>
        <v>#N/A</v>
      </c>
      <c r="C88" s="13" t="str">
        <f t="shared" si="13"/>
        <v/>
      </c>
      <c r="D88" s="13" t="str">
        <f t="shared" ref="D88:D104" si="24">IFERROR(_xlfn.TEXTAFTER(B88,"Ryzen "), "")</f>
        <v/>
      </c>
      <c r="E88" s="13" t="str">
        <f t="shared" si="14"/>
        <v/>
      </c>
      <c r="F88" s="13" t="str">
        <f t="shared" si="15"/>
        <v/>
      </c>
      <c r="G88" s="13" t="str">
        <f t="shared" ref="G88:G104" si="25">IF(D88&lt;&gt;"", TRIM(_xlfn.TEXTBEFORE(D88," ",,1)), "")</f>
        <v/>
      </c>
      <c r="H88" s="13" t="str">
        <f t="shared" si="16"/>
        <v/>
      </c>
      <c r="I88" t="str">
        <f t="shared" si="17"/>
        <v/>
      </c>
    </row>
    <row r="89" spans="1:9">
      <c r="A89">
        <f>CSV!B89</f>
        <v>0</v>
      </c>
      <c r="B89" s="13" t="e">
        <f>INDEX(Input!$D$2:$AC$500,
       MATCH(CPU_Formula!A89, Input!$J$2:$J$500, 0),
       MATCH("CPU model", Input!$D$1:$AC$1, 0))</f>
        <v>#N/A</v>
      </c>
      <c r="C89" s="13" t="str">
        <f t="shared" si="13"/>
        <v/>
      </c>
      <c r="D89" s="13" t="str">
        <f t="shared" si="24"/>
        <v/>
      </c>
      <c r="E89" s="13" t="str">
        <f t="shared" si="14"/>
        <v/>
      </c>
      <c r="F89" s="13" t="str">
        <f t="shared" si="15"/>
        <v/>
      </c>
      <c r="G89" s="13" t="str">
        <f t="shared" si="25"/>
        <v/>
      </c>
      <c r="H89" s="13" t="str">
        <f t="shared" si="16"/>
        <v/>
      </c>
      <c r="I89" t="str">
        <f t="shared" si="17"/>
        <v/>
      </c>
    </row>
    <row r="90" spans="1:9">
      <c r="A90">
        <f>CSV!B90</f>
        <v>0</v>
      </c>
      <c r="B90" s="13" t="e">
        <f>INDEX(Input!$D$2:$AC$500,
       MATCH(CPU_Formula!A90, Input!$J$2:$J$500, 0),
       MATCH("CPU model", Input!$D$1:$AC$1, 0))</f>
        <v>#N/A</v>
      </c>
      <c r="C90" s="13" t="str">
        <f t="shared" si="13"/>
        <v/>
      </c>
      <c r="D90" s="13" t="str">
        <f t="shared" si="24"/>
        <v/>
      </c>
      <c r="E90" s="13" t="str">
        <f t="shared" si="14"/>
        <v/>
      </c>
      <c r="F90" s="13" t="str">
        <f t="shared" si="15"/>
        <v/>
      </c>
      <c r="G90" s="13" t="str">
        <f t="shared" si="25"/>
        <v/>
      </c>
      <c r="H90" s="13" t="str">
        <f t="shared" si="16"/>
        <v/>
      </c>
      <c r="I90" t="str">
        <f t="shared" si="17"/>
        <v/>
      </c>
    </row>
    <row r="91" spans="1:9">
      <c r="A91">
        <f>CSV!B91</f>
        <v>0</v>
      </c>
      <c r="B91" s="13" t="e">
        <f>INDEX(Input!$D$2:$AC$500,
       MATCH(CPU_Formula!A91, Input!$J$2:$J$500, 0),
       MATCH("CPU model", Input!$D$1:$AC$1, 0))</f>
        <v>#N/A</v>
      </c>
      <c r="C91" s="13" t="str">
        <f t="shared" si="13"/>
        <v/>
      </c>
      <c r="D91" s="13" t="str">
        <f t="shared" si="24"/>
        <v/>
      </c>
      <c r="E91" s="13" t="str">
        <f t="shared" si="14"/>
        <v/>
      </c>
      <c r="F91" s="13" t="str">
        <f t="shared" si="15"/>
        <v/>
      </c>
      <c r="G91" s="13" t="str">
        <f t="shared" si="25"/>
        <v/>
      </c>
      <c r="H91" s="13" t="str">
        <f t="shared" si="16"/>
        <v/>
      </c>
      <c r="I91" t="str">
        <f t="shared" si="17"/>
        <v/>
      </c>
    </row>
    <row r="92" spans="1:9">
      <c r="A92">
        <f>CSV!B92</f>
        <v>0</v>
      </c>
      <c r="B92" s="13" t="e">
        <f>INDEX(Input!$D$2:$AC$500,
       MATCH(CPU_Formula!A92, Input!$J$2:$J$500, 0),
       MATCH("CPU model", Input!$D$1:$AC$1, 0))</f>
        <v>#N/A</v>
      </c>
      <c r="C92" s="13" t="str">
        <f t="shared" si="13"/>
        <v/>
      </c>
      <c r="D92" s="13" t="str">
        <f t="shared" si="24"/>
        <v/>
      </c>
      <c r="E92" s="13" t="str">
        <f t="shared" si="14"/>
        <v/>
      </c>
      <c r="F92" s="13" t="str">
        <f t="shared" si="15"/>
        <v/>
      </c>
      <c r="G92" s="13" t="str">
        <f t="shared" si="25"/>
        <v/>
      </c>
      <c r="H92" s="13" t="str">
        <f t="shared" si="16"/>
        <v/>
      </c>
      <c r="I92" t="str">
        <f t="shared" si="17"/>
        <v/>
      </c>
    </row>
    <row r="93" spans="1:9">
      <c r="A93">
        <f>CSV!B93</f>
        <v>0</v>
      </c>
      <c r="B93" s="13" t="e">
        <f>INDEX(Input!$D$2:$AC$500,
       MATCH(CPU_Formula!A93, Input!$J$2:$J$500, 0),
       MATCH("CPU model", Input!$D$1:$AC$1, 0))</f>
        <v>#N/A</v>
      </c>
      <c r="C93" s="13" t="str">
        <f t="shared" si="13"/>
        <v/>
      </c>
      <c r="D93" s="13" t="str">
        <f t="shared" si="24"/>
        <v/>
      </c>
      <c r="E93" s="13" t="str">
        <f t="shared" si="14"/>
        <v/>
      </c>
      <c r="F93" s="13" t="str">
        <f t="shared" si="15"/>
        <v/>
      </c>
      <c r="G93" s="13" t="str">
        <f t="shared" si="25"/>
        <v/>
      </c>
      <c r="H93" s="13" t="str">
        <f t="shared" si="16"/>
        <v/>
      </c>
      <c r="I93" t="str">
        <f t="shared" si="17"/>
        <v/>
      </c>
    </row>
    <row r="94" spans="1:9">
      <c r="A94">
        <f>CSV!B94</f>
        <v>0</v>
      </c>
      <c r="B94" s="13" t="e">
        <f>INDEX(Input!$D$2:$AC$500,
       MATCH(CPU_Formula!A94, Input!$J$2:$J$500, 0),
       MATCH("CPU model", Input!$D$1:$AC$1, 0))</f>
        <v>#N/A</v>
      </c>
      <c r="C94" s="13" t="str">
        <f t="shared" si="13"/>
        <v/>
      </c>
      <c r="D94" s="13" t="str">
        <f t="shared" si="24"/>
        <v/>
      </c>
      <c r="E94" s="13" t="str">
        <f t="shared" si="14"/>
        <v/>
      </c>
      <c r="F94" s="13" t="str">
        <f t="shared" si="15"/>
        <v/>
      </c>
      <c r="G94" s="13" t="str">
        <f t="shared" si="25"/>
        <v/>
      </c>
      <c r="H94" s="13" t="str">
        <f t="shared" si="16"/>
        <v/>
      </c>
      <c r="I94" t="str">
        <f t="shared" si="17"/>
        <v/>
      </c>
    </row>
    <row r="95" spans="1:9">
      <c r="A95">
        <f>CSV!B95</f>
        <v>0</v>
      </c>
      <c r="B95" s="13" t="e">
        <f>INDEX(Input!$D$2:$AC$500,
       MATCH(CPU_Formula!A95, Input!$J$2:$J$500, 0),
       MATCH("CPU model", Input!$D$1:$AC$1, 0))</f>
        <v>#N/A</v>
      </c>
      <c r="C95" s="13" t="str">
        <f t="shared" si="13"/>
        <v/>
      </c>
      <c r="D95" s="13" t="str">
        <f t="shared" si="24"/>
        <v/>
      </c>
      <c r="E95" s="13" t="str">
        <f t="shared" si="14"/>
        <v/>
      </c>
      <c r="F95" s="13" t="str">
        <f t="shared" si="15"/>
        <v/>
      </c>
      <c r="G95" s="13" t="str">
        <f t="shared" si="25"/>
        <v/>
      </c>
      <c r="H95" s="13" t="str">
        <f t="shared" si="16"/>
        <v/>
      </c>
      <c r="I95" t="str">
        <f t="shared" si="17"/>
        <v/>
      </c>
    </row>
    <row r="96" spans="1:9">
      <c r="A96">
        <f>CSV!B96</f>
        <v>0</v>
      </c>
      <c r="B96" s="13" t="e">
        <f>INDEX(Input!$D$2:$AC$500,
       MATCH(CPU_Formula!A96, Input!$J$2:$J$500, 0),
       MATCH("CPU model", Input!$D$1:$AC$1, 0))</f>
        <v>#N/A</v>
      </c>
      <c r="C96" s="13" t="str">
        <f t="shared" si="13"/>
        <v/>
      </c>
      <c r="D96" s="13" t="str">
        <f t="shared" si="24"/>
        <v/>
      </c>
      <c r="E96" s="13" t="str">
        <f t="shared" si="14"/>
        <v/>
      </c>
      <c r="F96" s="13" t="str">
        <f t="shared" si="15"/>
        <v/>
      </c>
      <c r="G96" s="13" t="str">
        <f t="shared" si="25"/>
        <v/>
      </c>
      <c r="H96" s="13" t="str">
        <f t="shared" si="16"/>
        <v/>
      </c>
      <c r="I96" t="str">
        <f t="shared" si="17"/>
        <v/>
      </c>
    </row>
    <row r="97" spans="1:9">
      <c r="A97">
        <f>CSV!B97</f>
        <v>0</v>
      </c>
      <c r="B97" s="13" t="e">
        <f>INDEX(Input!$D$2:$AC$500,
       MATCH(CPU_Formula!A97, Input!$J$2:$J$500, 0),
       MATCH("CPU model", Input!$D$1:$AC$1, 0))</f>
        <v>#N/A</v>
      </c>
      <c r="C97" s="13" t="str">
        <f t="shared" si="13"/>
        <v/>
      </c>
      <c r="D97" s="13" t="str">
        <f t="shared" si="24"/>
        <v/>
      </c>
      <c r="E97" s="13" t="str">
        <f t="shared" si="14"/>
        <v/>
      </c>
      <c r="F97" s="13" t="str">
        <f t="shared" si="15"/>
        <v/>
      </c>
      <c r="G97" s="13" t="str">
        <f t="shared" si="25"/>
        <v/>
      </c>
      <c r="H97" s="13" t="str">
        <f t="shared" si="16"/>
        <v/>
      </c>
      <c r="I97" t="str">
        <f t="shared" si="17"/>
        <v/>
      </c>
    </row>
    <row r="98" spans="1:9">
      <c r="A98">
        <f>CSV!B98</f>
        <v>0</v>
      </c>
      <c r="B98" s="13" t="e">
        <f>INDEX(Input!$D$2:$AC$500,
       MATCH(CPU_Formula!A98, Input!$J$2:$J$500, 0),
       MATCH("CPU model", Input!$D$1:$AC$1, 0))</f>
        <v>#N/A</v>
      </c>
      <c r="C98" s="13" t="str">
        <f t="shared" si="13"/>
        <v/>
      </c>
      <c r="D98" s="13" t="str">
        <f t="shared" si="24"/>
        <v/>
      </c>
      <c r="E98" s="13" t="str">
        <f t="shared" si="14"/>
        <v/>
      </c>
      <c r="F98" s="13" t="str">
        <f t="shared" si="15"/>
        <v/>
      </c>
      <c r="G98" s="13" t="str">
        <f t="shared" si="25"/>
        <v/>
      </c>
      <c r="H98" s="13" t="str">
        <f t="shared" si="16"/>
        <v/>
      </c>
      <c r="I98" t="str">
        <f t="shared" si="17"/>
        <v/>
      </c>
    </row>
    <row r="99" spans="1:9">
      <c r="A99">
        <f>CSV!B99</f>
        <v>0</v>
      </c>
      <c r="B99" s="13" t="e">
        <f>INDEX(Input!$D$2:$AC$500,
       MATCH(CPU_Formula!A99, Input!$J$2:$J$500, 0),
       MATCH("CPU model", Input!$D$1:$AC$1, 0))</f>
        <v>#N/A</v>
      </c>
      <c r="C99" s="13" t="str">
        <f t="shared" si="13"/>
        <v/>
      </c>
      <c r="D99" s="13" t="str">
        <f t="shared" si="24"/>
        <v/>
      </c>
      <c r="E99" s="13" t="str">
        <f t="shared" si="14"/>
        <v/>
      </c>
      <c r="F99" s="13" t="str">
        <f t="shared" si="15"/>
        <v/>
      </c>
      <c r="G99" s="13" t="str">
        <f t="shared" si="25"/>
        <v/>
      </c>
      <c r="H99" s="13" t="str">
        <f t="shared" si="16"/>
        <v/>
      </c>
      <c r="I99" t="str">
        <f t="shared" si="17"/>
        <v/>
      </c>
    </row>
    <row r="100" spans="1:9">
      <c r="A100">
        <f>CSV!B100</f>
        <v>0</v>
      </c>
      <c r="B100" s="13" t="e">
        <f>INDEX(Input!$D$2:$AC$500,
       MATCH(CPU_Formula!A100, Input!$J$2:$J$500, 0),
       MATCH("CPU model", Input!$D$1:$AC$1, 0))</f>
        <v>#N/A</v>
      </c>
      <c r="C100" s="13" t="str">
        <f t="shared" si="13"/>
        <v/>
      </c>
      <c r="D100" s="13" t="str">
        <f t="shared" si="24"/>
        <v/>
      </c>
      <c r="E100" s="13" t="str">
        <f t="shared" si="14"/>
        <v/>
      </c>
      <c r="F100" s="13" t="str">
        <f t="shared" si="15"/>
        <v/>
      </c>
      <c r="G100" s="13" t="str">
        <f t="shared" si="25"/>
        <v/>
      </c>
      <c r="H100" s="13" t="str">
        <f t="shared" si="16"/>
        <v/>
      </c>
      <c r="I100" t="str">
        <f t="shared" si="17"/>
        <v/>
      </c>
    </row>
    <row r="101" spans="1:9">
      <c r="A101">
        <f>CSV!B101</f>
        <v>0</v>
      </c>
      <c r="B101" s="13" t="e">
        <f>INDEX(Input!$D$2:$AC$500,
       MATCH(CPU_Formula!A101, Input!$J$2:$J$500, 0),
       MATCH("CPU model", Input!$D$1:$AC$1, 0))</f>
        <v>#N/A</v>
      </c>
      <c r="C101" s="13" t="str">
        <f t="shared" si="13"/>
        <v/>
      </c>
      <c r="D101" s="13" t="str">
        <f t="shared" si="24"/>
        <v/>
      </c>
      <c r="E101" s="13" t="str">
        <f t="shared" si="14"/>
        <v/>
      </c>
      <c r="F101" s="13" t="str">
        <f t="shared" si="15"/>
        <v/>
      </c>
      <c r="G101" s="13" t="str">
        <f t="shared" si="25"/>
        <v/>
      </c>
      <c r="H101" s="13" t="str">
        <f t="shared" si="16"/>
        <v/>
      </c>
      <c r="I101" t="str">
        <f t="shared" si="17"/>
        <v/>
      </c>
    </row>
    <row r="102" spans="1:9">
      <c r="A102">
        <f>CSV!B102</f>
        <v>0</v>
      </c>
      <c r="B102" s="13" t="e">
        <f>INDEX(Input!$D$2:$AC$500,
       MATCH(CPU_Formula!A102, Input!$J$2:$J$500, 0),
       MATCH("CPU model", Input!$D$1:$AC$1, 0))</f>
        <v>#N/A</v>
      </c>
      <c r="C102" s="13" t="str">
        <f t="shared" si="13"/>
        <v/>
      </c>
      <c r="D102" s="13" t="str">
        <f t="shared" si="24"/>
        <v/>
      </c>
      <c r="E102" s="13" t="str">
        <f t="shared" si="14"/>
        <v/>
      </c>
      <c r="F102" s="13" t="str">
        <f t="shared" si="15"/>
        <v/>
      </c>
      <c r="G102" s="13" t="str">
        <f t="shared" si="25"/>
        <v/>
      </c>
      <c r="H102" s="13" t="str">
        <f t="shared" si="16"/>
        <v/>
      </c>
      <c r="I102" t="str">
        <f t="shared" si="17"/>
        <v/>
      </c>
    </row>
    <row r="103" spans="1:9">
      <c r="A103">
        <f>CSV!B103</f>
        <v>0</v>
      </c>
      <c r="B103" s="13" t="e">
        <f>INDEX(Input!$D$2:$AC$500,
       MATCH(CPU_Formula!A103, Input!$J$2:$J$500, 0),
       MATCH("CPU model", Input!$D$1:$AC$1, 0))</f>
        <v>#N/A</v>
      </c>
      <c r="C103" s="13" t="str">
        <f t="shared" si="13"/>
        <v/>
      </c>
      <c r="D103" s="13" t="str">
        <f t="shared" si="24"/>
        <v/>
      </c>
      <c r="E103" s="13" t="str">
        <f t="shared" si="14"/>
        <v/>
      </c>
      <c r="F103" s="13" t="str">
        <f t="shared" si="15"/>
        <v/>
      </c>
      <c r="G103" s="13" t="str">
        <f t="shared" si="25"/>
        <v/>
      </c>
      <c r="H103" s="13" t="str">
        <f t="shared" si="16"/>
        <v/>
      </c>
      <c r="I103" t="str">
        <f t="shared" si="17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3"/>
        <v/>
      </c>
      <c r="D104" s="13" t="str">
        <f t="shared" si="24"/>
        <v/>
      </c>
      <c r="E104" s="13" t="str">
        <f t="shared" si="14"/>
        <v/>
      </c>
      <c r="F104" s="13" t="str">
        <f t="shared" si="15"/>
        <v/>
      </c>
      <c r="G104" s="13" t="str">
        <f t="shared" si="25"/>
        <v/>
      </c>
      <c r="H104" s="13" t="str">
        <f t="shared" si="16"/>
        <v/>
      </c>
      <c r="I104" t="str">
        <f t="shared" si="17"/>
        <v/>
      </c>
    </row>
    <row r="105" spans="1:9">
      <c r="C105" s="13" t="str">
        <f t="shared" si="13"/>
        <v/>
      </c>
    </row>
    <row r="106" spans="1:9">
      <c r="C106" s="13" t="str">
        <f t="shared" si="13"/>
        <v/>
      </c>
    </row>
    <row r="107" spans="1:9">
      <c r="C107" s="13" t="str">
        <f t="shared" si="13"/>
        <v/>
      </c>
    </row>
    <row r="108" spans="1:9">
      <c r="C108" s="13" t="str">
        <f t="shared" si="13"/>
        <v/>
      </c>
    </row>
    <row r="109" spans="1:9">
      <c r="C109" s="13" t="str">
        <f t="shared" si="13"/>
        <v/>
      </c>
    </row>
    <row r="110" spans="1:9">
      <c r="C110" s="13" t="str">
        <f t="shared" si="13"/>
        <v/>
      </c>
    </row>
    <row r="111" spans="1:9">
      <c r="C111" s="13" t="str">
        <f t="shared" si="13"/>
        <v/>
      </c>
    </row>
    <row r="112" spans="1:9">
      <c r="C112" s="13" t="str">
        <f t="shared" si="13"/>
        <v/>
      </c>
    </row>
    <row r="113" spans="3:3">
      <c r="C113" s="13" t="str">
        <f t="shared" si="13"/>
        <v/>
      </c>
    </row>
    <row r="114" spans="3:3">
      <c r="C114" s="13" t="str">
        <f t="shared" si="13"/>
        <v/>
      </c>
    </row>
    <row r="115" spans="3:3">
      <c r="C115" s="13" t="str">
        <f t="shared" si="13"/>
        <v/>
      </c>
    </row>
    <row r="116" spans="3:3">
      <c r="C116" s="13" t="str">
        <f t="shared" si="13"/>
        <v/>
      </c>
    </row>
    <row r="117" spans="3:3">
      <c r="C117" s="13" t="str">
        <f t="shared" si="13"/>
        <v/>
      </c>
    </row>
    <row r="118" spans="3:3">
      <c r="C118" s="13" t="str">
        <f t="shared" si="13"/>
        <v/>
      </c>
    </row>
    <row r="119" spans="3:3">
      <c r="C119" s="13" t="str">
        <f t="shared" si="13"/>
        <v/>
      </c>
    </row>
    <row r="120" spans="3:3">
      <c r="C120" s="13" t="str">
        <f t="shared" si="13"/>
        <v/>
      </c>
    </row>
    <row r="121" spans="3:3">
      <c r="C121" s="13" t="str">
        <f t="shared" si="13"/>
        <v/>
      </c>
    </row>
    <row r="122" spans="3:3">
      <c r="C122" s="13" t="str">
        <f t="shared" si="13"/>
        <v/>
      </c>
    </row>
    <row r="123" spans="3:3">
      <c r="C123" s="13" t="str">
        <f t="shared" si="13"/>
        <v/>
      </c>
    </row>
    <row r="124" spans="3:3">
      <c r="C124" s="13" t="str">
        <f t="shared" si="13"/>
        <v/>
      </c>
    </row>
    <row r="125" spans="3:3">
      <c r="C125" s="13" t="str">
        <f t="shared" si="13"/>
        <v/>
      </c>
    </row>
    <row r="126" spans="3:3">
      <c r="C126" s="13" t="str">
        <f t="shared" si="13"/>
        <v/>
      </c>
    </row>
    <row r="127" spans="3:3">
      <c r="C127" s="13" t="str">
        <f t="shared" si="13"/>
        <v/>
      </c>
    </row>
    <row r="128" spans="3:3">
      <c r="C128" s="13" t="str">
        <f t="shared" si="13"/>
        <v/>
      </c>
    </row>
    <row r="129" spans="3:3">
      <c r="C129" s="13" t="str">
        <f t="shared" si="13"/>
        <v/>
      </c>
    </row>
    <row r="130" spans="3:3">
      <c r="C130" s="13" t="str">
        <f t="shared" si="13"/>
        <v/>
      </c>
    </row>
    <row r="131" spans="3:3">
      <c r="C131" s="13" t="str">
        <f t="shared" ref="C131:C194" si="26">IFERROR(_xlfn.TEXTAFTER(B131,"Core(TM) "),IFERROR(_xlfn.TEXTAFTER(B131,"Xeon(R) CPU"),""))</f>
        <v/>
      </c>
    </row>
    <row r="132" spans="3:3">
      <c r="C132" s="13" t="str">
        <f t="shared" si="26"/>
        <v/>
      </c>
    </row>
    <row r="133" spans="3:3">
      <c r="C133" s="13" t="str">
        <f t="shared" si="26"/>
        <v/>
      </c>
    </row>
    <row r="134" spans="3:3">
      <c r="C134" s="13" t="str">
        <f t="shared" si="26"/>
        <v/>
      </c>
    </row>
    <row r="135" spans="3:3">
      <c r="C135" s="13" t="str">
        <f t="shared" si="26"/>
        <v/>
      </c>
    </row>
    <row r="136" spans="3:3">
      <c r="C136" s="13" t="str">
        <f t="shared" si="26"/>
        <v/>
      </c>
    </row>
    <row r="137" spans="3:3">
      <c r="C137" s="13" t="str">
        <f t="shared" si="26"/>
        <v/>
      </c>
    </row>
    <row r="138" spans="3:3">
      <c r="C138" s="13" t="str">
        <f t="shared" si="26"/>
        <v/>
      </c>
    </row>
    <row r="139" spans="3:3">
      <c r="C139" s="13" t="str">
        <f t="shared" si="26"/>
        <v/>
      </c>
    </row>
    <row r="140" spans="3:3">
      <c r="C140" s="13" t="str">
        <f t="shared" si="26"/>
        <v/>
      </c>
    </row>
    <row r="141" spans="3:3">
      <c r="C141" s="13" t="str">
        <f t="shared" si="26"/>
        <v/>
      </c>
    </row>
    <row r="142" spans="3:3">
      <c r="C142" s="13" t="str">
        <f t="shared" si="26"/>
        <v/>
      </c>
    </row>
    <row r="143" spans="3:3">
      <c r="C143" s="13" t="str">
        <f t="shared" si="26"/>
        <v/>
      </c>
    </row>
    <row r="144" spans="3:3">
      <c r="C144" s="13" t="str">
        <f t="shared" si="26"/>
        <v/>
      </c>
    </row>
    <row r="145" spans="3:3">
      <c r="C145" s="13" t="str">
        <f t="shared" si="26"/>
        <v/>
      </c>
    </row>
    <row r="146" spans="3:3">
      <c r="C146" s="13" t="str">
        <f t="shared" si="26"/>
        <v/>
      </c>
    </row>
    <row r="147" spans="3:3">
      <c r="C147" s="13" t="str">
        <f t="shared" si="26"/>
        <v/>
      </c>
    </row>
    <row r="148" spans="3:3">
      <c r="C148" s="13" t="str">
        <f t="shared" si="26"/>
        <v/>
      </c>
    </row>
    <row r="149" spans="3:3">
      <c r="C149" s="13" t="str">
        <f t="shared" si="26"/>
        <v/>
      </c>
    </row>
    <row r="150" spans="3:3">
      <c r="C150" s="13" t="str">
        <f t="shared" si="26"/>
        <v/>
      </c>
    </row>
    <row r="151" spans="3:3">
      <c r="C151" s="13" t="str">
        <f t="shared" si="26"/>
        <v/>
      </c>
    </row>
    <row r="152" spans="3:3">
      <c r="C152" s="13" t="str">
        <f t="shared" si="26"/>
        <v/>
      </c>
    </row>
    <row r="153" spans="3:3">
      <c r="C153" s="13" t="str">
        <f t="shared" si="26"/>
        <v/>
      </c>
    </row>
    <row r="154" spans="3:3">
      <c r="C154" s="13" t="str">
        <f t="shared" si="26"/>
        <v/>
      </c>
    </row>
    <row r="155" spans="3:3">
      <c r="C155" s="13" t="str">
        <f t="shared" si="26"/>
        <v/>
      </c>
    </row>
    <row r="156" spans="3:3">
      <c r="C156" s="13" t="str">
        <f t="shared" si="26"/>
        <v/>
      </c>
    </row>
    <row r="157" spans="3:3">
      <c r="C157" s="13" t="str">
        <f t="shared" si="26"/>
        <v/>
      </c>
    </row>
    <row r="158" spans="3:3">
      <c r="C158" s="13" t="str">
        <f t="shared" si="26"/>
        <v/>
      </c>
    </row>
    <row r="159" spans="3:3">
      <c r="C159" s="13" t="str">
        <f t="shared" si="26"/>
        <v/>
      </c>
    </row>
    <row r="160" spans="3:3">
      <c r="C160" s="13" t="str">
        <f t="shared" si="26"/>
        <v/>
      </c>
    </row>
    <row r="161" spans="3:3">
      <c r="C161" s="13" t="str">
        <f t="shared" si="26"/>
        <v/>
      </c>
    </row>
    <row r="162" spans="3:3">
      <c r="C162" s="13" t="str">
        <f t="shared" si="26"/>
        <v/>
      </c>
    </row>
    <row r="163" spans="3:3">
      <c r="C163" s="13" t="str">
        <f t="shared" si="26"/>
        <v/>
      </c>
    </row>
    <row r="164" spans="3:3">
      <c r="C164" s="13" t="str">
        <f t="shared" si="26"/>
        <v/>
      </c>
    </row>
    <row r="165" spans="3:3">
      <c r="C165" s="13" t="str">
        <f t="shared" si="26"/>
        <v/>
      </c>
    </row>
    <row r="166" spans="3:3">
      <c r="C166" s="13" t="str">
        <f t="shared" si="26"/>
        <v/>
      </c>
    </row>
    <row r="167" spans="3:3">
      <c r="C167" s="13" t="str">
        <f t="shared" si="26"/>
        <v/>
      </c>
    </row>
    <row r="168" spans="3:3">
      <c r="C168" s="13" t="str">
        <f t="shared" si="26"/>
        <v/>
      </c>
    </row>
    <row r="169" spans="3:3">
      <c r="C169" s="13" t="str">
        <f t="shared" si="26"/>
        <v/>
      </c>
    </row>
    <row r="170" spans="3:3">
      <c r="C170" s="13" t="str">
        <f t="shared" si="26"/>
        <v/>
      </c>
    </row>
    <row r="171" spans="3:3">
      <c r="C171" s="13" t="str">
        <f t="shared" si="26"/>
        <v/>
      </c>
    </row>
    <row r="172" spans="3:3">
      <c r="C172" s="13" t="str">
        <f t="shared" si="26"/>
        <v/>
      </c>
    </row>
    <row r="173" spans="3:3">
      <c r="C173" s="13" t="str">
        <f t="shared" si="26"/>
        <v/>
      </c>
    </row>
    <row r="174" spans="3:3">
      <c r="C174" s="13" t="str">
        <f t="shared" si="26"/>
        <v/>
      </c>
    </row>
    <row r="175" spans="3:3">
      <c r="C175" s="13" t="str">
        <f t="shared" si="26"/>
        <v/>
      </c>
    </row>
    <row r="176" spans="3:3">
      <c r="C176" s="13" t="str">
        <f t="shared" si="26"/>
        <v/>
      </c>
    </row>
    <row r="177" spans="3:3">
      <c r="C177" s="13" t="str">
        <f t="shared" si="26"/>
        <v/>
      </c>
    </row>
    <row r="178" spans="3:3">
      <c r="C178" s="13" t="str">
        <f t="shared" si="26"/>
        <v/>
      </c>
    </row>
    <row r="179" spans="3:3">
      <c r="C179" s="13" t="str">
        <f t="shared" si="26"/>
        <v/>
      </c>
    </row>
    <row r="180" spans="3:3">
      <c r="C180" s="13" t="str">
        <f t="shared" si="26"/>
        <v/>
      </c>
    </row>
    <row r="181" spans="3:3">
      <c r="C181" s="13" t="str">
        <f t="shared" si="26"/>
        <v/>
      </c>
    </row>
    <row r="182" spans="3:3">
      <c r="C182" s="13" t="str">
        <f t="shared" si="26"/>
        <v/>
      </c>
    </row>
    <row r="183" spans="3:3">
      <c r="C183" s="13" t="str">
        <f t="shared" si="26"/>
        <v/>
      </c>
    </row>
    <row r="184" spans="3:3">
      <c r="C184" s="13" t="str">
        <f t="shared" si="26"/>
        <v/>
      </c>
    </row>
    <row r="185" spans="3:3">
      <c r="C185" s="13" t="str">
        <f t="shared" si="26"/>
        <v/>
      </c>
    </row>
    <row r="186" spans="3:3">
      <c r="C186" s="13" t="str">
        <f t="shared" si="26"/>
        <v/>
      </c>
    </row>
    <row r="187" spans="3:3">
      <c r="C187" s="13" t="str">
        <f t="shared" si="26"/>
        <v/>
      </c>
    </row>
    <row r="188" spans="3:3">
      <c r="C188" s="13" t="str">
        <f t="shared" si="26"/>
        <v/>
      </c>
    </row>
    <row r="189" spans="3:3">
      <c r="C189" s="13" t="str">
        <f t="shared" si="26"/>
        <v/>
      </c>
    </row>
    <row r="190" spans="3:3">
      <c r="C190" s="13" t="str">
        <f t="shared" si="26"/>
        <v/>
      </c>
    </row>
    <row r="191" spans="3:3">
      <c r="C191" s="13" t="str">
        <f t="shared" si="26"/>
        <v/>
      </c>
    </row>
    <row r="192" spans="3:3">
      <c r="C192" s="13" t="str">
        <f t="shared" si="26"/>
        <v/>
      </c>
    </row>
    <row r="193" spans="3:3">
      <c r="C193" s="13" t="str">
        <f t="shared" si="26"/>
        <v/>
      </c>
    </row>
    <row r="194" spans="3:3">
      <c r="C194" s="13" t="str">
        <f t="shared" si="26"/>
        <v/>
      </c>
    </row>
    <row r="195" spans="3:3">
      <c r="C195" s="13" t="str">
        <f t="shared" ref="C195:C258" si="27">IFERROR(_xlfn.TEXTAFTER(B195,"Core(TM) "),IFERROR(_xlfn.TEXTAFTER(B195,"Xeon(R) CPU"),""))</f>
        <v/>
      </c>
    </row>
    <row r="196" spans="3:3">
      <c r="C196" s="13" t="str">
        <f t="shared" si="27"/>
        <v/>
      </c>
    </row>
    <row r="197" spans="3:3">
      <c r="C197" s="13" t="str">
        <f t="shared" si="27"/>
        <v/>
      </c>
    </row>
    <row r="198" spans="3:3">
      <c r="C198" s="13" t="str">
        <f t="shared" si="27"/>
        <v/>
      </c>
    </row>
    <row r="199" spans="3:3">
      <c r="C199" s="13" t="str">
        <f t="shared" si="27"/>
        <v/>
      </c>
    </row>
    <row r="200" spans="3:3">
      <c r="C200" s="13" t="str">
        <f t="shared" si="27"/>
        <v/>
      </c>
    </row>
    <row r="201" spans="3:3">
      <c r="C201" s="13" t="str">
        <f t="shared" si="27"/>
        <v/>
      </c>
    </row>
    <row r="202" spans="3:3">
      <c r="C202" s="13" t="str">
        <f t="shared" si="27"/>
        <v/>
      </c>
    </row>
    <row r="203" spans="3:3">
      <c r="C203" s="13" t="str">
        <f t="shared" si="27"/>
        <v/>
      </c>
    </row>
    <row r="204" spans="3:3">
      <c r="C204" s="13" t="str">
        <f t="shared" si="27"/>
        <v/>
      </c>
    </row>
    <row r="205" spans="3:3">
      <c r="C205" s="13" t="str">
        <f t="shared" si="27"/>
        <v/>
      </c>
    </row>
    <row r="206" spans="3:3">
      <c r="C206" s="13" t="str">
        <f t="shared" si="27"/>
        <v/>
      </c>
    </row>
    <row r="207" spans="3:3">
      <c r="C207" s="13" t="str">
        <f t="shared" si="27"/>
        <v/>
      </c>
    </row>
    <row r="208" spans="3:3">
      <c r="C208" s="13" t="str">
        <f t="shared" si="27"/>
        <v/>
      </c>
    </row>
    <row r="209" spans="3:3">
      <c r="C209" s="13" t="str">
        <f t="shared" si="27"/>
        <v/>
      </c>
    </row>
    <row r="210" spans="3:3">
      <c r="C210" s="13" t="str">
        <f t="shared" si="27"/>
        <v/>
      </c>
    </row>
    <row r="211" spans="3:3">
      <c r="C211" s="13" t="str">
        <f t="shared" si="27"/>
        <v/>
      </c>
    </row>
    <row r="212" spans="3:3">
      <c r="C212" s="13" t="str">
        <f t="shared" si="27"/>
        <v/>
      </c>
    </row>
    <row r="213" spans="3:3">
      <c r="C213" s="13" t="str">
        <f t="shared" si="27"/>
        <v/>
      </c>
    </row>
    <row r="214" spans="3:3">
      <c r="C214" s="13" t="str">
        <f t="shared" si="27"/>
        <v/>
      </c>
    </row>
    <row r="215" spans="3:3">
      <c r="C215" s="13" t="str">
        <f t="shared" si="27"/>
        <v/>
      </c>
    </row>
    <row r="216" spans="3:3">
      <c r="C216" s="13" t="str">
        <f t="shared" si="27"/>
        <v/>
      </c>
    </row>
    <row r="217" spans="3:3">
      <c r="C217" s="13" t="str">
        <f t="shared" si="27"/>
        <v/>
      </c>
    </row>
    <row r="218" spans="3:3">
      <c r="C218" s="13" t="str">
        <f t="shared" si="27"/>
        <v/>
      </c>
    </row>
    <row r="219" spans="3:3">
      <c r="C219" s="13" t="str">
        <f t="shared" si="27"/>
        <v/>
      </c>
    </row>
    <row r="220" spans="3:3">
      <c r="C220" s="13" t="str">
        <f t="shared" si="27"/>
        <v/>
      </c>
    </row>
    <row r="221" spans="3:3">
      <c r="C221" s="13" t="str">
        <f t="shared" si="27"/>
        <v/>
      </c>
    </row>
    <row r="222" spans="3:3">
      <c r="C222" s="13" t="str">
        <f t="shared" si="27"/>
        <v/>
      </c>
    </row>
    <row r="223" spans="3:3">
      <c r="C223" s="13" t="str">
        <f t="shared" si="27"/>
        <v/>
      </c>
    </row>
    <row r="224" spans="3:3">
      <c r="C224" s="13" t="str">
        <f t="shared" si="27"/>
        <v/>
      </c>
    </row>
    <row r="225" spans="3:3">
      <c r="C225" s="13" t="str">
        <f t="shared" si="27"/>
        <v/>
      </c>
    </row>
    <row r="226" spans="3:3">
      <c r="C226" s="13" t="str">
        <f t="shared" si="27"/>
        <v/>
      </c>
    </row>
    <row r="227" spans="3:3">
      <c r="C227" s="13" t="str">
        <f t="shared" si="27"/>
        <v/>
      </c>
    </row>
    <row r="228" spans="3:3">
      <c r="C228" s="13" t="str">
        <f t="shared" si="27"/>
        <v/>
      </c>
    </row>
    <row r="229" spans="3:3">
      <c r="C229" s="13" t="str">
        <f t="shared" si="27"/>
        <v/>
      </c>
    </row>
    <row r="230" spans="3:3">
      <c r="C230" s="13" t="str">
        <f t="shared" si="27"/>
        <v/>
      </c>
    </row>
    <row r="231" spans="3:3">
      <c r="C231" s="13" t="str">
        <f t="shared" si="27"/>
        <v/>
      </c>
    </row>
    <row r="232" spans="3:3">
      <c r="C232" s="13" t="str">
        <f t="shared" si="27"/>
        <v/>
      </c>
    </row>
    <row r="233" spans="3:3">
      <c r="C233" s="13" t="str">
        <f t="shared" si="27"/>
        <v/>
      </c>
    </row>
    <row r="234" spans="3:3">
      <c r="C234" s="13" t="str">
        <f t="shared" si="27"/>
        <v/>
      </c>
    </row>
    <row r="235" spans="3:3">
      <c r="C235" s="13" t="str">
        <f t="shared" si="27"/>
        <v/>
      </c>
    </row>
    <row r="236" spans="3:3">
      <c r="C236" s="13" t="str">
        <f t="shared" si="27"/>
        <v/>
      </c>
    </row>
    <row r="237" spans="3:3">
      <c r="C237" s="13" t="str">
        <f t="shared" si="27"/>
        <v/>
      </c>
    </row>
    <row r="238" spans="3:3">
      <c r="C238" s="13" t="str">
        <f t="shared" si="27"/>
        <v/>
      </c>
    </row>
    <row r="239" spans="3:3">
      <c r="C239" s="13" t="str">
        <f t="shared" si="27"/>
        <v/>
      </c>
    </row>
    <row r="240" spans="3:3">
      <c r="C240" s="13" t="str">
        <f t="shared" si="27"/>
        <v/>
      </c>
    </row>
    <row r="241" spans="3:3">
      <c r="C241" s="13" t="str">
        <f t="shared" si="27"/>
        <v/>
      </c>
    </row>
    <row r="242" spans="3:3">
      <c r="C242" s="13" t="str">
        <f t="shared" si="27"/>
        <v/>
      </c>
    </row>
    <row r="243" spans="3:3">
      <c r="C243" s="13" t="str">
        <f t="shared" si="27"/>
        <v/>
      </c>
    </row>
    <row r="244" spans="3:3">
      <c r="C244" s="13" t="str">
        <f t="shared" si="27"/>
        <v/>
      </c>
    </row>
    <row r="245" spans="3:3">
      <c r="C245" s="13" t="str">
        <f t="shared" si="27"/>
        <v/>
      </c>
    </row>
    <row r="246" spans="3:3">
      <c r="C246" s="13" t="str">
        <f t="shared" si="27"/>
        <v/>
      </c>
    </row>
    <row r="247" spans="3:3">
      <c r="C247" s="13" t="str">
        <f t="shared" si="27"/>
        <v/>
      </c>
    </row>
    <row r="248" spans="3:3">
      <c r="C248" s="13" t="str">
        <f t="shared" si="27"/>
        <v/>
      </c>
    </row>
    <row r="249" spans="3:3">
      <c r="C249" s="13" t="str">
        <f t="shared" si="27"/>
        <v/>
      </c>
    </row>
    <row r="250" spans="3:3">
      <c r="C250" s="13" t="str">
        <f t="shared" si="27"/>
        <v/>
      </c>
    </row>
    <row r="251" spans="3:3">
      <c r="C251" s="13" t="str">
        <f t="shared" si="27"/>
        <v/>
      </c>
    </row>
    <row r="252" spans="3:3">
      <c r="C252" s="13" t="str">
        <f t="shared" si="27"/>
        <v/>
      </c>
    </row>
    <row r="253" spans="3:3">
      <c r="C253" s="13" t="str">
        <f t="shared" si="27"/>
        <v/>
      </c>
    </row>
    <row r="254" spans="3:3">
      <c r="C254" s="13" t="str">
        <f t="shared" si="27"/>
        <v/>
      </c>
    </row>
    <row r="255" spans="3:3">
      <c r="C255" s="13" t="str">
        <f t="shared" si="27"/>
        <v/>
      </c>
    </row>
    <row r="256" spans="3:3">
      <c r="C256" s="13" t="str">
        <f t="shared" si="27"/>
        <v/>
      </c>
    </row>
    <row r="257" spans="3:3">
      <c r="C257" s="13" t="str">
        <f t="shared" si="27"/>
        <v/>
      </c>
    </row>
    <row r="258" spans="3:3">
      <c r="C258" s="13" t="str">
        <f t="shared" si="27"/>
        <v/>
      </c>
    </row>
    <row r="259" spans="3:3">
      <c r="C259" s="13" t="str">
        <f t="shared" ref="C259:C322" si="28">IFERROR(_xlfn.TEXTAFTER(B259,"Core(TM) "),IFERROR(_xlfn.TEXTAFTER(B259,"Xeon(R) CPU"),""))</f>
        <v/>
      </c>
    </row>
    <row r="260" spans="3:3">
      <c r="C260" s="13" t="str">
        <f t="shared" si="28"/>
        <v/>
      </c>
    </row>
    <row r="261" spans="3:3">
      <c r="C261" s="13" t="str">
        <f t="shared" si="28"/>
        <v/>
      </c>
    </row>
    <row r="262" spans="3:3">
      <c r="C262" s="13" t="str">
        <f t="shared" si="28"/>
        <v/>
      </c>
    </row>
    <row r="263" spans="3:3">
      <c r="C263" s="13" t="str">
        <f t="shared" si="28"/>
        <v/>
      </c>
    </row>
    <row r="264" spans="3:3">
      <c r="C264" s="13" t="str">
        <f t="shared" si="28"/>
        <v/>
      </c>
    </row>
    <row r="265" spans="3:3">
      <c r="C265" s="13" t="str">
        <f t="shared" si="28"/>
        <v/>
      </c>
    </row>
    <row r="266" spans="3:3">
      <c r="C266" s="13" t="str">
        <f t="shared" si="28"/>
        <v/>
      </c>
    </row>
    <row r="267" spans="3:3">
      <c r="C267" s="13" t="str">
        <f t="shared" si="28"/>
        <v/>
      </c>
    </row>
    <row r="268" spans="3:3">
      <c r="C268" s="13" t="str">
        <f t="shared" si="28"/>
        <v/>
      </c>
    </row>
    <row r="269" spans="3:3">
      <c r="C269" s="13" t="str">
        <f t="shared" si="28"/>
        <v/>
      </c>
    </row>
    <row r="270" spans="3:3">
      <c r="C270" s="13" t="str">
        <f t="shared" si="28"/>
        <v/>
      </c>
    </row>
    <row r="271" spans="3:3">
      <c r="C271" s="13" t="str">
        <f t="shared" si="28"/>
        <v/>
      </c>
    </row>
    <row r="272" spans="3:3">
      <c r="C272" s="13" t="str">
        <f t="shared" si="28"/>
        <v/>
      </c>
    </row>
    <row r="273" spans="3:3">
      <c r="C273" s="13" t="str">
        <f t="shared" si="28"/>
        <v/>
      </c>
    </row>
    <row r="274" spans="3:3">
      <c r="C274" s="13" t="str">
        <f t="shared" si="28"/>
        <v/>
      </c>
    </row>
    <row r="275" spans="3:3">
      <c r="C275" s="13" t="str">
        <f t="shared" si="28"/>
        <v/>
      </c>
    </row>
    <row r="276" spans="3:3">
      <c r="C276" s="13" t="str">
        <f t="shared" si="28"/>
        <v/>
      </c>
    </row>
    <row r="277" spans="3:3">
      <c r="C277" s="13" t="str">
        <f t="shared" si="28"/>
        <v/>
      </c>
    </row>
    <row r="278" spans="3:3">
      <c r="C278" s="13" t="str">
        <f t="shared" si="28"/>
        <v/>
      </c>
    </row>
    <row r="279" spans="3:3">
      <c r="C279" s="13" t="str">
        <f t="shared" si="28"/>
        <v/>
      </c>
    </row>
    <row r="280" spans="3:3">
      <c r="C280" s="13" t="str">
        <f t="shared" si="28"/>
        <v/>
      </c>
    </row>
    <row r="281" spans="3:3">
      <c r="C281" s="13" t="str">
        <f t="shared" si="28"/>
        <v/>
      </c>
    </row>
    <row r="282" spans="3:3">
      <c r="C282" s="13" t="str">
        <f t="shared" si="28"/>
        <v/>
      </c>
    </row>
    <row r="283" spans="3:3">
      <c r="C283" s="13" t="str">
        <f t="shared" si="28"/>
        <v/>
      </c>
    </row>
    <row r="284" spans="3:3">
      <c r="C284" s="13" t="str">
        <f t="shared" si="28"/>
        <v/>
      </c>
    </row>
    <row r="285" spans="3:3">
      <c r="C285" s="13" t="str">
        <f t="shared" si="28"/>
        <v/>
      </c>
    </row>
    <row r="286" spans="3:3">
      <c r="C286" s="13" t="str">
        <f t="shared" si="28"/>
        <v/>
      </c>
    </row>
    <row r="287" spans="3:3">
      <c r="C287" s="13" t="str">
        <f t="shared" si="28"/>
        <v/>
      </c>
    </row>
    <row r="288" spans="3:3">
      <c r="C288" s="13" t="str">
        <f t="shared" si="28"/>
        <v/>
      </c>
    </row>
    <row r="289" spans="3:3">
      <c r="C289" s="13" t="str">
        <f t="shared" si="28"/>
        <v/>
      </c>
    </row>
    <row r="290" spans="3:3">
      <c r="C290" s="13" t="str">
        <f t="shared" si="28"/>
        <v/>
      </c>
    </row>
    <row r="291" spans="3:3">
      <c r="C291" s="13" t="str">
        <f t="shared" si="28"/>
        <v/>
      </c>
    </row>
    <row r="292" spans="3:3">
      <c r="C292" s="13" t="str">
        <f t="shared" si="28"/>
        <v/>
      </c>
    </row>
    <row r="293" spans="3:3">
      <c r="C293" s="13" t="str">
        <f t="shared" si="28"/>
        <v/>
      </c>
    </row>
    <row r="294" spans="3:3">
      <c r="C294" s="13" t="str">
        <f t="shared" si="28"/>
        <v/>
      </c>
    </row>
    <row r="295" spans="3:3">
      <c r="C295" s="13" t="str">
        <f t="shared" si="28"/>
        <v/>
      </c>
    </row>
    <row r="296" spans="3:3">
      <c r="C296" s="13" t="str">
        <f t="shared" si="28"/>
        <v/>
      </c>
    </row>
    <row r="297" spans="3:3">
      <c r="C297" s="13" t="str">
        <f t="shared" si="28"/>
        <v/>
      </c>
    </row>
    <row r="298" spans="3:3">
      <c r="C298" s="13" t="str">
        <f t="shared" si="28"/>
        <v/>
      </c>
    </row>
    <row r="299" spans="3:3">
      <c r="C299" s="13" t="str">
        <f t="shared" si="28"/>
        <v/>
      </c>
    </row>
    <row r="300" spans="3:3">
      <c r="C300" s="13" t="str">
        <f t="shared" si="28"/>
        <v/>
      </c>
    </row>
    <row r="301" spans="3:3">
      <c r="C301" s="13" t="str">
        <f t="shared" si="28"/>
        <v/>
      </c>
    </row>
    <row r="302" spans="3:3">
      <c r="C302" s="13" t="str">
        <f t="shared" si="28"/>
        <v/>
      </c>
    </row>
    <row r="303" spans="3:3">
      <c r="C303" s="13" t="str">
        <f t="shared" si="28"/>
        <v/>
      </c>
    </row>
    <row r="304" spans="3:3">
      <c r="C304" s="13" t="str">
        <f t="shared" si="28"/>
        <v/>
      </c>
    </row>
    <row r="305" spans="3:3">
      <c r="C305" s="13" t="str">
        <f t="shared" si="28"/>
        <v/>
      </c>
    </row>
    <row r="306" spans="3:3">
      <c r="C306" s="13" t="str">
        <f t="shared" si="28"/>
        <v/>
      </c>
    </row>
    <row r="307" spans="3:3">
      <c r="C307" s="13" t="str">
        <f t="shared" si="28"/>
        <v/>
      </c>
    </row>
    <row r="308" spans="3:3">
      <c r="C308" s="13" t="str">
        <f t="shared" si="28"/>
        <v/>
      </c>
    </row>
    <row r="309" spans="3:3">
      <c r="C309" s="13" t="str">
        <f t="shared" si="28"/>
        <v/>
      </c>
    </row>
    <row r="310" spans="3:3">
      <c r="C310" s="13" t="str">
        <f t="shared" si="28"/>
        <v/>
      </c>
    </row>
    <row r="311" spans="3:3">
      <c r="C311" s="13" t="str">
        <f t="shared" si="28"/>
        <v/>
      </c>
    </row>
    <row r="312" spans="3:3">
      <c r="C312" s="13" t="str">
        <f t="shared" si="28"/>
        <v/>
      </c>
    </row>
    <row r="313" spans="3:3">
      <c r="C313" s="13" t="str">
        <f t="shared" si="28"/>
        <v/>
      </c>
    </row>
    <row r="314" spans="3:3">
      <c r="C314" s="13" t="str">
        <f t="shared" si="28"/>
        <v/>
      </c>
    </row>
    <row r="315" spans="3:3">
      <c r="C315" s="13" t="str">
        <f t="shared" si="28"/>
        <v/>
      </c>
    </row>
    <row r="316" spans="3:3">
      <c r="C316" s="13" t="str">
        <f t="shared" si="28"/>
        <v/>
      </c>
    </row>
    <row r="317" spans="3:3">
      <c r="C317" s="13" t="str">
        <f t="shared" si="28"/>
        <v/>
      </c>
    </row>
    <row r="318" spans="3:3">
      <c r="C318" s="13" t="str">
        <f t="shared" si="28"/>
        <v/>
      </c>
    </row>
    <row r="319" spans="3:3">
      <c r="C319" s="13" t="str">
        <f t="shared" si="28"/>
        <v/>
      </c>
    </row>
    <row r="320" spans="3:3">
      <c r="C320" s="13" t="str">
        <f t="shared" si="28"/>
        <v/>
      </c>
    </row>
    <row r="321" spans="3:3">
      <c r="C321" s="13" t="str">
        <f t="shared" si="28"/>
        <v/>
      </c>
    </row>
    <row r="322" spans="3:3">
      <c r="C322" s="13" t="str">
        <f t="shared" si="28"/>
        <v/>
      </c>
    </row>
    <row r="323" spans="3:3">
      <c r="C323" s="13" t="str">
        <f t="shared" ref="C323:C386" si="29">IFERROR(_xlfn.TEXTAFTER(B323,"Core(TM) "),IFERROR(_xlfn.TEXTAFTER(B323,"Xeon(R) CPU"),""))</f>
        <v/>
      </c>
    </row>
    <row r="324" spans="3:3">
      <c r="C324" s="13" t="str">
        <f t="shared" si="29"/>
        <v/>
      </c>
    </row>
    <row r="325" spans="3:3">
      <c r="C325" s="13" t="str">
        <f t="shared" si="29"/>
        <v/>
      </c>
    </row>
    <row r="326" spans="3:3">
      <c r="C326" s="13" t="str">
        <f t="shared" si="29"/>
        <v/>
      </c>
    </row>
    <row r="327" spans="3:3">
      <c r="C327" s="13" t="str">
        <f t="shared" si="29"/>
        <v/>
      </c>
    </row>
    <row r="328" spans="3:3">
      <c r="C328" s="13" t="str">
        <f t="shared" si="29"/>
        <v/>
      </c>
    </row>
    <row r="329" spans="3:3">
      <c r="C329" s="13" t="str">
        <f t="shared" si="29"/>
        <v/>
      </c>
    </row>
    <row r="330" spans="3:3">
      <c r="C330" s="13" t="str">
        <f t="shared" si="29"/>
        <v/>
      </c>
    </row>
    <row r="331" spans="3:3">
      <c r="C331" s="13" t="str">
        <f t="shared" si="29"/>
        <v/>
      </c>
    </row>
    <row r="332" spans="3:3">
      <c r="C332" s="13" t="str">
        <f t="shared" si="29"/>
        <v/>
      </c>
    </row>
    <row r="333" spans="3:3">
      <c r="C333" s="13" t="str">
        <f t="shared" si="29"/>
        <v/>
      </c>
    </row>
    <row r="334" spans="3:3">
      <c r="C334" s="13" t="str">
        <f t="shared" si="29"/>
        <v/>
      </c>
    </row>
    <row r="335" spans="3:3">
      <c r="C335" s="13" t="str">
        <f t="shared" si="29"/>
        <v/>
      </c>
    </row>
    <row r="336" spans="3:3">
      <c r="C336" s="13" t="str">
        <f t="shared" si="29"/>
        <v/>
      </c>
    </row>
    <row r="337" spans="3:3">
      <c r="C337" s="13" t="str">
        <f t="shared" si="29"/>
        <v/>
      </c>
    </row>
    <row r="338" spans="3:3">
      <c r="C338" s="13" t="str">
        <f t="shared" si="29"/>
        <v/>
      </c>
    </row>
    <row r="339" spans="3:3">
      <c r="C339" s="13" t="str">
        <f t="shared" si="29"/>
        <v/>
      </c>
    </row>
    <row r="340" spans="3:3">
      <c r="C340" s="13" t="str">
        <f t="shared" si="29"/>
        <v/>
      </c>
    </row>
    <row r="341" spans="3:3">
      <c r="C341" s="13" t="str">
        <f t="shared" si="29"/>
        <v/>
      </c>
    </row>
    <row r="342" spans="3:3">
      <c r="C342" s="13" t="str">
        <f t="shared" si="29"/>
        <v/>
      </c>
    </row>
    <row r="343" spans="3:3">
      <c r="C343" s="13" t="str">
        <f t="shared" si="29"/>
        <v/>
      </c>
    </row>
    <row r="344" spans="3:3">
      <c r="C344" s="13" t="str">
        <f t="shared" si="29"/>
        <v/>
      </c>
    </row>
    <row r="345" spans="3:3">
      <c r="C345" s="13" t="str">
        <f t="shared" si="29"/>
        <v/>
      </c>
    </row>
    <row r="346" spans="3:3">
      <c r="C346" s="13" t="str">
        <f t="shared" si="29"/>
        <v/>
      </c>
    </row>
    <row r="347" spans="3:3">
      <c r="C347" s="13" t="str">
        <f t="shared" si="29"/>
        <v/>
      </c>
    </row>
    <row r="348" spans="3:3">
      <c r="C348" s="13" t="str">
        <f t="shared" si="29"/>
        <v/>
      </c>
    </row>
    <row r="349" spans="3:3">
      <c r="C349" s="13" t="str">
        <f t="shared" si="29"/>
        <v/>
      </c>
    </row>
    <row r="350" spans="3:3">
      <c r="C350" s="13" t="str">
        <f t="shared" si="29"/>
        <v/>
      </c>
    </row>
    <row r="351" spans="3:3">
      <c r="C351" s="13" t="str">
        <f t="shared" si="29"/>
        <v/>
      </c>
    </row>
    <row r="352" spans="3:3">
      <c r="C352" s="13" t="str">
        <f t="shared" si="29"/>
        <v/>
      </c>
    </row>
    <row r="353" spans="3:3">
      <c r="C353" s="13" t="str">
        <f t="shared" si="29"/>
        <v/>
      </c>
    </row>
    <row r="354" spans="3:3">
      <c r="C354" s="13" t="str">
        <f t="shared" si="29"/>
        <v/>
      </c>
    </row>
    <row r="355" spans="3:3">
      <c r="C355" s="13" t="str">
        <f t="shared" si="29"/>
        <v/>
      </c>
    </row>
    <row r="356" spans="3:3">
      <c r="C356" s="13" t="str">
        <f t="shared" si="29"/>
        <v/>
      </c>
    </row>
    <row r="357" spans="3:3">
      <c r="C357" s="13" t="str">
        <f t="shared" si="29"/>
        <v/>
      </c>
    </row>
    <row r="358" spans="3:3">
      <c r="C358" s="13" t="str">
        <f t="shared" si="29"/>
        <v/>
      </c>
    </row>
    <row r="359" spans="3:3">
      <c r="C359" s="13" t="str">
        <f t="shared" si="29"/>
        <v/>
      </c>
    </row>
    <row r="360" spans="3:3">
      <c r="C360" s="13" t="str">
        <f t="shared" si="29"/>
        <v/>
      </c>
    </row>
    <row r="361" spans="3:3">
      <c r="C361" s="13" t="str">
        <f t="shared" si="29"/>
        <v/>
      </c>
    </row>
    <row r="362" spans="3:3">
      <c r="C362" s="13" t="str">
        <f t="shared" si="29"/>
        <v/>
      </c>
    </row>
    <row r="363" spans="3:3">
      <c r="C363" s="13" t="str">
        <f t="shared" si="29"/>
        <v/>
      </c>
    </row>
    <row r="364" spans="3:3">
      <c r="C364" s="13" t="str">
        <f t="shared" si="29"/>
        <v/>
      </c>
    </row>
    <row r="365" spans="3:3">
      <c r="C365" s="13" t="str">
        <f t="shared" si="29"/>
        <v/>
      </c>
    </row>
    <row r="366" spans="3:3">
      <c r="C366" s="13" t="str">
        <f t="shared" si="29"/>
        <v/>
      </c>
    </row>
    <row r="367" spans="3:3">
      <c r="C367" s="13" t="str">
        <f t="shared" si="29"/>
        <v/>
      </c>
    </row>
    <row r="368" spans="3:3">
      <c r="C368" s="13" t="str">
        <f t="shared" si="29"/>
        <v/>
      </c>
    </row>
    <row r="369" spans="3:3">
      <c r="C369" s="13" t="str">
        <f t="shared" si="29"/>
        <v/>
      </c>
    </row>
    <row r="370" spans="3:3">
      <c r="C370" s="13" t="str">
        <f t="shared" si="29"/>
        <v/>
      </c>
    </row>
    <row r="371" spans="3:3">
      <c r="C371" s="13" t="str">
        <f t="shared" si="29"/>
        <v/>
      </c>
    </row>
    <row r="372" spans="3:3">
      <c r="C372" s="13" t="str">
        <f t="shared" si="29"/>
        <v/>
      </c>
    </row>
    <row r="373" spans="3:3">
      <c r="C373" s="13" t="str">
        <f t="shared" si="29"/>
        <v/>
      </c>
    </row>
    <row r="374" spans="3:3">
      <c r="C374" s="13" t="str">
        <f t="shared" si="29"/>
        <v/>
      </c>
    </row>
    <row r="375" spans="3:3">
      <c r="C375" s="13" t="str">
        <f t="shared" si="29"/>
        <v/>
      </c>
    </row>
    <row r="376" spans="3:3">
      <c r="C376" s="13" t="str">
        <f t="shared" si="29"/>
        <v/>
      </c>
    </row>
    <row r="377" spans="3:3">
      <c r="C377" s="13" t="str">
        <f t="shared" si="29"/>
        <v/>
      </c>
    </row>
    <row r="378" spans="3:3">
      <c r="C378" s="13" t="str">
        <f t="shared" si="29"/>
        <v/>
      </c>
    </row>
    <row r="379" spans="3:3">
      <c r="C379" s="13" t="str">
        <f t="shared" si="29"/>
        <v/>
      </c>
    </row>
    <row r="380" spans="3:3">
      <c r="C380" s="13" t="str">
        <f t="shared" si="29"/>
        <v/>
      </c>
    </row>
    <row r="381" spans="3:3">
      <c r="C381" s="13" t="str">
        <f t="shared" si="29"/>
        <v/>
      </c>
    </row>
    <row r="382" spans="3:3">
      <c r="C382" s="13" t="str">
        <f t="shared" si="29"/>
        <v/>
      </c>
    </row>
    <row r="383" spans="3:3">
      <c r="C383" s="13" t="str">
        <f t="shared" si="29"/>
        <v/>
      </c>
    </row>
    <row r="384" spans="3:3">
      <c r="C384" s="13" t="str">
        <f t="shared" si="29"/>
        <v/>
      </c>
    </row>
    <row r="385" spans="3:3">
      <c r="C385" s="13" t="str">
        <f t="shared" si="29"/>
        <v/>
      </c>
    </row>
    <row r="386" spans="3:3">
      <c r="C386" s="13" t="str">
        <f t="shared" si="29"/>
        <v/>
      </c>
    </row>
    <row r="387" spans="3:3">
      <c r="C387" s="13" t="str">
        <f t="shared" ref="C387:C450" si="30">IFERROR(_xlfn.TEXTAFTER(B387,"Core(TM) "),IFERROR(_xlfn.TEXTAFTER(B387,"Xeon(R) CPU"),""))</f>
        <v/>
      </c>
    </row>
    <row r="388" spans="3:3">
      <c r="C388" s="13" t="str">
        <f t="shared" si="30"/>
        <v/>
      </c>
    </row>
    <row r="389" spans="3:3">
      <c r="C389" s="13" t="str">
        <f t="shared" si="30"/>
        <v/>
      </c>
    </row>
    <row r="390" spans="3:3">
      <c r="C390" s="13" t="str">
        <f t="shared" si="30"/>
        <v/>
      </c>
    </row>
    <row r="391" spans="3:3">
      <c r="C391" s="13" t="str">
        <f t="shared" si="30"/>
        <v/>
      </c>
    </row>
    <row r="392" spans="3:3">
      <c r="C392" s="13" t="str">
        <f t="shared" si="30"/>
        <v/>
      </c>
    </row>
    <row r="393" spans="3:3">
      <c r="C393" s="13" t="str">
        <f t="shared" si="30"/>
        <v/>
      </c>
    </row>
    <row r="394" spans="3:3">
      <c r="C394" s="13" t="str">
        <f t="shared" si="30"/>
        <v/>
      </c>
    </row>
    <row r="395" spans="3:3">
      <c r="C395" s="13" t="str">
        <f t="shared" si="30"/>
        <v/>
      </c>
    </row>
    <row r="396" spans="3:3">
      <c r="C396" s="13" t="str">
        <f t="shared" si="30"/>
        <v/>
      </c>
    </row>
    <row r="397" spans="3:3">
      <c r="C397" s="13" t="str">
        <f t="shared" si="30"/>
        <v/>
      </c>
    </row>
    <row r="398" spans="3:3">
      <c r="C398" s="13" t="str">
        <f t="shared" si="30"/>
        <v/>
      </c>
    </row>
    <row r="399" spans="3:3">
      <c r="C399" s="13" t="str">
        <f t="shared" si="30"/>
        <v/>
      </c>
    </row>
    <row r="400" spans="3:3">
      <c r="C400" s="13" t="str">
        <f t="shared" si="30"/>
        <v/>
      </c>
    </row>
    <row r="401" spans="3:3">
      <c r="C401" s="13" t="str">
        <f t="shared" si="30"/>
        <v/>
      </c>
    </row>
    <row r="402" spans="3:3">
      <c r="C402" s="13" t="str">
        <f t="shared" si="30"/>
        <v/>
      </c>
    </row>
    <row r="403" spans="3:3">
      <c r="C403" s="13" t="str">
        <f t="shared" si="30"/>
        <v/>
      </c>
    </row>
    <row r="404" spans="3:3">
      <c r="C404" s="13" t="str">
        <f t="shared" si="30"/>
        <v/>
      </c>
    </row>
    <row r="405" spans="3:3">
      <c r="C405" s="13" t="str">
        <f t="shared" si="30"/>
        <v/>
      </c>
    </row>
    <row r="406" spans="3:3">
      <c r="C406" s="13" t="str">
        <f t="shared" si="30"/>
        <v/>
      </c>
    </row>
    <row r="407" spans="3:3">
      <c r="C407" s="13" t="str">
        <f t="shared" si="30"/>
        <v/>
      </c>
    </row>
    <row r="408" spans="3:3">
      <c r="C408" s="13" t="str">
        <f t="shared" si="30"/>
        <v/>
      </c>
    </row>
    <row r="409" spans="3:3">
      <c r="C409" s="13" t="str">
        <f t="shared" si="30"/>
        <v/>
      </c>
    </row>
    <row r="410" spans="3:3">
      <c r="C410" s="13" t="str">
        <f t="shared" si="30"/>
        <v/>
      </c>
    </row>
    <row r="411" spans="3:3">
      <c r="C411" s="13" t="str">
        <f t="shared" si="30"/>
        <v/>
      </c>
    </row>
    <row r="412" spans="3:3">
      <c r="C412" s="13" t="str">
        <f t="shared" si="30"/>
        <v/>
      </c>
    </row>
    <row r="413" spans="3:3">
      <c r="C413" s="13" t="str">
        <f t="shared" si="30"/>
        <v/>
      </c>
    </row>
    <row r="414" spans="3:3">
      <c r="C414" s="13" t="str">
        <f t="shared" si="30"/>
        <v/>
      </c>
    </row>
    <row r="415" spans="3:3">
      <c r="C415" s="13" t="str">
        <f t="shared" si="30"/>
        <v/>
      </c>
    </row>
    <row r="416" spans="3:3">
      <c r="C416" s="13" t="str">
        <f t="shared" si="30"/>
        <v/>
      </c>
    </row>
    <row r="417" spans="3:3">
      <c r="C417" s="13" t="str">
        <f t="shared" si="30"/>
        <v/>
      </c>
    </row>
    <row r="418" spans="3:3">
      <c r="C418" s="13" t="str">
        <f t="shared" si="30"/>
        <v/>
      </c>
    </row>
    <row r="419" spans="3:3">
      <c r="C419" s="13" t="str">
        <f t="shared" si="30"/>
        <v/>
      </c>
    </row>
    <row r="420" spans="3:3">
      <c r="C420" s="13" t="str">
        <f t="shared" si="30"/>
        <v/>
      </c>
    </row>
    <row r="421" spans="3:3">
      <c r="C421" s="13" t="str">
        <f t="shared" si="30"/>
        <v/>
      </c>
    </row>
    <row r="422" spans="3:3">
      <c r="C422" s="13" t="str">
        <f t="shared" si="30"/>
        <v/>
      </c>
    </row>
    <row r="423" spans="3:3">
      <c r="C423" s="13" t="str">
        <f t="shared" si="30"/>
        <v/>
      </c>
    </row>
    <row r="424" spans="3:3">
      <c r="C424" s="13" t="str">
        <f t="shared" si="30"/>
        <v/>
      </c>
    </row>
    <row r="425" spans="3:3">
      <c r="C425" s="13" t="str">
        <f t="shared" si="30"/>
        <v/>
      </c>
    </row>
    <row r="426" spans="3:3">
      <c r="C426" s="13" t="str">
        <f t="shared" si="30"/>
        <v/>
      </c>
    </row>
    <row r="427" spans="3:3">
      <c r="C427" s="13" t="str">
        <f t="shared" si="30"/>
        <v/>
      </c>
    </row>
    <row r="428" spans="3:3">
      <c r="C428" s="13" t="str">
        <f t="shared" si="30"/>
        <v/>
      </c>
    </row>
    <row r="429" spans="3:3">
      <c r="C429" s="13" t="str">
        <f t="shared" si="30"/>
        <v/>
      </c>
    </row>
    <row r="430" spans="3:3">
      <c r="C430" s="13" t="str">
        <f t="shared" si="30"/>
        <v/>
      </c>
    </row>
    <row r="431" spans="3:3">
      <c r="C431" s="13" t="str">
        <f t="shared" si="30"/>
        <v/>
      </c>
    </row>
    <row r="432" spans="3:3">
      <c r="C432" s="13" t="str">
        <f t="shared" si="30"/>
        <v/>
      </c>
    </row>
    <row r="433" spans="3:3">
      <c r="C433" s="13" t="str">
        <f t="shared" si="30"/>
        <v/>
      </c>
    </row>
    <row r="434" spans="3:3">
      <c r="C434" s="13" t="str">
        <f t="shared" si="30"/>
        <v/>
      </c>
    </row>
    <row r="435" spans="3:3">
      <c r="C435" s="13" t="str">
        <f t="shared" si="30"/>
        <v/>
      </c>
    </row>
    <row r="436" spans="3:3">
      <c r="C436" s="13" t="str">
        <f t="shared" si="30"/>
        <v/>
      </c>
    </row>
    <row r="437" spans="3:3">
      <c r="C437" s="13" t="str">
        <f t="shared" si="30"/>
        <v/>
      </c>
    </row>
    <row r="438" spans="3:3">
      <c r="C438" s="13" t="str">
        <f t="shared" si="30"/>
        <v/>
      </c>
    </row>
    <row r="439" spans="3:3">
      <c r="C439" s="13" t="str">
        <f t="shared" si="30"/>
        <v/>
      </c>
    </row>
    <row r="440" spans="3:3">
      <c r="C440" s="13" t="str">
        <f t="shared" si="30"/>
        <v/>
      </c>
    </row>
    <row r="441" spans="3:3">
      <c r="C441" s="13" t="str">
        <f t="shared" si="30"/>
        <v/>
      </c>
    </row>
    <row r="442" spans="3:3">
      <c r="C442" s="13" t="str">
        <f t="shared" si="30"/>
        <v/>
      </c>
    </row>
    <row r="443" spans="3:3">
      <c r="C443" s="13" t="str">
        <f t="shared" si="30"/>
        <v/>
      </c>
    </row>
    <row r="444" spans="3:3">
      <c r="C444" s="13" t="str">
        <f t="shared" si="30"/>
        <v/>
      </c>
    </row>
    <row r="445" spans="3:3">
      <c r="C445" s="13" t="str">
        <f t="shared" si="30"/>
        <v/>
      </c>
    </row>
    <row r="446" spans="3:3">
      <c r="C446" s="13" t="str">
        <f t="shared" si="30"/>
        <v/>
      </c>
    </row>
    <row r="447" spans="3:3">
      <c r="C447" s="13" t="str">
        <f t="shared" si="30"/>
        <v/>
      </c>
    </row>
    <row r="448" spans="3:3">
      <c r="C448" s="13" t="str">
        <f t="shared" si="30"/>
        <v/>
      </c>
    </row>
    <row r="449" spans="3:3">
      <c r="C449" s="13" t="str">
        <f t="shared" si="30"/>
        <v/>
      </c>
    </row>
    <row r="450" spans="3:3">
      <c r="C450" s="13" t="str">
        <f t="shared" si="30"/>
        <v/>
      </c>
    </row>
    <row r="451" spans="3:3">
      <c r="C451" s="13" t="str">
        <f t="shared" ref="C451:C514" si="31">IFERROR(_xlfn.TEXTAFTER(B451,"Core(TM) "),IFERROR(_xlfn.TEXTAFTER(B451,"Xeon(R) CPU"),""))</f>
        <v/>
      </c>
    </row>
    <row r="452" spans="3:3">
      <c r="C452" s="13" t="str">
        <f t="shared" si="31"/>
        <v/>
      </c>
    </row>
    <row r="453" spans="3:3">
      <c r="C453" s="13" t="str">
        <f t="shared" si="31"/>
        <v/>
      </c>
    </row>
    <row r="454" spans="3:3">
      <c r="C454" s="13" t="str">
        <f t="shared" si="31"/>
        <v/>
      </c>
    </row>
    <row r="455" spans="3:3">
      <c r="C455" s="13" t="str">
        <f t="shared" si="31"/>
        <v/>
      </c>
    </row>
    <row r="456" spans="3:3">
      <c r="C456" s="13" t="str">
        <f t="shared" si="31"/>
        <v/>
      </c>
    </row>
    <row r="457" spans="3:3">
      <c r="C457" s="13" t="str">
        <f t="shared" si="31"/>
        <v/>
      </c>
    </row>
    <row r="458" spans="3:3">
      <c r="C458" s="13" t="str">
        <f t="shared" si="31"/>
        <v/>
      </c>
    </row>
    <row r="459" spans="3:3">
      <c r="C459" s="13" t="str">
        <f t="shared" si="31"/>
        <v/>
      </c>
    </row>
    <row r="460" spans="3:3">
      <c r="C460" s="13" t="str">
        <f t="shared" si="31"/>
        <v/>
      </c>
    </row>
    <row r="461" spans="3:3">
      <c r="C461" s="13" t="str">
        <f t="shared" si="31"/>
        <v/>
      </c>
    </row>
    <row r="462" spans="3:3">
      <c r="C462" s="13" t="str">
        <f t="shared" si="31"/>
        <v/>
      </c>
    </row>
    <row r="463" spans="3:3">
      <c r="C463" s="13" t="str">
        <f t="shared" si="31"/>
        <v/>
      </c>
    </row>
    <row r="464" spans="3:3">
      <c r="C464" s="13" t="str">
        <f t="shared" si="31"/>
        <v/>
      </c>
    </row>
    <row r="465" spans="3:3">
      <c r="C465" s="13" t="str">
        <f t="shared" si="31"/>
        <v/>
      </c>
    </row>
    <row r="466" spans="3:3">
      <c r="C466" s="13" t="str">
        <f t="shared" si="31"/>
        <v/>
      </c>
    </row>
    <row r="467" spans="3:3">
      <c r="C467" s="13" t="str">
        <f t="shared" si="31"/>
        <v/>
      </c>
    </row>
    <row r="468" spans="3:3">
      <c r="C468" s="13" t="str">
        <f t="shared" si="31"/>
        <v/>
      </c>
    </row>
    <row r="469" spans="3:3">
      <c r="C469" s="13" t="str">
        <f t="shared" si="31"/>
        <v/>
      </c>
    </row>
    <row r="470" spans="3:3">
      <c r="C470" s="13" t="str">
        <f t="shared" si="31"/>
        <v/>
      </c>
    </row>
    <row r="471" spans="3:3">
      <c r="C471" s="13" t="str">
        <f t="shared" si="31"/>
        <v/>
      </c>
    </row>
    <row r="472" spans="3:3">
      <c r="C472" s="13" t="str">
        <f t="shared" si="31"/>
        <v/>
      </c>
    </row>
    <row r="473" spans="3:3">
      <c r="C473" s="13" t="str">
        <f t="shared" si="31"/>
        <v/>
      </c>
    </row>
    <row r="474" spans="3:3">
      <c r="C474" s="13" t="str">
        <f t="shared" si="31"/>
        <v/>
      </c>
    </row>
    <row r="475" spans="3:3">
      <c r="C475" s="13" t="str">
        <f t="shared" si="31"/>
        <v/>
      </c>
    </row>
    <row r="476" spans="3:3">
      <c r="C476" s="13" t="str">
        <f t="shared" si="31"/>
        <v/>
      </c>
    </row>
    <row r="477" spans="3:3">
      <c r="C477" s="13" t="str">
        <f t="shared" si="31"/>
        <v/>
      </c>
    </row>
    <row r="478" spans="3:3">
      <c r="C478" s="13" t="str">
        <f t="shared" si="31"/>
        <v/>
      </c>
    </row>
    <row r="479" spans="3:3">
      <c r="C479" s="13" t="str">
        <f t="shared" si="31"/>
        <v/>
      </c>
    </row>
    <row r="480" spans="3:3">
      <c r="C480" s="13" t="str">
        <f t="shared" si="31"/>
        <v/>
      </c>
    </row>
    <row r="481" spans="3:3">
      <c r="C481" s="13" t="str">
        <f t="shared" si="31"/>
        <v/>
      </c>
    </row>
    <row r="482" spans="3:3">
      <c r="C482" s="13" t="str">
        <f t="shared" si="31"/>
        <v/>
      </c>
    </row>
    <row r="483" spans="3:3">
      <c r="C483" s="13" t="str">
        <f t="shared" si="31"/>
        <v/>
      </c>
    </row>
    <row r="484" spans="3:3">
      <c r="C484" s="13" t="str">
        <f t="shared" si="31"/>
        <v/>
      </c>
    </row>
    <row r="485" spans="3:3">
      <c r="C485" s="13" t="str">
        <f t="shared" si="31"/>
        <v/>
      </c>
    </row>
    <row r="486" spans="3:3">
      <c r="C486" s="13" t="str">
        <f t="shared" si="31"/>
        <v/>
      </c>
    </row>
    <row r="487" spans="3:3">
      <c r="C487" s="13" t="str">
        <f t="shared" si="31"/>
        <v/>
      </c>
    </row>
    <row r="488" spans="3:3">
      <c r="C488" s="13" t="str">
        <f t="shared" si="31"/>
        <v/>
      </c>
    </row>
    <row r="489" spans="3:3">
      <c r="C489" s="13" t="str">
        <f t="shared" si="31"/>
        <v/>
      </c>
    </row>
    <row r="490" spans="3:3">
      <c r="C490" s="13" t="str">
        <f t="shared" si="31"/>
        <v/>
      </c>
    </row>
    <row r="491" spans="3:3">
      <c r="C491" s="13" t="str">
        <f t="shared" si="31"/>
        <v/>
      </c>
    </row>
    <row r="492" spans="3:3">
      <c r="C492" s="13" t="str">
        <f t="shared" si="31"/>
        <v/>
      </c>
    </row>
    <row r="493" spans="3:3">
      <c r="C493" s="13" t="str">
        <f t="shared" si="31"/>
        <v/>
      </c>
    </row>
    <row r="494" spans="3:3">
      <c r="C494" s="13" t="str">
        <f t="shared" si="31"/>
        <v/>
      </c>
    </row>
    <row r="495" spans="3:3">
      <c r="C495" s="13" t="str">
        <f t="shared" si="31"/>
        <v/>
      </c>
    </row>
    <row r="496" spans="3:3">
      <c r="C496" s="13" t="str">
        <f t="shared" si="31"/>
        <v/>
      </c>
    </row>
    <row r="497" spans="3:3">
      <c r="C497" s="13" t="str">
        <f t="shared" si="31"/>
        <v/>
      </c>
    </row>
    <row r="498" spans="3:3">
      <c r="C498" s="13" t="str">
        <f t="shared" si="31"/>
        <v/>
      </c>
    </row>
    <row r="499" spans="3:3">
      <c r="C499" s="13" t="str">
        <f t="shared" si="31"/>
        <v/>
      </c>
    </row>
    <row r="500" spans="3:3">
      <c r="C500" s="13" t="str">
        <f t="shared" si="31"/>
        <v/>
      </c>
    </row>
    <row r="501" spans="3:3">
      <c r="C501" s="13" t="str">
        <f t="shared" si="31"/>
        <v/>
      </c>
    </row>
    <row r="502" spans="3:3">
      <c r="C502" s="13" t="str">
        <f t="shared" si="31"/>
        <v/>
      </c>
    </row>
    <row r="503" spans="3:3">
      <c r="C503" s="13" t="str">
        <f t="shared" si="31"/>
        <v/>
      </c>
    </row>
    <row r="504" spans="3:3">
      <c r="C504" s="13" t="str">
        <f t="shared" si="31"/>
        <v/>
      </c>
    </row>
    <row r="505" spans="3:3">
      <c r="C505" s="13" t="str">
        <f t="shared" si="31"/>
        <v/>
      </c>
    </row>
    <row r="506" spans="3:3">
      <c r="C506" s="13" t="str">
        <f t="shared" si="31"/>
        <v/>
      </c>
    </row>
    <row r="507" spans="3:3">
      <c r="C507" s="13" t="str">
        <f t="shared" si="31"/>
        <v/>
      </c>
    </row>
    <row r="508" spans="3:3">
      <c r="C508" s="13" t="str">
        <f t="shared" si="31"/>
        <v/>
      </c>
    </row>
    <row r="509" spans="3:3">
      <c r="C509" s="13" t="str">
        <f t="shared" si="31"/>
        <v/>
      </c>
    </row>
    <row r="510" spans="3:3">
      <c r="C510" s="13" t="str">
        <f t="shared" si="31"/>
        <v/>
      </c>
    </row>
    <row r="511" spans="3:3">
      <c r="C511" s="13" t="str">
        <f t="shared" si="31"/>
        <v/>
      </c>
    </row>
    <row r="512" spans="3:3">
      <c r="C512" s="13" t="str">
        <f t="shared" si="31"/>
        <v/>
      </c>
    </row>
    <row r="513" spans="3:3">
      <c r="C513" s="13" t="str">
        <f t="shared" si="31"/>
        <v/>
      </c>
    </row>
    <row r="514" spans="3:3">
      <c r="C514" s="13" t="str">
        <f t="shared" si="31"/>
        <v/>
      </c>
    </row>
    <row r="515" spans="3:3">
      <c r="C515" s="13" t="str">
        <f t="shared" ref="C515:C578" si="32">IFERROR(_xlfn.TEXTAFTER(B515,"Core(TM) "),IFERROR(_xlfn.TEXTAFTER(B515,"Xeon(R) CPU"),""))</f>
        <v/>
      </c>
    </row>
    <row r="516" spans="3:3">
      <c r="C516" s="13" t="str">
        <f t="shared" si="32"/>
        <v/>
      </c>
    </row>
    <row r="517" spans="3:3">
      <c r="C517" s="13" t="str">
        <f t="shared" si="32"/>
        <v/>
      </c>
    </row>
    <row r="518" spans="3:3">
      <c r="C518" s="13" t="str">
        <f t="shared" si="32"/>
        <v/>
      </c>
    </row>
    <row r="519" spans="3:3">
      <c r="C519" s="13" t="str">
        <f t="shared" si="32"/>
        <v/>
      </c>
    </row>
    <row r="520" spans="3:3">
      <c r="C520" s="13" t="str">
        <f t="shared" si="32"/>
        <v/>
      </c>
    </row>
    <row r="521" spans="3:3">
      <c r="C521" s="13" t="str">
        <f t="shared" si="32"/>
        <v/>
      </c>
    </row>
    <row r="522" spans="3:3">
      <c r="C522" s="13" t="str">
        <f t="shared" si="32"/>
        <v/>
      </c>
    </row>
    <row r="523" spans="3:3">
      <c r="C523" s="13" t="str">
        <f t="shared" si="32"/>
        <v/>
      </c>
    </row>
    <row r="524" spans="3:3">
      <c r="C524" s="13" t="str">
        <f t="shared" si="32"/>
        <v/>
      </c>
    </row>
    <row r="525" spans="3:3">
      <c r="C525" s="13" t="str">
        <f t="shared" si="32"/>
        <v/>
      </c>
    </row>
    <row r="526" spans="3:3">
      <c r="C526" s="13" t="str">
        <f t="shared" si="32"/>
        <v/>
      </c>
    </row>
    <row r="527" spans="3:3">
      <c r="C527" s="13" t="str">
        <f t="shared" si="32"/>
        <v/>
      </c>
    </row>
    <row r="528" spans="3:3">
      <c r="C528" s="13" t="str">
        <f t="shared" si="32"/>
        <v/>
      </c>
    </row>
    <row r="529" spans="3:3">
      <c r="C529" s="13" t="str">
        <f t="shared" si="32"/>
        <v/>
      </c>
    </row>
    <row r="530" spans="3:3">
      <c r="C530" s="13" t="str">
        <f t="shared" si="32"/>
        <v/>
      </c>
    </row>
    <row r="531" spans="3:3">
      <c r="C531" s="13" t="str">
        <f t="shared" si="32"/>
        <v/>
      </c>
    </row>
    <row r="532" spans="3:3">
      <c r="C532" s="13" t="str">
        <f t="shared" si="32"/>
        <v/>
      </c>
    </row>
    <row r="533" spans="3:3">
      <c r="C533" s="13" t="str">
        <f t="shared" si="32"/>
        <v/>
      </c>
    </row>
    <row r="534" spans="3:3">
      <c r="C534" s="13" t="str">
        <f t="shared" si="32"/>
        <v/>
      </c>
    </row>
    <row r="535" spans="3:3">
      <c r="C535" s="13" t="str">
        <f t="shared" si="32"/>
        <v/>
      </c>
    </row>
    <row r="536" spans="3:3">
      <c r="C536" s="13" t="str">
        <f t="shared" si="32"/>
        <v/>
      </c>
    </row>
    <row r="537" spans="3:3">
      <c r="C537" s="13" t="str">
        <f t="shared" si="32"/>
        <v/>
      </c>
    </row>
    <row r="538" spans="3:3">
      <c r="C538" s="13" t="str">
        <f t="shared" si="32"/>
        <v/>
      </c>
    </row>
    <row r="539" spans="3:3">
      <c r="C539" s="13" t="str">
        <f t="shared" si="32"/>
        <v/>
      </c>
    </row>
    <row r="540" spans="3:3">
      <c r="C540" s="13" t="str">
        <f t="shared" si="32"/>
        <v/>
      </c>
    </row>
    <row r="541" spans="3:3">
      <c r="C541" s="13" t="str">
        <f t="shared" si="32"/>
        <v/>
      </c>
    </row>
    <row r="542" spans="3:3">
      <c r="C542" s="13" t="str">
        <f t="shared" si="32"/>
        <v/>
      </c>
    </row>
    <row r="543" spans="3:3">
      <c r="C543" s="13" t="str">
        <f t="shared" si="32"/>
        <v/>
      </c>
    </row>
    <row r="544" spans="3:3">
      <c r="C544" s="13" t="str">
        <f t="shared" si="32"/>
        <v/>
      </c>
    </row>
    <row r="545" spans="3:3">
      <c r="C545" s="13" t="str">
        <f t="shared" si="32"/>
        <v/>
      </c>
    </row>
    <row r="546" spans="3:3">
      <c r="C546" s="13" t="str">
        <f t="shared" si="32"/>
        <v/>
      </c>
    </row>
    <row r="547" spans="3:3">
      <c r="C547" s="13" t="str">
        <f t="shared" si="32"/>
        <v/>
      </c>
    </row>
    <row r="548" spans="3:3">
      <c r="C548" s="13" t="str">
        <f t="shared" si="32"/>
        <v/>
      </c>
    </row>
    <row r="549" spans="3:3">
      <c r="C549" s="13" t="str">
        <f t="shared" si="32"/>
        <v/>
      </c>
    </row>
    <row r="550" spans="3:3">
      <c r="C550" s="13" t="str">
        <f t="shared" si="32"/>
        <v/>
      </c>
    </row>
    <row r="551" spans="3:3">
      <c r="C551" s="13" t="str">
        <f t="shared" si="32"/>
        <v/>
      </c>
    </row>
    <row r="552" spans="3:3">
      <c r="C552" s="13" t="str">
        <f t="shared" si="32"/>
        <v/>
      </c>
    </row>
    <row r="553" spans="3:3">
      <c r="C553" s="13" t="str">
        <f t="shared" si="32"/>
        <v/>
      </c>
    </row>
    <row r="554" spans="3:3">
      <c r="C554" s="13" t="str">
        <f t="shared" si="32"/>
        <v/>
      </c>
    </row>
    <row r="555" spans="3:3">
      <c r="C555" s="13" t="str">
        <f t="shared" si="32"/>
        <v/>
      </c>
    </row>
    <row r="556" spans="3:3">
      <c r="C556" s="13" t="str">
        <f t="shared" si="32"/>
        <v/>
      </c>
    </row>
    <row r="557" spans="3:3">
      <c r="C557" s="13" t="str">
        <f t="shared" si="32"/>
        <v/>
      </c>
    </row>
    <row r="558" spans="3:3">
      <c r="C558" s="13" t="str">
        <f t="shared" si="32"/>
        <v/>
      </c>
    </row>
    <row r="559" spans="3:3">
      <c r="C559" s="13" t="str">
        <f t="shared" si="32"/>
        <v/>
      </c>
    </row>
    <row r="560" spans="3:3">
      <c r="C560" s="13" t="str">
        <f t="shared" si="32"/>
        <v/>
      </c>
    </row>
    <row r="561" spans="3:3">
      <c r="C561" s="13" t="str">
        <f t="shared" si="32"/>
        <v/>
      </c>
    </row>
    <row r="562" spans="3:3">
      <c r="C562" s="13" t="str">
        <f t="shared" si="32"/>
        <v/>
      </c>
    </row>
    <row r="563" spans="3:3">
      <c r="C563" s="13" t="str">
        <f t="shared" si="32"/>
        <v/>
      </c>
    </row>
    <row r="564" spans="3:3">
      <c r="C564" s="13" t="str">
        <f t="shared" si="32"/>
        <v/>
      </c>
    </row>
    <row r="565" spans="3:3">
      <c r="C565" s="13" t="str">
        <f t="shared" si="32"/>
        <v/>
      </c>
    </row>
    <row r="566" spans="3:3">
      <c r="C566" s="13" t="str">
        <f t="shared" si="32"/>
        <v/>
      </c>
    </row>
    <row r="567" spans="3:3">
      <c r="C567" s="13" t="str">
        <f t="shared" si="32"/>
        <v/>
      </c>
    </row>
    <row r="568" spans="3:3">
      <c r="C568" s="13" t="str">
        <f t="shared" si="32"/>
        <v/>
      </c>
    </row>
    <row r="569" spans="3:3">
      <c r="C569" s="13" t="str">
        <f t="shared" si="32"/>
        <v/>
      </c>
    </row>
    <row r="570" spans="3:3">
      <c r="C570" s="13" t="str">
        <f t="shared" si="32"/>
        <v/>
      </c>
    </row>
    <row r="571" spans="3:3">
      <c r="C571" s="13" t="str">
        <f t="shared" si="32"/>
        <v/>
      </c>
    </row>
    <row r="572" spans="3:3">
      <c r="C572" s="13" t="str">
        <f t="shared" si="32"/>
        <v/>
      </c>
    </row>
    <row r="573" spans="3:3">
      <c r="C573" s="13" t="str">
        <f t="shared" si="32"/>
        <v/>
      </c>
    </row>
    <row r="574" spans="3:3">
      <c r="C574" s="13" t="str">
        <f t="shared" si="32"/>
        <v/>
      </c>
    </row>
    <row r="575" spans="3:3">
      <c r="C575" s="13" t="str">
        <f t="shared" si="32"/>
        <v/>
      </c>
    </row>
    <row r="576" spans="3:3">
      <c r="C576" s="13" t="str">
        <f t="shared" si="32"/>
        <v/>
      </c>
    </row>
    <row r="577" spans="3:3">
      <c r="C577" s="13" t="str">
        <f t="shared" si="32"/>
        <v/>
      </c>
    </row>
    <row r="578" spans="3:3">
      <c r="C578" s="13" t="str">
        <f t="shared" si="32"/>
        <v/>
      </c>
    </row>
    <row r="579" spans="3:3">
      <c r="C579" s="13" t="str">
        <f t="shared" ref="C579:C642" si="33">IFERROR(_xlfn.TEXTAFTER(B579,"Core(TM) "),IFERROR(_xlfn.TEXTAFTER(B579,"Xeon(R) CPU"),""))</f>
        <v/>
      </c>
    </row>
    <row r="580" spans="3:3">
      <c r="C580" s="13" t="str">
        <f t="shared" si="33"/>
        <v/>
      </c>
    </row>
    <row r="581" spans="3:3">
      <c r="C581" s="13" t="str">
        <f t="shared" si="33"/>
        <v/>
      </c>
    </row>
    <row r="582" spans="3:3">
      <c r="C582" s="13" t="str">
        <f t="shared" si="33"/>
        <v/>
      </c>
    </row>
    <row r="583" spans="3:3">
      <c r="C583" s="13" t="str">
        <f t="shared" si="33"/>
        <v/>
      </c>
    </row>
    <row r="584" spans="3:3">
      <c r="C584" s="13" t="str">
        <f t="shared" si="33"/>
        <v/>
      </c>
    </row>
    <row r="585" spans="3:3">
      <c r="C585" s="13" t="str">
        <f t="shared" si="33"/>
        <v/>
      </c>
    </row>
    <row r="586" spans="3:3">
      <c r="C586" s="13" t="str">
        <f t="shared" si="33"/>
        <v/>
      </c>
    </row>
    <row r="587" spans="3:3">
      <c r="C587" s="13" t="str">
        <f t="shared" si="33"/>
        <v/>
      </c>
    </row>
    <row r="588" spans="3:3">
      <c r="C588" s="13" t="str">
        <f t="shared" si="33"/>
        <v/>
      </c>
    </row>
    <row r="589" spans="3:3">
      <c r="C589" s="13" t="str">
        <f t="shared" si="33"/>
        <v/>
      </c>
    </row>
    <row r="590" spans="3:3">
      <c r="C590" s="13" t="str">
        <f t="shared" si="33"/>
        <v/>
      </c>
    </row>
    <row r="591" spans="3:3">
      <c r="C591" s="13" t="str">
        <f t="shared" si="33"/>
        <v/>
      </c>
    </row>
    <row r="592" spans="3:3">
      <c r="C592" s="13" t="str">
        <f t="shared" si="33"/>
        <v/>
      </c>
    </row>
    <row r="593" spans="3:3">
      <c r="C593" s="13" t="str">
        <f t="shared" si="33"/>
        <v/>
      </c>
    </row>
    <row r="594" spans="3:3">
      <c r="C594" s="13" t="str">
        <f t="shared" si="33"/>
        <v/>
      </c>
    </row>
    <row r="595" spans="3:3">
      <c r="C595" s="13" t="str">
        <f t="shared" si="33"/>
        <v/>
      </c>
    </row>
    <row r="596" spans="3:3">
      <c r="C596" s="13" t="str">
        <f t="shared" si="33"/>
        <v/>
      </c>
    </row>
    <row r="597" spans="3:3">
      <c r="C597" s="13" t="str">
        <f t="shared" si="33"/>
        <v/>
      </c>
    </row>
    <row r="598" spans="3:3">
      <c r="C598" s="13" t="str">
        <f t="shared" si="33"/>
        <v/>
      </c>
    </row>
    <row r="599" spans="3:3">
      <c r="C599" s="13" t="str">
        <f t="shared" si="33"/>
        <v/>
      </c>
    </row>
    <row r="600" spans="3:3">
      <c r="C600" s="13" t="str">
        <f t="shared" si="33"/>
        <v/>
      </c>
    </row>
    <row r="601" spans="3:3">
      <c r="C601" s="13" t="str">
        <f t="shared" si="33"/>
        <v/>
      </c>
    </row>
    <row r="602" spans="3:3">
      <c r="C602" s="13" t="str">
        <f t="shared" si="33"/>
        <v/>
      </c>
    </row>
    <row r="603" spans="3:3">
      <c r="C603" s="13" t="str">
        <f t="shared" si="33"/>
        <v/>
      </c>
    </row>
    <row r="604" spans="3:3">
      <c r="C604" s="13" t="str">
        <f t="shared" si="33"/>
        <v/>
      </c>
    </row>
    <row r="605" spans="3:3">
      <c r="C605" s="13" t="str">
        <f t="shared" si="33"/>
        <v/>
      </c>
    </row>
    <row r="606" spans="3:3">
      <c r="C606" s="13" t="str">
        <f t="shared" si="33"/>
        <v/>
      </c>
    </row>
    <row r="607" spans="3:3">
      <c r="C607" s="13" t="str">
        <f t="shared" si="33"/>
        <v/>
      </c>
    </row>
    <row r="608" spans="3:3">
      <c r="C608" s="13" t="str">
        <f t="shared" si="33"/>
        <v/>
      </c>
    </row>
    <row r="609" spans="3:3">
      <c r="C609" s="13" t="str">
        <f t="shared" si="33"/>
        <v/>
      </c>
    </row>
    <row r="610" spans="3:3">
      <c r="C610" s="13" t="str">
        <f t="shared" si="33"/>
        <v/>
      </c>
    </row>
    <row r="611" spans="3:3">
      <c r="C611" s="13" t="str">
        <f t="shared" si="33"/>
        <v/>
      </c>
    </row>
    <row r="612" spans="3:3">
      <c r="C612" s="13" t="str">
        <f t="shared" si="33"/>
        <v/>
      </c>
    </row>
    <row r="613" spans="3:3">
      <c r="C613" s="13" t="str">
        <f t="shared" si="33"/>
        <v/>
      </c>
    </row>
    <row r="614" spans="3:3">
      <c r="C614" s="13" t="str">
        <f t="shared" si="33"/>
        <v/>
      </c>
    </row>
    <row r="615" spans="3:3">
      <c r="C615" s="13" t="str">
        <f t="shared" si="33"/>
        <v/>
      </c>
    </row>
    <row r="616" spans="3:3">
      <c r="C616" s="13" t="str">
        <f t="shared" si="33"/>
        <v/>
      </c>
    </row>
    <row r="617" spans="3:3">
      <c r="C617" s="13" t="str">
        <f t="shared" si="33"/>
        <v/>
      </c>
    </row>
    <row r="618" spans="3:3">
      <c r="C618" s="13" t="str">
        <f t="shared" si="33"/>
        <v/>
      </c>
    </row>
    <row r="619" spans="3:3">
      <c r="C619" s="13" t="str">
        <f t="shared" si="33"/>
        <v/>
      </c>
    </row>
    <row r="620" spans="3:3">
      <c r="C620" s="13" t="str">
        <f t="shared" si="33"/>
        <v/>
      </c>
    </row>
    <row r="621" spans="3:3">
      <c r="C621" s="13" t="str">
        <f t="shared" si="33"/>
        <v/>
      </c>
    </row>
    <row r="622" spans="3:3">
      <c r="C622" s="13" t="str">
        <f t="shared" si="33"/>
        <v/>
      </c>
    </row>
    <row r="623" spans="3:3">
      <c r="C623" s="13" t="str">
        <f t="shared" si="33"/>
        <v/>
      </c>
    </row>
    <row r="624" spans="3:3">
      <c r="C624" s="13" t="str">
        <f t="shared" si="33"/>
        <v/>
      </c>
    </row>
    <row r="625" spans="3:3">
      <c r="C625" s="13" t="str">
        <f t="shared" si="33"/>
        <v/>
      </c>
    </row>
    <row r="626" spans="3:3">
      <c r="C626" s="13" t="str">
        <f t="shared" si="33"/>
        <v/>
      </c>
    </row>
    <row r="627" spans="3:3">
      <c r="C627" s="13" t="str">
        <f t="shared" si="33"/>
        <v/>
      </c>
    </row>
    <row r="628" spans="3:3">
      <c r="C628" s="13" t="str">
        <f t="shared" si="33"/>
        <v/>
      </c>
    </row>
    <row r="629" spans="3:3">
      <c r="C629" s="13" t="str">
        <f t="shared" si="33"/>
        <v/>
      </c>
    </row>
    <row r="630" spans="3:3">
      <c r="C630" s="13" t="str">
        <f t="shared" si="33"/>
        <v/>
      </c>
    </row>
    <row r="631" spans="3:3">
      <c r="C631" s="13" t="str">
        <f t="shared" si="33"/>
        <v/>
      </c>
    </row>
    <row r="632" spans="3:3">
      <c r="C632" s="13" t="str">
        <f t="shared" si="33"/>
        <v/>
      </c>
    </row>
    <row r="633" spans="3:3">
      <c r="C633" s="13" t="str">
        <f t="shared" si="33"/>
        <v/>
      </c>
    </row>
    <row r="634" spans="3:3">
      <c r="C634" s="13" t="str">
        <f t="shared" si="33"/>
        <v/>
      </c>
    </row>
    <row r="635" spans="3:3">
      <c r="C635" s="13" t="str">
        <f t="shared" si="33"/>
        <v/>
      </c>
    </row>
    <row r="636" spans="3:3">
      <c r="C636" s="13" t="str">
        <f t="shared" si="33"/>
        <v/>
      </c>
    </row>
    <row r="637" spans="3:3">
      <c r="C637" s="13" t="str">
        <f t="shared" si="33"/>
        <v/>
      </c>
    </row>
    <row r="638" spans="3:3">
      <c r="C638" s="13" t="str">
        <f t="shared" si="33"/>
        <v/>
      </c>
    </row>
    <row r="639" spans="3:3">
      <c r="C639" s="13" t="str">
        <f t="shared" si="33"/>
        <v/>
      </c>
    </row>
    <row r="640" spans="3:3">
      <c r="C640" s="13" t="str">
        <f t="shared" si="33"/>
        <v/>
      </c>
    </row>
    <row r="641" spans="3:3">
      <c r="C641" s="13" t="str">
        <f t="shared" si="33"/>
        <v/>
      </c>
    </row>
    <row r="642" spans="3:3">
      <c r="C642" s="13" t="str">
        <f t="shared" si="33"/>
        <v/>
      </c>
    </row>
    <row r="643" spans="3:3">
      <c r="C643" s="13" t="str">
        <f t="shared" ref="C643:C693" si="34">IFERROR(_xlfn.TEXTAFTER(B643,"Core(TM) "),IFERROR(_xlfn.TEXTAFTER(B643,"Xeon(R) CPU"),""))</f>
        <v/>
      </c>
    </row>
    <row r="644" spans="3:3">
      <c r="C644" s="13" t="str">
        <f t="shared" si="34"/>
        <v/>
      </c>
    </row>
    <row r="645" spans="3:3">
      <c r="C645" s="13" t="str">
        <f t="shared" si="34"/>
        <v/>
      </c>
    </row>
    <row r="646" spans="3:3">
      <c r="C646" s="13" t="str">
        <f t="shared" si="34"/>
        <v/>
      </c>
    </row>
    <row r="647" spans="3:3">
      <c r="C647" s="13" t="str">
        <f t="shared" si="34"/>
        <v/>
      </c>
    </row>
    <row r="648" spans="3:3">
      <c r="C648" s="13" t="str">
        <f t="shared" si="34"/>
        <v/>
      </c>
    </row>
    <row r="649" spans="3:3">
      <c r="C649" s="13" t="str">
        <f t="shared" si="34"/>
        <v/>
      </c>
    </row>
    <row r="650" spans="3:3">
      <c r="C650" s="13" t="str">
        <f t="shared" si="34"/>
        <v/>
      </c>
    </row>
    <row r="651" spans="3:3">
      <c r="C651" s="13" t="str">
        <f t="shared" si="34"/>
        <v/>
      </c>
    </row>
    <row r="652" spans="3:3">
      <c r="C652" s="13" t="str">
        <f t="shared" si="34"/>
        <v/>
      </c>
    </row>
    <row r="653" spans="3:3">
      <c r="C653" s="13" t="str">
        <f t="shared" si="34"/>
        <v/>
      </c>
    </row>
    <row r="654" spans="3:3">
      <c r="C654" s="13" t="str">
        <f t="shared" si="34"/>
        <v/>
      </c>
    </row>
    <row r="655" spans="3:3">
      <c r="C655" s="13" t="str">
        <f t="shared" si="34"/>
        <v/>
      </c>
    </row>
    <row r="656" spans="3:3">
      <c r="C656" s="13" t="str">
        <f t="shared" si="34"/>
        <v/>
      </c>
    </row>
    <row r="657" spans="3:3">
      <c r="C657" s="13" t="str">
        <f t="shared" si="34"/>
        <v/>
      </c>
    </row>
    <row r="658" spans="3:3">
      <c r="C658" s="13" t="str">
        <f t="shared" si="34"/>
        <v/>
      </c>
    </row>
    <row r="659" spans="3:3">
      <c r="C659" s="13" t="str">
        <f t="shared" si="34"/>
        <v/>
      </c>
    </row>
    <row r="660" spans="3:3">
      <c r="C660" s="13" t="str">
        <f t="shared" si="34"/>
        <v/>
      </c>
    </row>
    <row r="661" spans="3:3">
      <c r="C661" s="13" t="str">
        <f t="shared" si="34"/>
        <v/>
      </c>
    </row>
    <row r="662" spans="3:3">
      <c r="C662" s="13" t="str">
        <f t="shared" si="34"/>
        <v/>
      </c>
    </row>
    <row r="663" spans="3:3">
      <c r="C663" s="13" t="str">
        <f t="shared" si="34"/>
        <v/>
      </c>
    </row>
    <row r="664" spans="3:3">
      <c r="C664" s="13" t="str">
        <f t="shared" si="34"/>
        <v/>
      </c>
    </row>
    <row r="665" spans="3:3">
      <c r="C665" s="13" t="str">
        <f t="shared" si="34"/>
        <v/>
      </c>
    </row>
    <row r="666" spans="3:3">
      <c r="C666" s="13" t="str">
        <f t="shared" si="34"/>
        <v/>
      </c>
    </row>
    <row r="667" spans="3:3">
      <c r="C667" s="13" t="str">
        <f t="shared" si="34"/>
        <v/>
      </c>
    </row>
    <row r="668" spans="3:3">
      <c r="C668" s="13" t="str">
        <f t="shared" si="34"/>
        <v/>
      </c>
    </row>
    <row r="669" spans="3:3">
      <c r="C669" s="13" t="str">
        <f t="shared" si="34"/>
        <v/>
      </c>
    </row>
    <row r="670" spans="3:3">
      <c r="C670" s="13" t="str">
        <f t="shared" si="34"/>
        <v/>
      </c>
    </row>
    <row r="671" spans="3:3">
      <c r="C671" s="13" t="str">
        <f t="shared" si="34"/>
        <v/>
      </c>
    </row>
    <row r="672" spans="3:3">
      <c r="C672" s="13" t="str">
        <f t="shared" si="34"/>
        <v/>
      </c>
    </row>
    <row r="673" spans="3:3">
      <c r="C673" s="13" t="str">
        <f t="shared" si="34"/>
        <v/>
      </c>
    </row>
    <row r="674" spans="3:3">
      <c r="C674" s="13" t="str">
        <f t="shared" si="34"/>
        <v/>
      </c>
    </row>
    <row r="675" spans="3:3">
      <c r="C675" s="13" t="str">
        <f t="shared" si="34"/>
        <v/>
      </c>
    </row>
    <row r="676" spans="3:3">
      <c r="C676" s="13" t="str">
        <f t="shared" si="34"/>
        <v/>
      </c>
    </row>
    <row r="677" spans="3:3">
      <c r="C677" s="13" t="str">
        <f t="shared" si="34"/>
        <v/>
      </c>
    </row>
    <row r="678" spans="3:3">
      <c r="C678" s="13" t="str">
        <f t="shared" si="34"/>
        <v/>
      </c>
    </row>
    <row r="679" spans="3:3">
      <c r="C679" s="13" t="str">
        <f t="shared" si="34"/>
        <v/>
      </c>
    </row>
    <row r="680" spans="3:3">
      <c r="C680" s="13" t="str">
        <f t="shared" si="34"/>
        <v/>
      </c>
    </row>
    <row r="681" spans="3:3">
      <c r="C681" s="13" t="str">
        <f t="shared" si="34"/>
        <v/>
      </c>
    </row>
    <row r="682" spans="3:3">
      <c r="C682" s="13" t="str">
        <f t="shared" si="34"/>
        <v/>
      </c>
    </row>
    <row r="683" spans="3:3">
      <c r="C683" s="13" t="str">
        <f t="shared" si="34"/>
        <v/>
      </c>
    </row>
    <row r="684" spans="3:3">
      <c r="C684" s="13" t="str">
        <f t="shared" si="34"/>
        <v/>
      </c>
    </row>
    <row r="685" spans="3:3">
      <c r="C685" s="13" t="str">
        <f t="shared" si="34"/>
        <v/>
      </c>
    </row>
    <row r="686" spans="3:3">
      <c r="C686" s="13" t="str">
        <f t="shared" si="34"/>
        <v/>
      </c>
    </row>
    <row r="687" spans="3:3">
      <c r="C687" s="13" t="str">
        <f t="shared" si="34"/>
        <v/>
      </c>
    </row>
    <row r="688" spans="3:3">
      <c r="C688" s="13" t="str">
        <f t="shared" si="34"/>
        <v/>
      </c>
    </row>
    <row r="689" spans="3:3">
      <c r="C689" s="13" t="str">
        <f t="shared" si="34"/>
        <v/>
      </c>
    </row>
    <row r="690" spans="3:3">
      <c r="C690" s="13" t="str">
        <f t="shared" si="34"/>
        <v/>
      </c>
    </row>
    <row r="691" spans="3:3">
      <c r="C691" s="13" t="str">
        <f t="shared" si="34"/>
        <v/>
      </c>
    </row>
    <row r="692" spans="3:3">
      <c r="C692" s="13" t="str">
        <f t="shared" si="34"/>
        <v/>
      </c>
    </row>
    <row r="693" spans="3:3">
      <c r="C693" s="13" t="str">
        <f t="shared" si="34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workbookViewId="0">
      <selection activeCell="E14" sqref="E14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275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277</v>
      </c>
      <c r="O1" s="12" t="s">
        <v>276</v>
      </c>
      <c r="P1" s="12" t="s">
        <v>19</v>
      </c>
      <c r="Q1" s="12" t="s">
        <v>278</v>
      </c>
      <c r="R1" s="12" t="s">
        <v>279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9" t="s">
        <v>493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Yes</v>
      </c>
      <c r="U2" t="str">
        <f>_xlfn.XLOOKUP(B2,Disk_Pivot!G:G,Disk_Pivot!N:N)</f>
        <v>Fail</v>
      </c>
      <c r="V2">
        <f>IF(U2="Fail",MacReports!N2,"")</f>
        <v>0</v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Yes</v>
      </c>
      <c r="U3" t="str">
        <f>_xlfn.XLOOKUP(B3,Disk_Pivot!G:G,Disk_Pivot!N:N)</f>
        <v>Fail</v>
      </c>
      <c r="V3">
        <f>IF(U3="Fail",MacReports!N3,"")</f>
        <v>0</v>
      </c>
      <c r="AB3" t="str">
        <f t="shared" ref="AB3:AB34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Yes</v>
      </c>
      <c r="U4" t="str">
        <f>_xlfn.XLOOKUP(B4,Disk_Pivot!G:G,Disk_Pivot!N:N)</f>
        <v>Fail</v>
      </c>
      <c r="V4">
        <f>IF(U4="Fail",MacReports!N4,"")</f>
        <v>0</v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Yes</v>
      </c>
      <c r="U5" t="str">
        <f>_xlfn.XLOOKUP(B5,Disk_Pivot!G:G,Disk_Pivot!N:N)</f>
        <v>Fail</v>
      </c>
      <c r="V5">
        <f>IF(U5="Fail",MacReports!N5,"")</f>
        <v>0</v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Yes</v>
      </c>
      <c r="U6" t="str">
        <f>_xlfn.XLOOKUP(B6,Disk_Pivot!G:G,Disk_Pivot!N:N)</f>
        <v>Fail</v>
      </c>
      <c r="V6">
        <f>IF(U6="Fail",MacReports!N6,"")</f>
        <v>0</v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Yes</v>
      </c>
      <c r="U7" t="str">
        <f>_xlfn.XLOOKUP(B7,Disk_Pivot!G:G,Disk_Pivot!N:N)</f>
        <v>Fail</v>
      </c>
      <c r="V7">
        <f>IF(U7="Fail",MacReports!N7,"")</f>
        <v>0</v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Yes</v>
      </c>
      <c r="U8" t="str">
        <f>_xlfn.XLOOKUP(B8,Disk_Pivot!G:G,Disk_Pivot!N:N)</f>
        <v>Fail</v>
      </c>
      <c r="V8">
        <f>IF(U8="Fail",MacReports!N8,"")</f>
        <v>0</v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Yes</v>
      </c>
      <c r="U9" t="str">
        <f>_xlfn.XLOOKUP(B9,Disk_Pivot!G:G,Disk_Pivot!N:N)</f>
        <v>Fail</v>
      </c>
      <c r="V9">
        <f>IF(U9="Fail",MacReports!N9,"")</f>
        <v>0</v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34" si="2">_xlfn.TEXTJOIN(", ",TRUE,Q10,R10,N10,O10,P10)</f>
        <v>Battery Defect, 0</v>
      </c>
      <c r="T10" t="str">
        <f>_xlfn.XLOOKUP(B10,Disk_Pivot!G:G,Disk_Pivot!I:I)</f>
        <v>Yes</v>
      </c>
      <c r="U10" t="str">
        <f>_xlfn.XLOOKUP(B10,Disk_Pivot!G:G,Disk_Pivot!N:N)</f>
        <v>Fail</v>
      </c>
      <c r="V10">
        <f>IF(U10="Fail",MacReports!N10,"")</f>
        <v>0</v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Yes</v>
      </c>
      <c r="U11" t="str">
        <f>_xlfn.XLOOKUP(B11,Disk_Pivot!G:G,Disk_Pivot!N:N)</f>
        <v>Fail</v>
      </c>
      <c r="V11">
        <f>IF(U11="Fail",MacReports!N11,"")</f>
        <v>0</v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Yes</v>
      </c>
      <c r="U12" t="str">
        <f>_xlfn.XLOOKUP(B12,Disk_Pivot!G:G,Disk_Pivot!N:N)</f>
        <v>Fail</v>
      </c>
      <c r="V12">
        <f>IF(U12="Fail",MacReports!N12,"")</f>
        <v>0</v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Yes</v>
      </c>
      <c r="U13" t="str">
        <f>_xlfn.XLOOKUP(B13,Disk_Pivot!G:G,Disk_Pivot!N:N)</f>
        <v>Fail</v>
      </c>
      <c r="V13">
        <f>IF(U13="Fail",MacReports!N13,"")</f>
        <v>0</v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Yes</v>
      </c>
      <c r="U14" t="str">
        <f>_xlfn.XLOOKUP(B14,Disk_Pivot!G:G,Disk_Pivot!N:N)</f>
        <v>Fail</v>
      </c>
      <c r="V14">
        <f>IF(U14="Fail",MacReports!N14,"")</f>
        <v>0</v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Yes</v>
      </c>
      <c r="U15" t="str">
        <f>_xlfn.XLOOKUP(B15,Disk_Pivot!G:G,Disk_Pivot!N:N)</f>
        <v>Fail</v>
      </c>
      <c r="V15">
        <f>IF(U15="Fail",MacReports!N15,"")</f>
        <v>0</v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Yes</v>
      </c>
      <c r="U16" t="str">
        <f>_xlfn.XLOOKUP(B16,Disk_Pivot!G:G,Disk_Pivot!N:N)</f>
        <v>Fail</v>
      </c>
      <c r="V16">
        <f>IF(U16="Fail",MacReports!N16,"")</f>
        <v>0</v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Yes</v>
      </c>
      <c r="U17" t="str">
        <f>_xlfn.XLOOKUP(B17,Disk_Pivot!G:G,Disk_Pivot!N:N)</f>
        <v>Fail</v>
      </c>
      <c r="V17">
        <f>IF(U17="Fail",MacReports!N17,"")</f>
        <v>0</v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Yes</v>
      </c>
      <c r="U18" t="str">
        <f>_xlfn.XLOOKUP(B18,Disk_Pivot!G:G,Disk_Pivot!N:N)</f>
        <v>Fail</v>
      </c>
      <c r="V18">
        <f>IF(U18="Fail",MacReports!N18,"")</f>
        <v>0</v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Yes</v>
      </c>
      <c r="U19" t="str">
        <f>_xlfn.XLOOKUP(B19,Disk_Pivot!G:G,Disk_Pivot!N:N)</f>
        <v>Fail</v>
      </c>
      <c r="V19">
        <f>IF(U19="Fail",MacReports!N19,"")</f>
        <v>0</v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Yes</v>
      </c>
      <c r="U20" t="str">
        <f>_xlfn.XLOOKUP(B20,Disk_Pivot!G:G,Disk_Pivot!N:N)</f>
        <v>Fail</v>
      </c>
      <c r="V20">
        <f>IF(U20="Fail",MacReports!N20,"")</f>
        <v>0</v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Yes</v>
      </c>
      <c r="U21" t="str">
        <f>_xlfn.XLOOKUP(B21,Disk_Pivot!G:G,Disk_Pivot!N:N)</f>
        <v>Fail</v>
      </c>
      <c r="V21">
        <f>IF(U21="Fail",MacReports!N21,"")</f>
        <v>0</v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Yes</v>
      </c>
      <c r="U22" t="str">
        <f>_xlfn.XLOOKUP(B22,Disk_Pivot!G:G,Disk_Pivot!N:N)</f>
        <v>Fail</v>
      </c>
      <c r="V22">
        <f>IF(U22="Fail",MacReports!N22,"")</f>
        <v>0</v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Yes</v>
      </c>
      <c r="U23" t="str">
        <f>_xlfn.XLOOKUP(B23,Disk_Pivot!G:G,Disk_Pivot!N:N)</f>
        <v>Fail</v>
      </c>
      <c r="V23">
        <f>IF(U23="Fail",MacReports!N23,"")</f>
        <v>0</v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Yes</v>
      </c>
      <c r="U24" t="str">
        <f>_xlfn.XLOOKUP(B24,Disk_Pivot!G:G,Disk_Pivot!N:N)</f>
        <v>Fail</v>
      </c>
      <c r="V24">
        <f>IF(U24="Fail",MacReports!N24,"")</f>
        <v>0</v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Yes</v>
      </c>
      <c r="U25" t="str">
        <f>_xlfn.XLOOKUP(B25,Disk_Pivot!G:G,Disk_Pivot!N:N)</f>
        <v>Fail</v>
      </c>
      <c r="V25">
        <f>IF(U25="Fail",MacReports!N25,"")</f>
        <v>0</v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Yes</v>
      </c>
      <c r="U26" t="str">
        <f>_xlfn.XLOOKUP(B26,Disk_Pivot!G:G,Disk_Pivot!N:N)</f>
        <v>Fail</v>
      </c>
      <c r="V26">
        <f>IF(U26="Fail",MacReports!N26,"")</f>
        <v>0</v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Yes</v>
      </c>
      <c r="U27" t="str">
        <f>_xlfn.XLOOKUP(B27,Disk_Pivot!G:G,Disk_Pivot!N:N)</f>
        <v>Fail</v>
      </c>
      <c r="V27">
        <f>IF(U27="Fail",MacReports!N27,"")</f>
        <v>0</v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Yes</v>
      </c>
      <c r="U28" t="str">
        <f>_xlfn.XLOOKUP(B28,Disk_Pivot!G:G,Disk_Pivot!N:N)</f>
        <v>Fail</v>
      </c>
      <c r="V28">
        <f>IF(U28="Fail",MacReports!N28,"")</f>
        <v>0</v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Yes</v>
      </c>
      <c r="U29" t="str">
        <f>_xlfn.XLOOKUP(B29,Disk_Pivot!G:G,Disk_Pivot!N:N)</f>
        <v>Fail</v>
      </c>
      <c r="V29">
        <f>IF(U29="Fail",MacReports!N29,"")</f>
        <v>0</v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Yes</v>
      </c>
      <c r="U30" t="str">
        <f>_xlfn.XLOOKUP(B30,Disk_Pivot!G:G,Disk_Pivot!N:N)</f>
        <v>Fail</v>
      </c>
      <c r="V30">
        <f>IF(U30="Fail",MacReports!N30,"")</f>
        <v>0</v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Yes</v>
      </c>
      <c r="U31" t="str">
        <f>_xlfn.XLOOKUP(B31,Disk_Pivot!G:G,Disk_Pivot!N:N)</f>
        <v>Fail</v>
      </c>
      <c r="V31">
        <f>IF(U31="Fail",MacReports!N31,"")</f>
        <v>0</v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Yes</v>
      </c>
      <c r="U32" t="str">
        <f>_xlfn.XLOOKUP(B32,Disk_Pivot!G:G,Disk_Pivot!N:N)</f>
        <v>Fail</v>
      </c>
      <c r="V32">
        <f>IF(U32="Fail",MacReports!N32,"")</f>
        <v>0</v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Yes</v>
      </c>
      <c r="U33" t="str">
        <f>_xlfn.XLOOKUP(B33,Disk_Pivot!G:G,Disk_Pivot!N:N)</f>
        <v>Fail</v>
      </c>
      <c r="V33">
        <f>IF(U33="Fail",MacReports!N33,"")</f>
        <v>0</v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Yes</v>
      </c>
      <c r="U34" t="str">
        <f>_xlfn.XLOOKUP(B34,Disk_Pivot!G:G,Disk_Pivot!N:N)</f>
        <v>Fail</v>
      </c>
      <c r="V34">
        <f>IF(U34="Fail",MacReports!N34,"")</f>
        <v>0</v>
      </c>
      <c r="AB34" t="str">
        <f t="shared" si="1"/>
        <v/>
      </c>
    </row>
    <row r="35" spans="1:28">
      <c r="A35" t="str">
        <f>MacReports!A35</f>
        <v/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ref="S35:S98" si="3">_xlfn.TEXTJOIN(", ",TRUE,Q35,R35,N35,O35,P35)</f>
        <v>Battery Defect, 0</v>
      </c>
      <c r="T35" t="str">
        <f>_xlfn.XLOOKUP(B35,Disk_Pivot!G:G,Disk_Pivot!I:I)</f>
        <v>Yes</v>
      </c>
      <c r="U35" t="str">
        <f>_xlfn.XLOOKUP(B35,Disk_Pivot!G:G,Disk_Pivot!N:N)</f>
        <v>Fail</v>
      </c>
      <c r="V35">
        <f>IF(U35="Fail",MacReports!N35,"")</f>
        <v>0</v>
      </c>
      <c r="AB35" t="str">
        <f t="shared" ref="AB35:AB98" si="4">_xlfn.TEXTJOIN(", ",TRUE,Q35,R35)</f>
        <v/>
      </c>
    </row>
    <row r="36" spans="1:28">
      <c r="A36" t="str">
        <f>MacReports!A36</f>
        <v/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3"/>
        <v>Battery Defect, 0</v>
      </c>
      <c r="T36" t="str">
        <f>_xlfn.XLOOKUP(B36,Disk_Pivot!G:G,Disk_Pivot!I:I)</f>
        <v>Yes</v>
      </c>
      <c r="U36" t="str">
        <f>_xlfn.XLOOKUP(B36,Disk_Pivot!G:G,Disk_Pivot!N:N)</f>
        <v>Fail</v>
      </c>
      <c r="V36">
        <f>IF(U36="Fail",MacReports!N36,"")</f>
        <v>0</v>
      </c>
      <c r="AB36" t="str">
        <f t="shared" si="4"/>
        <v/>
      </c>
    </row>
    <row r="37" spans="1:28">
      <c r="A37" t="str">
        <f>MacReports!A37</f>
        <v/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3"/>
        <v>Battery Defect, 0</v>
      </c>
      <c r="T37" t="str">
        <f>_xlfn.XLOOKUP(B37,Disk_Pivot!G:G,Disk_Pivot!I:I)</f>
        <v>Yes</v>
      </c>
      <c r="U37" t="str">
        <f>_xlfn.XLOOKUP(B37,Disk_Pivot!G:G,Disk_Pivot!N:N)</f>
        <v>Fail</v>
      </c>
      <c r="V37">
        <f>IF(U37="Fail",MacReports!N37,"")</f>
        <v>0</v>
      </c>
      <c r="AB37" t="str">
        <f t="shared" si="4"/>
        <v/>
      </c>
    </row>
    <row r="38" spans="1:28">
      <c r="A38" t="str">
        <f>MacReports!A38</f>
        <v/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3"/>
        <v>Battery Defect, 0</v>
      </c>
      <c r="T38" t="str">
        <f>_xlfn.XLOOKUP(B38,Disk_Pivot!G:G,Disk_Pivot!I:I)</f>
        <v>Yes</v>
      </c>
      <c r="U38" t="str">
        <f>_xlfn.XLOOKUP(B38,Disk_Pivot!G:G,Disk_Pivot!N:N)</f>
        <v>Fail</v>
      </c>
      <c r="V38">
        <f>IF(U38="Fail",MacReports!N38,"")</f>
        <v>0</v>
      </c>
      <c r="AB38" t="str">
        <f t="shared" si="4"/>
        <v/>
      </c>
    </row>
    <row r="39" spans="1:28">
      <c r="A39" t="str">
        <f>MacReports!A39</f>
        <v/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3"/>
        <v>Battery Defect, 0</v>
      </c>
      <c r="T39" t="str">
        <f>_xlfn.XLOOKUP(B39,Disk_Pivot!G:G,Disk_Pivot!I:I)</f>
        <v>Yes</v>
      </c>
      <c r="U39" t="str">
        <f>_xlfn.XLOOKUP(B39,Disk_Pivot!G:G,Disk_Pivot!N:N)</f>
        <v>Fail</v>
      </c>
      <c r="V39">
        <f>IF(U39="Fail",MacReports!N39,"")</f>
        <v>0</v>
      </c>
      <c r="AB39" t="str">
        <f t="shared" si="4"/>
        <v/>
      </c>
    </row>
    <row r="40" spans="1:28">
      <c r="A40" t="str">
        <f>MacReports!A40</f>
        <v/>
      </c>
      <c r="B40">
        <f>MacReports!B40</f>
        <v>0</v>
      </c>
      <c r="C40">
        <f>MacReports!C40</f>
        <v>0</v>
      </c>
      <c r="E40" t="e">
        <f>_xlfn.XLOOKUP(G40,Models!A:A,Models!F:F)</f>
        <v>#N/A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3"/>
        <v>Battery Defect, 0</v>
      </c>
      <c r="T40" t="str">
        <f>_xlfn.XLOOKUP(B40,Disk_Pivot!G:G,Disk_Pivot!I:I)</f>
        <v>Yes</v>
      </c>
      <c r="U40" t="str">
        <f>_xlfn.XLOOKUP(B40,Disk_Pivot!G:G,Disk_Pivot!N:N)</f>
        <v>Fail</v>
      </c>
      <c r="V40">
        <f>IF(U40="Fail",MacReports!N40,"")</f>
        <v>0</v>
      </c>
      <c r="AB40" t="str">
        <f t="shared" si="4"/>
        <v/>
      </c>
    </row>
    <row r="41" spans="1:28">
      <c r="A41" t="str">
        <f>MacReports!A41</f>
        <v/>
      </c>
      <c r="B41">
        <f>MacReports!B41</f>
        <v>0</v>
      </c>
      <c r="C41">
        <f>MacReports!C41</f>
        <v>0</v>
      </c>
      <c r="E41" t="e">
        <f>_xlfn.XLOOKUP(G41,Models!A:A,Models!F:F)</f>
        <v>#N/A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3"/>
        <v>Battery Defect, 0</v>
      </c>
      <c r="T41" t="str">
        <f>_xlfn.XLOOKUP(B41,Disk_Pivot!G:G,Disk_Pivot!I:I)</f>
        <v>Yes</v>
      </c>
      <c r="U41" t="str">
        <f>_xlfn.XLOOKUP(B41,Disk_Pivot!G:G,Disk_Pivot!N:N)</f>
        <v>Fail</v>
      </c>
      <c r="V41">
        <f>IF(U41="Fail",MacReports!N41,"")</f>
        <v>0</v>
      </c>
      <c r="AB41" t="str">
        <f t="shared" si="4"/>
        <v/>
      </c>
    </row>
    <row r="42" spans="1:28">
      <c r="A42" t="str">
        <f>MacReports!A42</f>
        <v/>
      </c>
      <c r="B42">
        <f>MacReports!B42</f>
        <v>0</v>
      </c>
      <c r="C42">
        <f>MacReports!C42</f>
        <v>0</v>
      </c>
      <c r="E42" t="e">
        <f>_xlfn.XLOOKUP(G42,Models!A:A,Models!F:F)</f>
        <v>#N/A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3"/>
        <v>Battery Defect, 0</v>
      </c>
      <c r="T42" t="str">
        <f>_xlfn.XLOOKUP(B42,Disk_Pivot!G:G,Disk_Pivot!I:I)</f>
        <v>Yes</v>
      </c>
      <c r="U42" t="str">
        <f>_xlfn.XLOOKUP(B42,Disk_Pivot!G:G,Disk_Pivot!N:N)</f>
        <v>Fail</v>
      </c>
      <c r="V42">
        <f>IF(U42="Fail",MacReports!N42,"")</f>
        <v>0</v>
      </c>
      <c r="AB42" t="str">
        <f t="shared" si="4"/>
        <v/>
      </c>
    </row>
    <row r="43" spans="1:28">
      <c r="A43" t="str">
        <f>MacReports!A43</f>
        <v/>
      </c>
      <c r="B43">
        <f>MacReports!B43</f>
        <v>0</v>
      </c>
      <c r="C43">
        <f>MacReports!C43</f>
        <v>0</v>
      </c>
      <c r="E43" t="e">
        <f>_xlfn.XLOOKUP(G43,Models!A:A,Models!F:F)</f>
        <v>#N/A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3"/>
        <v>Battery Defect, 0</v>
      </c>
      <c r="T43" t="str">
        <f>_xlfn.XLOOKUP(B43,Disk_Pivot!G:G,Disk_Pivot!I:I)</f>
        <v>Yes</v>
      </c>
      <c r="U43" t="str">
        <f>_xlfn.XLOOKUP(B43,Disk_Pivot!G:G,Disk_Pivot!N:N)</f>
        <v>Fail</v>
      </c>
      <c r="V43">
        <f>IF(U43="Fail",MacReports!N43,"")</f>
        <v>0</v>
      </c>
      <c r="AB43" t="str">
        <f t="shared" si="4"/>
        <v/>
      </c>
    </row>
    <row r="44" spans="1:28">
      <c r="A44" t="str">
        <f>MacReports!A44</f>
        <v/>
      </c>
      <c r="B44">
        <f>MacReports!B44</f>
        <v>0</v>
      </c>
      <c r="C44">
        <f>MacReports!C44</f>
        <v>0</v>
      </c>
      <c r="E44" t="e">
        <f>_xlfn.XLOOKUP(G44,Models!A:A,Models!F:F)</f>
        <v>#N/A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3"/>
        <v>Battery Defect, 0</v>
      </c>
      <c r="T44" t="str">
        <f>_xlfn.XLOOKUP(B44,Disk_Pivot!G:G,Disk_Pivot!I:I)</f>
        <v>Yes</v>
      </c>
      <c r="U44" t="str">
        <f>_xlfn.XLOOKUP(B44,Disk_Pivot!G:G,Disk_Pivot!N:N)</f>
        <v>Fail</v>
      </c>
      <c r="V44">
        <f>IF(U44="Fail",MacReports!N44,"")</f>
        <v>0</v>
      </c>
      <c r="AB44" t="str">
        <f t="shared" si="4"/>
        <v/>
      </c>
    </row>
    <row r="45" spans="1:28">
      <c r="A45" t="str">
        <f>MacReports!A45</f>
        <v/>
      </c>
      <c r="B45">
        <f>MacReports!B45</f>
        <v>0</v>
      </c>
      <c r="C45">
        <f>MacReports!C45</f>
        <v>0</v>
      </c>
      <c r="E45" t="e">
        <f>_xlfn.XLOOKUP(G45,Models!A:A,Models!F:F)</f>
        <v>#N/A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3"/>
        <v>Battery Defect, 0</v>
      </c>
      <c r="T45" t="str">
        <f>_xlfn.XLOOKUP(B45,Disk_Pivot!G:G,Disk_Pivot!I:I)</f>
        <v>Yes</v>
      </c>
      <c r="U45" t="str">
        <f>_xlfn.XLOOKUP(B45,Disk_Pivot!G:G,Disk_Pivot!N:N)</f>
        <v>Fail</v>
      </c>
      <c r="V45">
        <f>IF(U45="Fail",MacReports!N45,"")</f>
        <v>0</v>
      </c>
      <c r="AB45" t="str">
        <f t="shared" si="4"/>
        <v/>
      </c>
    </row>
    <row r="46" spans="1:28">
      <c r="A46" t="str">
        <f>MacReports!A46</f>
        <v/>
      </c>
      <c r="B46">
        <f>MacReports!B46</f>
        <v>0</v>
      </c>
      <c r="C46">
        <f>MacReports!C46</f>
        <v>0</v>
      </c>
      <c r="E46" t="e">
        <f>_xlfn.XLOOKUP(G46,Models!A:A,Models!F:F)</f>
        <v>#N/A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3"/>
        <v>Battery Defect, 0</v>
      </c>
      <c r="T46" t="str">
        <f>_xlfn.XLOOKUP(B46,Disk_Pivot!G:G,Disk_Pivot!I:I)</f>
        <v>Yes</v>
      </c>
      <c r="U46" t="str">
        <f>_xlfn.XLOOKUP(B46,Disk_Pivot!G:G,Disk_Pivot!N:N)</f>
        <v>Fail</v>
      </c>
      <c r="V46">
        <f>IF(U46="Fail",MacReports!N46,"")</f>
        <v>0</v>
      </c>
      <c r="AB46" t="str">
        <f t="shared" si="4"/>
        <v/>
      </c>
    </row>
    <row r="47" spans="1:28">
      <c r="A47" t="str">
        <f>MacReports!A47</f>
        <v/>
      </c>
      <c r="B47">
        <f>MacReports!B47</f>
        <v>0</v>
      </c>
      <c r="C47">
        <f>MacReports!C47</f>
        <v>0</v>
      </c>
      <c r="E47" t="e">
        <f>_xlfn.XLOOKUP(G47,Models!A:A,Models!F:F)</f>
        <v>#N/A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3"/>
        <v>Battery Defect, 0</v>
      </c>
      <c r="T47" t="str">
        <f>_xlfn.XLOOKUP(B47,Disk_Pivot!G:G,Disk_Pivot!I:I)</f>
        <v>Yes</v>
      </c>
      <c r="U47" t="str">
        <f>_xlfn.XLOOKUP(B47,Disk_Pivot!G:G,Disk_Pivot!N:N)</f>
        <v>Fail</v>
      </c>
      <c r="V47">
        <f>IF(U47="Fail",MacReports!N47,"")</f>
        <v>0</v>
      </c>
      <c r="AB47" t="str">
        <f t="shared" si="4"/>
        <v/>
      </c>
    </row>
    <row r="48" spans="1:28">
      <c r="A48" t="str">
        <f>MacReports!A48</f>
        <v/>
      </c>
      <c r="B48">
        <f>MacReports!B48</f>
        <v>0</v>
      </c>
      <c r="C48">
        <f>MacReports!C48</f>
        <v>0</v>
      </c>
      <c r="E48" t="e">
        <f>_xlfn.XLOOKUP(G48,Models!A:A,Models!F:F)</f>
        <v>#N/A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3"/>
        <v>Battery Defect, 0</v>
      </c>
      <c r="T48" t="str">
        <f>_xlfn.XLOOKUP(B48,Disk_Pivot!G:G,Disk_Pivot!I:I)</f>
        <v>Yes</v>
      </c>
      <c r="U48" t="str">
        <f>_xlfn.XLOOKUP(B48,Disk_Pivot!G:G,Disk_Pivot!N:N)</f>
        <v>Fail</v>
      </c>
      <c r="V48">
        <f>IF(U48="Fail",MacReports!N48,"")</f>
        <v>0</v>
      </c>
      <c r="AB48" t="str">
        <f t="shared" si="4"/>
        <v/>
      </c>
    </row>
    <row r="49" spans="1:28">
      <c r="A49" t="str">
        <f>MacReports!A49</f>
        <v/>
      </c>
      <c r="B49">
        <f>MacReports!B49</f>
        <v>0</v>
      </c>
      <c r="C49">
        <f>MacReports!C49</f>
        <v>0</v>
      </c>
      <c r="E49" t="e">
        <f>_xlfn.XLOOKUP(G49,Models!A:A,Models!F:F)</f>
        <v>#N/A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3"/>
        <v>Battery Defect, 0</v>
      </c>
      <c r="T49" t="str">
        <f>_xlfn.XLOOKUP(B49,Disk_Pivot!G:G,Disk_Pivot!I:I)</f>
        <v>Yes</v>
      </c>
      <c r="U49" t="str">
        <f>_xlfn.XLOOKUP(B49,Disk_Pivot!G:G,Disk_Pivot!N:N)</f>
        <v>Fail</v>
      </c>
      <c r="V49">
        <f>IF(U49="Fail",MacReports!N49,"")</f>
        <v>0</v>
      </c>
      <c r="AB49" t="str">
        <f t="shared" si="4"/>
        <v/>
      </c>
    </row>
    <row r="50" spans="1:28">
      <c r="A50" t="str">
        <f>MacReports!A50</f>
        <v/>
      </c>
      <c r="B50">
        <f>MacReports!B50</f>
        <v>0</v>
      </c>
      <c r="C50">
        <f>MacReports!C50</f>
        <v>0</v>
      </c>
      <c r="E50" t="e">
        <f>_xlfn.XLOOKUP(G50,Models!A:A,Models!F:F)</f>
        <v>#N/A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3"/>
        <v>Battery Defect, 0</v>
      </c>
      <c r="T50" t="str">
        <f>_xlfn.XLOOKUP(B50,Disk_Pivot!G:G,Disk_Pivot!I:I)</f>
        <v>Yes</v>
      </c>
      <c r="U50" t="str">
        <f>_xlfn.XLOOKUP(B50,Disk_Pivot!G:G,Disk_Pivot!N:N)</f>
        <v>Fail</v>
      </c>
      <c r="V50">
        <f>IF(U50="Fail",MacReports!N50,"")</f>
        <v>0</v>
      </c>
      <c r="AB50" t="str">
        <f t="shared" si="4"/>
        <v/>
      </c>
    </row>
    <row r="51" spans="1:28">
      <c r="A51" t="str">
        <f>MacReports!A51</f>
        <v/>
      </c>
      <c r="B51">
        <f>MacReports!B51</f>
        <v>0</v>
      </c>
      <c r="C51">
        <f>MacReports!C51</f>
        <v>0</v>
      </c>
      <c r="E51" t="e">
        <f>_xlfn.XLOOKUP(G51,Models!A:A,Models!F:F)</f>
        <v>#N/A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3"/>
        <v>Battery Defect, 0</v>
      </c>
      <c r="T51" t="str">
        <f>_xlfn.XLOOKUP(B51,Disk_Pivot!G:G,Disk_Pivot!I:I)</f>
        <v>Yes</v>
      </c>
      <c r="U51" t="str">
        <f>_xlfn.XLOOKUP(B51,Disk_Pivot!G:G,Disk_Pivot!N:N)</f>
        <v>Fail</v>
      </c>
      <c r="V51">
        <f>IF(U51="Fail",MacReports!N51,"")</f>
        <v>0</v>
      </c>
      <c r="AB51" t="str">
        <f t="shared" si="4"/>
        <v/>
      </c>
    </row>
    <row r="52" spans="1:28">
      <c r="A52" t="str">
        <f>MacReports!A52</f>
        <v/>
      </c>
      <c r="B52">
        <f>MacReports!B52</f>
        <v>0</v>
      </c>
      <c r="C52">
        <f>MacReports!C52</f>
        <v>0</v>
      </c>
      <c r="E52" t="e">
        <f>_xlfn.XLOOKUP(G52,Models!A:A,Models!F:F)</f>
        <v>#N/A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3"/>
        <v>Battery Defect, 0</v>
      </c>
      <c r="T52" t="str">
        <f>_xlfn.XLOOKUP(B52,Disk_Pivot!G:G,Disk_Pivot!I:I)</f>
        <v>Yes</v>
      </c>
      <c r="U52" t="str">
        <f>_xlfn.XLOOKUP(B52,Disk_Pivot!G:G,Disk_Pivot!N:N)</f>
        <v>Fail</v>
      </c>
      <c r="V52">
        <f>IF(U52="Fail",MacReports!N52,"")</f>
        <v>0</v>
      </c>
      <c r="AB52" t="str">
        <f t="shared" si="4"/>
        <v/>
      </c>
    </row>
    <row r="53" spans="1:28">
      <c r="A53" t="str">
        <f>MacReports!A53</f>
        <v/>
      </c>
      <c r="B53">
        <f>MacReports!B53</f>
        <v>0</v>
      </c>
      <c r="C53">
        <f>MacReports!C53</f>
        <v>0</v>
      </c>
      <c r="E53" t="e">
        <f>_xlfn.XLOOKUP(G53,Models!A:A,Models!F:F)</f>
        <v>#N/A</v>
      </c>
      <c r="F53" t="str">
        <f>_xlfn.XLOOKUP(B53,MacReports!B:B,MacReports!D:D,"")</f>
        <v/>
      </c>
      <c r="G53" s="13">
        <f>MacReports!E53</f>
        <v>0</v>
      </c>
      <c r="H53" t="e">
        <f>_xlfn.XLOOKUP(G53,Models!A:A,Models!B:B)</f>
        <v>#N/A</v>
      </c>
      <c r="I53" t="e">
        <f>_xlfn.XLOOKUP(G53,Models!A:A,Models!E:E)</f>
        <v>#N/A</v>
      </c>
      <c r="J53" t="e">
        <f>_xlfn.XLOOKUP(G53,Models!A:A,Models!D:D)</f>
        <v>#N/A</v>
      </c>
      <c r="K53">
        <f>MacReports!F53</f>
        <v>0</v>
      </c>
      <c r="L53">
        <f>MacReports!G53</f>
        <v>0</v>
      </c>
      <c r="M53" s="15" t="e" cm="1">
        <f t="array" ref="M53">--_xlfn.LET(
    _xlpm.txt, MacReports!H53,
    _xlpm.chars, MID(_xlpm.txt, _xlfn.SEQUENCE(LEN(_xlpm.txt)), 1),
    _xlfn.TEXTJOIN("", TRUE, IF(ISNUMBER(--_xlpm.chars), _xlpm.chars, ""))
)</f>
        <v>#VALUE!</v>
      </c>
      <c r="N53" s="16" t="str" cm="1">
        <f t="array" ref="N53">_xlfn.IFS(
   --MacReports!M53&lt;55,"Battery Defect",
  -- MacReports!M53&lt;=69,"Battery D",
  --MacReports!M53&lt;=80,"Battery C",
 --MacReports!M53&gt;80,""
)</f>
        <v>Battery Defect</v>
      </c>
      <c r="O53" s="16" t="str">
        <f>IF(MacReports!I53="Service","Battery Service","")</f>
        <v/>
      </c>
      <c r="P53" s="13">
        <f>MacReports!P53</f>
        <v>0</v>
      </c>
      <c r="Q53" s="13" t="str">
        <f>IF(MacReports!J53="Enabled","Apple ID Lock","")</f>
        <v/>
      </c>
      <c r="R53" s="13" t="str">
        <f>IF(MacReports!L53="y","Remote Locked","")</f>
        <v/>
      </c>
      <c r="S53" t="str">
        <f t="shared" si="3"/>
        <v>Battery Defect, 0</v>
      </c>
      <c r="T53" t="str">
        <f>_xlfn.XLOOKUP(B53,Disk_Pivot!G:G,Disk_Pivot!I:I)</f>
        <v>Yes</v>
      </c>
      <c r="U53" t="str">
        <f>_xlfn.XLOOKUP(B53,Disk_Pivot!G:G,Disk_Pivot!N:N)</f>
        <v>Fail</v>
      </c>
      <c r="V53">
        <f>IF(U53="Fail",MacReports!N53,"")</f>
        <v>0</v>
      </c>
      <c r="AB53" t="str">
        <f t="shared" si="4"/>
        <v/>
      </c>
    </row>
    <row r="54" spans="1:28">
      <c r="A54" t="str">
        <f>MacReports!A54</f>
        <v/>
      </c>
      <c r="B54">
        <f>MacReports!B54</f>
        <v>0</v>
      </c>
      <c r="C54">
        <f>MacReports!C54</f>
        <v>0</v>
      </c>
      <c r="E54" t="e">
        <f>_xlfn.XLOOKUP(G54,Models!A:A,Models!F:F)</f>
        <v>#N/A</v>
      </c>
      <c r="F54" t="str">
        <f>_xlfn.XLOOKUP(B54,MacReports!B:B,MacReports!D:D,"")</f>
        <v/>
      </c>
      <c r="G54" s="13">
        <f>MacReports!E54</f>
        <v>0</v>
      </c>
      <c r="H54" t="e">
        <f>_xlfn.XLOOKUP(G54,Models!A:A,Models!B:B)</f>
        <v>#N/A</v>
      </c>
      <c r="I54" t="e">
        <f>_xlfn.XLOOKUP(G54,Models!A:A,Models!E:E)</f>
        <v>#N/A</v>
      </c>
      <c r="J54" t="e">
        <f>_xlfn.XLOOKUP(G54,Models!A:A,Models!D:D)</f>
        <v>#N/A</v>
      </c>
      <c r="K54">
        <f>MacReports!F54</f>
        <v>0</v>
      </c>
      <c r="L54">
        <f>MacReports!G54</f>
        <v>0</v>
      </c>
      <c r="M54" s="15" t="e" cm="1">
        <f t="array" ref="M54">--_xlfn.LET(
    _xlpm.txt, MacReports!H54,
    _xlpm.chars, MID(_xlpm.txt, _xlfn.SEQUENCE(LEN(_xlpm.txt)), 1),
    _xlfn.TEXTJOIN("", TRUE, IF(ISNUMBER(--_xlpm.chars), _xlpm.chars, ""))
)</f>
        <v>#VALUE!</v>
      </c>
      <c r="N54" s="16" t="str" cm="1">
        <f t="array" ref="N54">_xlfn.IFS(
   --MacReports!M54&lt;55,"Battery Defect",
  -- MacReports!M54&lt;=69,"Battery D",
  --MacReports!M54&lt;=80,"Battery C",
 --MacReports!M54&gt;80,""
)</f>
        <v>Battery Defect</v>
      </c>
      <c r="O54" s="16" t="str">
        <f>IF(MacReports!I54="Service","Battery Service","")</f>
        <v/>
      </c>
      <c r="P54" s="13">
        <f>MacReports!P54</f>
        <v>0</v>
      </c>
      <c r="Q54" s="13" t="str">
        <f>IF(MacReports!J54="Enabled","Apple ID Lock","")</f>
        <v/>
      </c>
      <c r="R54" s="13" t="str">
        <f>IF(MacReports!L54="y","Remote Locked","")</f>
        <v/>
      </c>
      <c r="S54" t="str">
        <f t="shared" si="3"/>
        <v>Battery Defect, 0</v>
      </c>
      <c r="T54" t="str">
        <f>_xlfn.XLOOKUP(B54,Disk_Pivot!G:G,Disk_Pivot!I:I)</f>
        <v>Yes</v>
      </c>
      <c r="U54" t="str">
        <f>_xlfn.XLOOKUP(B54,Disk_Pivot!G:G,Disk_Pivot!N:N)</f>
        <v>Fail</v>
      </c>
      <c r="V54">
        <f>IF(U54="Fail",MacReports!N54,"")</f>
        <v>0</v>
      </c>
      <c r="AB54" t="str">
        <f t="shared" si="4"/>
        <v/>
      </c>
    </row>
    <row r="55" spans="1:28">
      <c r="A55" t="str">
        <f>MacReports!A55</f>
        <v/>
      </c>
      <c r="B55">
        <f>MacReports!B55</f>
        <v>0</v>
      </c>
      <c r="C55">
        <f>MacReports!C55</f>
        <v>0</v>
      </c>
      <c r="E55" t="e">
        <f>_xlfn.XLOOKUP(G55,Models!A:A,Models!F:F)</f>
        <v>#N/A</v>
      </c>
      <c r="F55" t="str">
        <f>_xlfn.XLOOKUP(B55,MacReports!B:B,MacReports!D:D,"")</f>
        <v/>
      </c>
      <c r="G55" s="13">
        <f>MacReports!E55</f>
        <v>0</v>
      </c>
      <c r="H55" t="e">
        <f>_xlfn.XLOOKUP(G55,Models!A:A,Models!B:B)</f>
        <v>#N/A</v>
      </c>
      <c r="I55" t="e">
        <f>_xlfn.XLOOKUP(G55,Models!A:A,Models!E:E)</f>
        <v>#N/A</v>
      </c>
      <c r="J55" t="e">
        <f>_xlfn.XLOOKUP(G55,Models!A:A,Models!D:D)</f>
        <v>#N/A</v>
      </c>
      <c r="K55">
        <f>MacReports!F55</f>
        <v>0</v>
      </c>
      <c r="L55">
        <f>MacReports!G55</f>
        <v>0</v>
      </c>
      <c r="M55" s="15" t="e" cm="1">
        <f t="array" ref="M55">--_xlfn.LET(
    _xlpm.txt, MacReports!H55,
    _xlpm.chars, MID(_xlpm.txt, _xlfn.SEQUENCE(LEN(_xlpm.txt)), 1),
    _xlfn.TEXTJOIN("", TRUE, IF(ISNUMBER(--_xlpm.chars), _xlpm.chars, ""))
)</f>
        <v>#VALUE!</v>
      </c>
      <c r="N55" s="16" t="str" cm="1">
        <f t="array" ref="N55">_xlfn.IFS(
   --MacReports!M55&lt;55,"Battery Defect",
  -- MacReports!M55&lt;=69,"Battery D",
  --MacReports!M55&lt;=80,"Battery C",
 --MacReports!M55&gt;80,""
)</f>
        <v>Battery Defect</v>
      </c>
      <c r="O55" s="16" t="str">
        <f>IF(MacReports!I55="Service","Battery Service","")</f>
        <v/>
      </c>
      <c r="P55" s="13">
        <f>MacReports!P55</f>
        <v>0</v>
      </c>
      <c r="Q55" s="13" t="str">
        <f>IF(MacReports!J55="Enabled","Apple ID Lock","")</f>
        <v/>
      </c>
      <c r="R55" s="13" t="str">
        <f>IF(MacReports!L55="y","Remote Locked","")</f>
        <v/>
      </c>
      <c r="S55" t="str">
        <f t="shared" si="3"/>
        <v>Battery Defect, 0</v>
      </c>
      <c r="T55" t="str">
        <f>_xlfn.XLOOKUP(B55,Disk_Pivot!G:G,Disk_Pivot!I:I)</f>
        <v>Yes</v>
      </c>
      <c r="U55" t="str">
        <f>_xlfn.XLOOKUP(B55,Disk_Pivot!G:G,Disk_Pivot!N:N)</f>
        <v>Fail</v>
      </c>
      <c r="V55">
        <f>IF(U55="Fail",MacReports!N55,"")</f>
        <v>0</v>
      </c>
      <c r="AB55" t="str">
        <f t="shared" si="4"/>
        <v/>
      </c>
    </row>
    <row r="56" spans="1:28">
      <c r="A56" t="str">
        <f>MacReports!A56</f>
        <v/>
      </c>
      <c r="B56">
        <f>MacReports!B56</f>
        <v>0</v>
      </c>
      <c r="C56">
        <f>MacReports!C56</f>
        <v>0</v>
      </c>
      <c r="E56" t="e">
        <f>_xlfn.XLOOKUP(G56,Models!A:A,Models!F:F)</f>
        <v>#N/A</v>
      </c>
      <c r="F56" t="str">
        <f>_xlfn.XLOOKUP(B56,MacReports!B:B,MacReports!D:D,"")</f>
        <v/>
      </c>
      <c r="G56" s="13">
        <f>MacReports!E56</f>
        <v>0</v>
      </c>
      <c r="H56" t="e">
        <f>_xlfn.XLOOKUP(G56,Models!A:A,Models!B:B)</f>
        <v>#N/A</v>
      </c>
      <c r="I56" t="e">
        <f>_xlfn.XLOOKUP(G56,Models!A:A,Models!E:E)</f>
        <v>#N/A</v>
      </c>
      <c r="J56" t="e">
        <f>_xlfn.XLOOKUP(G56,Models!A:A,Models!D:D)</f>
        <v>#N/A</v>
      </c>
      <c r="K56">
        <f>MacReports!F56</f>
        <v>0</v>
      </c>
      <c r="L56">
        <f>MacReports!G56</f>
        <v>0</v>
      </c>
      <c r="M56" s="15" t="e" cm="1">
        <f t="array" ref="M56">--_xlfn.LET(
    _xlpm.txt, MacReports!H56,
    _xlpm.chars, MID(_xlpm.txt, _xlfn.SEQUENCE(LEN(_xlpm.txt)), 1),
    _xlfn.TEXTJOIN("", TRUE, IF(ISNUMBER(--_xlpm.chars), _xlpm.chars, ""))
)</f>
        <v>#VALUE!</v>
      </c>
      <c r="N56" s="16" t="str" cm="1">
        <f t="array" ref="N56">_xlfn.IFS(
   --MacReports!M56&lt;55,"Battery Defect",
  -- MacReports!M56&lt;=69,"Battery D",
  --MacReports!M56&lt;=80,"Battery C",
 --MacReports!M56&gt;80,""
)</f>
        <v>Battery Defect</v>
      </c>
      <c r="O56" s="16" t="str">
        <f>IF(MacReports!I56="Service","Battery Service","")</f>
        <v/>
      </c>
      <c r="P56" s="13">
        <f>MacReports!P56</f>
        <v>0</v>
      </c>
      <c r="Q56" s="13" t="str">
        <f>IF(MacReports!J56="Enabled","Apple ID Lock","")</f>
        <v/>
      </c>
      <c r="R56" s="13" t="str">
        <f>IF(MacReports!L56="y","Remote Locked","")</f>
        <v/>
      </c>
      <c r="S56" t="str">
        <f t="shared" si="3"/>
        <v>Battery Defect, 0</v>
      </c>
      <c r="T56" t="str">
        <f>_xlfn.XLOOKUP(B56,Disk_Pivot!G:G,Disk_Pivot!I:I)</f>
        <v>Yes</v>
      </c>
      <c r="U56" t="str">
        <f>_xlfn.XLOOKUP(B56,Disk_Pivot!G:G,Disk_Pivot!N:N)</f>
        <v>Fail</v>
      </c>
      <c r="V56">
        <f>IF(U56="Fail",MacReports!N56,"")</f>
        <v>0</v>
      </c>
      <c r="AB56" t="str">
        <f t="shared" si="4"/>
        <v/>
      </c>
    </row>
    <row r="57" spans="1:28">
      <c r="A57" t="str">
        <f>MacReports!A57</f>
        <v/>
      </c>
      <c r="B57">
        <f>MacReports!B57</f>
        <v>0</v>
      </c>
      <c r="C57">
        <f>MacReports!C57</f>
        <v>0</v>
      </c>
      <c r="E57" t="e">
        <f>_xlfn.XLOOKUP(G57,Models!A:A,Models!F:F)</f>
        <v>#N/A</v>
      </c>
      <c r="F57" t="str">
        <f>_xlfn.XLOOKUP(B57,MacReports!B:B,MacReports!D:D,"")</f>
        <v/>
      </c>
      <c r="G57" s="13">
        <f>MacReports!E57</f>
        <v>0</v>
      </c>
      <c r="H57" t="e">
        <f>_xlfn.XLOOKUP(G57,Models!A:A,Models!B:B)</f>
        <v>#N/A</v>
      </c>
      <c r="I57" t="e">
        <f>_xlfn.XLOOKUP(G57,Models!A:A,Models!E:E)</f>
        <v>#N/A</v>
      </c>
      <c r="J57" t="e">
        <f>_xlfn.XLOOKUP(G57,Models!A:A,Models!D:D)</f>
        <v>#N/A</v>
      </c>
      <c r="K57">
        <f>MacReports!F57</f>
        <v>0</v>
      </c>
      <c r="L57">
        <f>MacReports!G57</f>
        <v>0</v>
      </c>
      <c r="M57" s="15" t="e" cm="1">
        <f t="array" ref="M57">--_xlfn.LET(
    _xlpm.txt, MacReports!H57,
    _xlpm.chars, MID(_xlpm.txt, _xlfn.SEQUENCE(LEN(_xlpm.txt)), 1),
    _xlfn.TEXTJOIN("", TRUE, IF(ISNUMBER(--_xlpm.chars), _xlpm.chars, ""))
)</f>
        <v>#VALUE!</v>
      </c>
      <c r="N57" s="16" t="str" cm="1">
        <f t="array" ref="N57">_xlfn.IFS(
   --MacReports!M57&lt;55,"Battery Defect",
  -- MacReports!M57&lt;=69,"Battery D",
  --MacReports!M57&lt;=80,"Battery C",
 --MacReports!M57&gt;80,""
)</f>
        <v>Battery Defect</v>
      </c>
      <c r="O57" s="16" t="str">
        <f>IF(MacReports!I57="Service","Battery Service","")</f>
        <v/>
      </c>
      <c r="P57" s="13">
        <f>MacReports!P57</f>
        <v>0</v>
      </c>
      <c r="Q57" s="13" t="str">
        <f>IF(MacReports!J57="Enabled","Apple ID Lock","")</f>
        <v/>
      </c>
      <c r="R57" s="13" t="str">
        <f>IF(MacReports!L57="y","Remote Locked","")</f>
        <v/>
      </c>
      <c r="S57" t="str">
        <f t="shared" si="3"/>
        <v>Battery Defect, 0</v>
      </c>
      <c r="T57" t="str">
        <f>_xlfn.XLOOKUP(B57,Disk_Pivot!G:G,Disk_Pivot!I:I)</f>
        <v>Yes</v>
      </c>
      <c r="U57" t="str">
        <f>_xlfn.XLOOKUP(B57,Disk_Pivot!G:G,Disk_Pivot!N:N)</f>
        <v>Fail</v>
      </c>
      <c r="V57">
        <f>IF(U57="Fail",MacReports!N57,"")</f>
        <v>0</v>
      </c>
      <c r="AB57" t="str">
        <f t="shared" si="4"/>
        <v/>
      </c>
    </row>
    <row r="58" spans="1:28">
      <c r="A58" t="str">
        <f>MacReports!A58</f>
        <v/>
      </c>
      <c r="B58">
        <f>MacReports!B58</f>
        <v>0</v>
      </c>
      <c r="C58">
        <f>MacReports!C58</f>
        <v>0</v>
      </c>
      <c r="E58" t="e">
        <f>_xlfn.XLOOKUP(G58,Models!A:A,Models!F:F)</f>
        <v>#N/A</v>
      </c>
      <c r="F58" t="str">
        <f>_xlfn.XLOOKUP(B58,MacReports!B:B,MacReports!D:D,"")</f>
        <v/>
      </c>
      <c r="G58" s="13">
        <f>MacReports!E58</f>
        <v>0</v>
      </c>
      <c r="H58" t="e">
        <f>_xlfn.XLOOKUP(G58,Models!A:A,Models!B:B)</f>
        <v>#N/A</v>
      </c>
      <c r="I58" t="e">
        <f>_xlfn.XLOOKUP(G58,Models!A:A,Models!E:E)</f>
        <v>#N/A</v>
      </c>
      <c r="J58" t="e">
        <f>_xlfn.XLOOKUP(G58,Models!A:A,Models!D:D)</f>
        <v>#N/A</v>
      </c>
      <c r="K58">
        <f>MacReports!F58</f>
        <v>0</v>
      </c>
      <c r="L58">
        <f>MacReports!G58</f>
        <v>0</v>
      </c>
      <c r="M58" s="15" t="e" cm="1">
        <f t="array" ref="M58">--_xlfn.LET(
    _xlpm.txt, MacReports!H58,
    _xlpm.chars, MID(_xlpm.txt, _xlfn.SEQUENCE(LEN(_xlpm.txt)), 1),
    _xlfn.TEXTJOIN("", TRUE, IF(ISNUMBER(--_xlpm.chars), _xlpm.chars, ""))
)</f>
        <v>#VALUE!</v>
      </c>
      <c r="N58" s="16" t="str" cm="1">
        <f t="array" ref="N58">_xlfn.IFS(
   --MacReports!M58&lt;55,"Battery Defect",
  -- MacReports!M58&lt;=69,"Battery D",
  --MacReports!M58&lt;=80,"Battery C",
 --MacReports!M58&gt;80,""
)</f>
        <v>Battery Defect</v>
      </c>
      <c r="O58" s="16" t="str">
        <f>IF(MacReports!I58="Service","Battery Service","")</f>
        <v/>
      </c>
      <c r="P58" s="13">
        <f>MacReports!P58</f>
        <v>0</v>
      </c>
      <c r="Q58" s="13" t="str">
        <f>IF(MacReports!J58="Enabled","Apple ID Lock","")</f>
        <v/>
      </c>
      <c r="R58" s="13" t="str">
        <f>IF(MacReports!L58="y","Remote Locked","")</f>
        <v/>
      </c>
      <c r="S58" t="str">
        <f t="shared" si="3"/>
        <v>Battery Defect, 0</v>
      </c>
      <c r="T58" t="str">
        <f>_xlfn.XLOOKUP(B58,Disk_Pivot!G:G,Disk_Pivot!I:I)</f>
        <v>Yes</v>
      </c>
      <c r="U58" t="str">
        <f>_xlfn.XLOOKUP(B58,Disk_Pivot!G:G,Disk_Pivot!N:N)</f>
        <v>Fail</v>
      </c>
      <c r="V58">
        <f>IF(U58="Fail",MacReports!N58,"")</f>
        <v>0</v>
      </c>
      <c r="AB58" t="str">
        <f t="shared" si="4"/>
        <v/>
      </c>
    </row>
    <row r="59" spans="1:28">
      <c r="A59" t="str">
        <f>MacReports!A59</f>
        <v/>
      </c>
      <c r="B59">
        <f>MacReports!B59</f>
        <v>0</v>
      </c>
      <c r="C59">
        <f>MacReports!C59</f>
        <v>0</v>
      </c>
      <c r="E59" t="e">
        <f>_xlfn.XLOOKUP(G59,Models!A:A,Models!F:F)</f>
        <v>#N/A</v>
      </c>
      <c r="F59" t="str">
        <f>_xlfn.XLOOKUP(B59,MacReports!B:B,MacReports!D:D,"")</f>
        <v/>
      </c>
      <c r="G59" s="13">
        <f>MacReports!E59</f>
        <v>0</v>
      </c>
      <c r="H59" t="e">
        <f>_xlfn.XLOOKUP(G59,Models!A:A,Models!B:B)</f>
        <v>#N/A</v>
      </c>
      <c r="I59" t="e">
        <f>_xlfn.XLOOKUP(G59,Models!A:A,Models!E:E)</f>
        <v>#N/A</v>
      </c>
      <c r="J59" t="e">
        <f>_xlfn.XLOOKUP(G59,Models!A:A,Models!D:D)</f>
        <v>#N/A</v>
      </c>
      <c r="K59">
        <f>MacReports!F59</f>
        <v>0</v>
      </c>
      <c r="L59">
        <f>MacReports!G59</f>
        <v>0</v>
      </c>
      <c r="M59" s="15" t="e" cm="1">
        <f t="array" ref="M59">--_xlfn.LET(
    _xlpm.txt, MacReports!H59,
    _xlpm.chars, MID(_xlpm.txt, _xlfn.SEQUENCE(LEN(_xlpm.txt)), 1),
    _xlfn.TEXTJOIN("", TRUE, IF(ISNUMBER(--_xlpm.chars), _xlpm.chars, ""))
)</f>
        <v>#VALUE!</v>
      </c>
      <c r="N59" s="16" t="str" cm="1">
        <f t="array" ref="N59">_xlfn.IFS(
   --MacReports!M59&lt;55,"Battery Defect",
  -- MacReports!M59&lt;=69,"Battery D",
  --MacReports!M59&lt;=80,"Battery C",
 --MacReports!M59&gt;80,""
)</f>
        <v>Battery Defect</v>
      </c>
      <c r="O59" s="16" t="str">
        <f>IF(MacReports!I59="Service","Battery Service","")</f>
        <v/>
      </c>
      <c r="P59" s="13">
        <f>MacReports!P59</f>
        <v>0</v>
      </c>
      <c r="Q59" s="13" t="str">
        <f>IF(MacReports!J59="Enabled","Apple ID Lock","")</f>
        <v/>
      </c>
      <c r="R59" s="13" t="str">
        <f>IF(MacReports!L59="y","Remote Locked","")</f>
        <v/>
      </c>
      <c r="S59" t="str">
        <f t="shared" si="3"/>
        <v>Battery Defect, 0</v>
      </c>
      <c r="T59" t="str">
        <f>_xlfn.XLOOKUP(B59,Disk_Pivot!G:G,Disk_Pivot!I:I)</f>
        <v>Yes</v>
      </c>
      <c r="U59" t="str">
        <f>_xlfn.XLOOKUP(B59,Disk_Pivot!G:G,Disk_Pivot!N:N)</f>
        <v>Fail</v>
      </c>
      <c r="V59">
        <f>IF(U59="Fail",MacReports!N59,"")</f>
        <v>0</v>
      </c>
      <c r="AB59" t="str">
        <f t="shared" si="4"/>
        <v/>
      </c>
    </row>
    <row r="60" spans="1:28">
      <c r="A60" t="str">
        <f>MacReports!A60</f>
        <v/>
      </c>
      <c r="B60">
        <f>MacReports!B60</f>
        <v>0</v>
      </c>
      <c r="C60">
        <f>MacReports!C60</f>
        <v>0</v>
      </c>
      <c r="E60" t="e">
        <f>_xlfn.XLOOKUP(G60,Models!A:A,Models!F:F)</f>
        <v>#N/A</v>
      </c>
      <c r="F60" t="str">
        <f>_xlfn.XLOOKUP(B60,MacReports!B:B,MacReports!D:D,"")</f>
        <v/>
      </c>
      <c r="G60" s="13">
        <f>MacReports!E60</f>
        <v>0</v>
      </c>
      <c r="H60" t="e">
        <f>_xlfn.XLOOKUP(G60,Models!A:A,Models!B:B)</f>
        <v>#N/A</v>
      </c>
      <c r="I60" t="e">
        <f>_xlfn.XLOOKUP(G60,Models!A:A,Models!E:E)</f>
        <v>#N/A</v>
      </c>
      <c r="J60" t="e">
        <f>_xlfn.XLOOKUP(G60,Models!A:A,Models!D:D)</f>
        <v>#N/A</v>
      </c>
      <c r="K60">
        <f>MacReports!F60</f>
        <v>0</v>
      </c>
      <c r="L60">
        <f>MacReports!G60</f>
        <v>0</v>
      </c>
      <c r="M60" s="15" t="e" cm="1">
        <f t="array" ref="M60">--_xlfn.LET(
    _xlpm.txt, MacReports!H60,
    _xlpm.chars, MID(_xlpm.txt, _xlfn.SEQUENCE(LEN(_xlpm.txt)), 1),
    _xlfn.TEXTJOIN("", TRUE, IF(ISNUMBER(--_xlpm.chars), _xlpm.chars, ""))
)</f>
        <v>#VALUE!</v>
      </c>
      <c r="N60" s="16" t="str" cm="1">
        <f t="array" ref="N60">_xlfn.IFS(
   --MacReports!M60&lt;55,"Battery Defect",
  -- MacReports!M60&lt;=69,"Battery D",
  --MacReports!M60&lt;=80,"Battery C",
 --MacReports!M60&gt;80,""
)</f>
        <v>Battery Defect</v>
      </c>
      <c r="O60" s="16" t="str">
        <f>IF(MacReports!I60="Service","Battery Service","")</f>
        <v/>
      </c>
      <c r="P60" s="13">
        <f>MacReports!P60</f>
        <v>0</v>
      </c>
      <c r="Q60" s="13" t="str">
        <f>IF(MacReports!J60="Enabled","Apple ID Lock","")</f>
        <v/>
      </c>
      <c r="R60" s="13" t="str">
        <f>IF(MacReports!L60="y","Remote Locked","")</f>
        <v/>
      </c>
      <c r="S60" t="str">
        <f t="shared" si="3"/>
        <v>Battery Defect, 0</v>
      </c>
      <c r="T60" t="str">
        <f>_xlfn.XLOOKUP(B60,Disk_Pivot!G:G,Disk_Pivot!I:I)</f>
        <v>Yes</v>
      </c>
      <c r="U60" t="str">
        <f>_xlfn.XLOOKUP(B60,Disk_Pivot!G:G,Disk_Pivot!N:N)</f>
        <v>Fail</v>
      </c>
      <c r="V60">
        <f>IF(U60="Fail",MacReports!N60,"")</f>
        <v>0</v>
      </c>
      <c r="AB60" t="str">
        <f t="shared" si="4"/>
        <v/>
      </c>
    </row>
    <row r="61" spans="1:28">
      <c r="A61" t="str">
        <f>MacReports!A61</f>
        <v/>
      </c>
      <c r="B61">
        <f>MacReports!B61</f>
        <v>0</v>
      </c>
      <c r="C61">
        <f>MacReports!C61</f>
        <v>0</v>
      </c>
      <c r="E61" t="e">
        <f>_xlfn.XLOOKUP(G61,Models!A:A,Models!F:F)</f>
        <v>#N/A</v>
      </c>
      <c r="F61" t="str">
        <f>_xlfn.XLOOKUP(B61,MacReports!B:B,MacReports!D:D,"")</f>
        <v/>
      </c>
      <c r="G61" s="13">
        <f>MacReports!E61</f>
        <v>0</v>
      </c>
      <c r="H61" t="e">
        <f>_xlfn.XLOOKUP(G61,Models!A:A,Models!B:B)</f>
        <v>#N/A</v>
      </c>
      <c r="I61" t="e">
        <f>_xlfn.XLOOKUP(G61,Models!A:A,Models!E:E)</f>
        <v>#N/A</v>
      </c>
      <c r="J61" t="e">
        <f>_xlfn.XLOOKUP(G61,Models!A:A,Models!D:D)</f>
        <v>#N/A</v>
      </c>
      <c r="K61">
        <f>MacReports!F61</f>
        <v>0</v>
      </c>
      <c r="L61">
        <f>MacReports!G61</f>
        <v>0</v>
      </c>
      <c r="M61" s="15" t="e" cm="1">
        <f t="array" ref="M61">--_xlfn.LET(
    _xlpm.txt, MacReports!H61,
    _xlpm.chars, MID(_xlpm.txt, _xlfn.SEQUENCE(LEN(_xlpm.txt)), 1),
    _xlfn.TEXTJOIN("", TRUE, IF(ISNUMBER(--_xlpm.chars), _xlpm.chars, ""))
)</f>
        <v>#VALUE!</v>
      </c>
      <c r="N61" s="16" t="str" cm="1">
        <f t="array" ref="N61">_xlfn.IFS(
   --MacReports!M61&lt;55,"Battery Defect",
  -- MacReports!M61&lt;=69,"Battery D",
  --MacReports!M61&lt;=80,"Battery C",
 --MacReports!M61&gt;80,""
)</f>
        <v>Battery Defect</v>
      </c>
      <c r="O61" s="16" t="str">
        <f>IF(MacReports!I61="Service","Battery Service","")</f>
        <v/>
      </c>
      <c r="P61" s="13">
        <f>MacReports!P61</f>
        <v>0</v>
      </c>
      <c r="Q61" s="13" t="str">
        <f>IF(MacReports!J61="Enabled","Apple ID Lock","")</f>
        <v/>
      </c>
      <c r="R61" s="13" t="str">
        <f>IF(MacReports!L61="y","Remote Locked","")</f>
        <v/>
      </c>
      <c r="S61" t="str">
        <f t="shared" si="3"/>
        <v>Battery Defect, 0</v>
      </c>
      <c r="T61" t="str">
        <f>_xlfn.XLOOKUP(B61,Disk_Pivot!G:G,Disk_Pivot!I:I)</f>
        <v>Yes</v>
      </c>
      <c r="U61" t="str">
        <f>_xlfn.XLOOKUP(B61,Disk_Pivot!G:G,Disk_Pivot!N:N)</f>
        <v>Fail</v>
      </c>
      <c r="V61">
        <f>IF(U61="Fail",MacReports!N61,"")</f>
        <v>0</v>
      </c>
      <c r="AB61" t="str">
        <f t="shared" si="4"/>
        <v/>
      </c>
    </row>
    <row r="62" spans="1:28">
      <c r="A62" t="str">
        <f>MacReports!A62</f>
        <v/>
      </c>
      <c r="B62">
        <f>MacReports!B62</f>
        <v>0</v>
      </c>
      <c r="C62">
        <f>MacReports!C62</f>
        <v>0</v>
      </c>
      <c r="E62" t="e">
        <f>_xlfn.XLOOKUP(G62,Models!A:A,Models!F:F)</f>
        <v>#N/A</v>
      </c>
      <c r="F62" t="str">
        <f>_xlfn.XLOOKUP(B62,MacReports!B:B,MacReports!D:D,"")</f>
        <v/>
      </c>
      <c r="G62" s="13">
        <f>MacReports!E62</f>
        <v>0</v>
      </c>
      <c r="H62" t="e">
        <f>_xlfn.XLOOKUP(G62,Models!A:A,Models!B:B)</f>
        <v>#N/A</v>
      </c>
      <c r="I62" t="e">
        <f>_xlfn.XLOOKUP(G62,Models!A:A,Models!E:E)</f>
        <v>#N/A</v>
      </c>
      <c r="J62" t="e">
        <f>_xlfn.XLOOKUP(G62,Models!A:A,Models!D:D)</f>
        <v>#N/A</v>
      </c>
      <c r="K62">
        <f>MacReports!F62</f>
        <v>0</v>
      </c>
      <c r="L62">
        <f>MacReports!G62</f>
        <v>0</v>
      </c>
      <c r="M62" s="15" t="e" cm="1">
        <f t="array" ref="M62">--_xlfn.LET(
    _xlpm.txt, MacReports!H62,
    _xlpm.chars, MID(_xlpm.txt, _xlfn.SEQUENCE(LEN(_xlpm.txt)), 1),
    _xlfn.TEXTJOIN("", TRUE, IF(ISNUMBER(--_xlpm.chars), _xlpm.chars, ""))
)</f>
        <v>#VALUE!</v>
      </c>
      <c r="N62" s="16" t="str" cm="1">
        <f t="array" ref="N62">_xlfn.IFS(
   --MacReports!M62&lt;55,"Battery Defect",
  -- MacReports!M62&lt;=69,"Battery D",
  --MacReports!M62&lt;=80,"Battery C",
 --MacReports!M62&gt;80,""
)</f>
        <v>Battery Defect</v>
      </c>
      <c r="O62" s="16" t="str">
        <f>IF(MacReports!I62="Service","Battery Service","")</f>
        <v/>
      </c>
      <c r="P62" s="13">
        <f>MacReports!P62</f>
        <v>0</v>
      </c>
      <c r="Q62" s="13" t="str">
        <f>IF(MacReports!J62="Enabled","Apple ID Lock","")</f>
        <v/>
      </c>
      <c r="R62" s="13" t="str">
        <f>IF(MacReports!L62="y","Remote Locked","")</f>
        <v/>
      </c>
      <c r="S62" t="str">
        <f t="shared" si="3"/>
        <v>Battery Defect, 0</v>
      </c>
      <c r="T62" t="str">
        <f>_xlfn.XLOOKUP(B62,Disk_Pivot!G:G,Disk_Pivot!I:I)</f>
        <v>Yes</v>
      </c>
      <c r="U62" t="str">
        <f>_xlfn.XLOOKUP(B62,Disk_Pivot!G:G,Disk_Pivot!N:N)</f>
        <v>Fail</v>
      </c>
      <c r="V62">
        <f>IF(U62="Fail",MacReports!N62,"")</f>
        <v>0</v>
      </c>
      <c r="AB62" t="str">
        <f t="shared" si="4"/>
        <v/>
      </c>
    </row>
    <row r="63" spans="1:28">
      <c r="A63" t="str">
        <f>MacReports!A63</f>
        <v/>
      </c>
      <c r="B63">
        <f>MacReports!B63</f>
        <v>0</v>
      </c>
      <c r="C63">
        <f>MacReports!C63</f>
        <v>0</v>
      </c>
      <c r="E63" t="e">
        <f>_xlfn.XLOOKUP(G63,Models!A:A,Models!F:F)</f>
        <v>#N/A</v>
      </c>
      <c r="F63" t="str">
        <f>_xlfn.XLOOKUP(B63,MacReports!B:B,MacReports!D:D,"")</f>
        <v/>
      </c>
      <c r="G63" s="13">
        <f>MacReports!E63</f>
        <v>0</v>
      </c>
      <c r="H63" t="e">
        <f>_xlfn.XLOOKUP(G63,Models!A:A,Models!B:B)</f>
        <v>#N/A</v>
      </c>
      <c r="I63" t="e">
        <f>_xlfn.XLOOKUP(G63,Models!A:A,Models!E:E)</f>
        <v>#N/A</v>
      </c>
      <c r="J63" t="e">
        <f>_xlfn.XLOOKUP(G63,Models!A:A,Models!D:D)</f>
        <v>#N/A</v>
      </c>
      <c r="K63">
        <f>MacReports!F63</f>
        <v>0</v>
      </c>
      <c r="L63">
        <f>MacReports!G63</f>
        <v>0</v>
      </c>
      <c r="M63" s="15" t="e" cm="1">
        <f t="array" ref="M63">--_xlfn.LET(
    _xlpm.txt, MacReports!H63,
    _xlpm.chars, MID(_xlpm.txt, _xlfn.SEQUENCE(LEN(_xlpm.txt)), 1),
    _xlfn.TEXTJOIN("", TRUE, IF(ISNUMBER(--_xlpm.chars), _xlpm.chars, ""))
)</f>
        <v>#VALUE!</v>
      </c>
      <c r="N63" s="16" t="str" cm="1">
        <f t="array" ref="N63">_xlfn.IFS(
   --MacReports!M63&lt;55,"Battery Defect",
  -- MacReports!M63&lt;=69,"Battery D",
  --MacReports!M63&lt;=80,"Battery C",
 --MacReports!M63&gt;80,""
)</f>
        <v>Battery Defect</v>
      </c>
      <c r="O63" s="16" t="str">
        <f>IF(MacReports!I63="Service","Battery Service","")</f>
        <v/>
      </c>
      <c r="P63" s="13">
        <f>MacReports!P63</f>
        <v>0</v>
      </c>
      <c r="Q63" s="13" t="str">
        <f>IF(MacReports!J63="Enabled","Apple ID Lock","")</f>
        <v/>
      </c>
      <c r="R63" s="13" t="str">
        <f>IF(MacReports!L63="y","Remote Locked","")</f>
        <v/>
      </c>
      <c r="S63" t="str">
        <f t="shared" si="3"/>
        <v>Battery Defect, 0</v>
      </c>
      <c r="T63" t="str">
        <f>_xlfn.XLOOKUP(B63,Disk_Pivot!G:G,Disk_Pivot!I:I)</f>
        <v>Yes</v>
      </c>
      <c r="U63" t="str">
        <f>_xlfn.XLOOKUP(B63,Disk_Pivot!G:G,Disk_Pivot!N:N)</f>
        <v>Fail</v>
      </c>
      <c r="V63">
        <f>IF(U63="Fail",MacReports!N63,"")</f>
        <v>0</v>
      </c>
      <c r="AB63" t="str">
        <f t="shared" si="4"/>
        <v/>
      </c>
    </row>
    <row r="64" spans="1:28">
      <c r="A64" t="str">
        <f>MacReports!A64</f>
        <v/>
      </c>
      <c r="B64">
        <f>MacReports!B64</f>
        <v>0</v>
      </c>
      <c r="C64">
        <f>MacReports!C64</f>
        <v>0</v>
      </c>
      <c r="E64" t="e">
        <f>_xlfn.XLOOKUP(G64,Models!A:A,Models!F:F)</f>
        <v>#N/A</v>
      </c>
      <c r="F64" t="str">
        <f>_xlfn.XLOOKUP(B64,MacReports!B:B,MacReports!D:D,"")</f>
        <v/>
      </c>
      <c r="G64" s="13">
        <f>MacReports!E64</f>
        <v>0</v>
      </c>
      <c r="H64" t="e">
        <f>_xlfn.XLOOKUP(G64,Models!A:A,Models!B:B)</f>
        <v>#N/A</v>
      </c>
      <c r="I64" t="e">
        <f>_xlfn.XLOOKUP(G64,Models!A:A,Models!E:E)</f>
        <v>#N/A</v>
      </c>
      <c r="J64" t="e">
        <f>_xlfn.XLOOKUP(G64,Models!A:A,Models!D:D)</f>
        <v>#N/A</v>
      </c>
      <c r="K64">
        <f>MacReports!F64</f>
        <v>0</v>
      </c>
      <c r="L64">
        <f>MacReports!G64</f>
        <v>0</v>
      </c>
      <c r="M64" s="15" t="e" cm="1">
        <f t="array" ref="M64">--_xlfn.LET(
    _xlpm.txt, MacReports!H64,
    _xlpm.chars, MID(_xlpm.txt, _xlfn.SEQUENCE(LEN(_xlpm.txt)), 1),
    _xlfn.TEXTJOIN("", TRUE, IF(ISNUMBER(--_xlpm.chars), _xlpm.chars, ""))
)</f>
        <v>#VALUE!</v>
      </c>
      <c r="N64" s="16" t="str" cm="1">
        <f t="array" ref="N64">_xlfn.IFS(
   --MacReports!M64&lt;55,"Battery Defect",
  -- MacReports!M64&lt;=69,"Battery D",
  --MacReports!M64&lt;=80,"Battery C",
 --MacReports!M64&gt;80,""
)</f>
        <v>Battery Defect</v>
      </c>
      <c r="O64" s="16" t="str">
        <f>IF(MacReports!I64="Service","Battery Service","")</f>
        <v/>
      </c>
      <c r="P64" s="13">
        <f>MacReports!P64</f>
        <v>0</v>
      </c>
      <c r="Q64" s="13" t="str">
        <f>IF(MacReports!J64="Enabled","Apple ID Lock","")</f>
        <v/>
      </c>
      <c r="R64" s="13" t="str">
        <f>IF(MacReports!L64="y","Remote Locked","")</f>
        <v/>
      </c>
      <c r="S64" t="str">
        <f t="shared" si="3"/>
        <v>Battery Defect, 0</v>
      </c>
      <c r="T64" t="str">
        <f>_xlfn.XLOOKUP(B64,Disk_Pivot!G:G,Disk_Pivot!I:I)</f>
        <v>Yes</v>
      </c>
      <c r="U64" t="str">
        <f>_xlfn.XLOOKUP(B64,Disk_Pivot!G:G,Disk_Pivot!N:N)</f>
        <v>Fail</v>
      </c>
      <c r="V64">
        <f>IF(U64="Fail",MacReports!N64,"")</f>
        <v>0</v>
      </c>
      <c r="AB64" t="str">
        <f t="shared" si="4"/>
        <v/>
      </c>
    </row>
    <row r="65" spans="1:28">
      <c r="A65" t="str">
        <f>MacReports!A65</f>
        <v/>
      </c>
      <c r="B65">
        <f>MacReports!B65</f>
        <v>0</v>
      </c>
      <c r="C65">
        <f>MacReports!C65</f>
        <v>0</v>
      </c>
      <c r="E65" t="e">
        <f>_xlfn.XLOOKUP(G65,Models!A:A,Models!F:F)</f>
        <v>#N/A</v>
      </c>
      <c r="F65" t="str">
        <f>_xlfn.XLOOKUP(B65,MacReports!B:B,MacReports!D:D,"")</f>
        <v/>
      </c>
      <c r="G65" s="13">
        <f>MacReports!E65</f>
        <v>0</v>
      </c>
      <c r="H65" t="e">
        <f>_xlfn.XLOOKUP(G65,Models!A:A,Models!B:B)</f>
        <v>#N/A</v>
      </c>
      <c r="I65" t="e">
        <f>_xlfn.XLOOKUP(G65,Models!A:A,Models!E:E)</f>
        <v>#N/A</v>
      </c>
      <c r="J65" t="e">
        <f>_xlfn.XLOOKUP(G65,Models!A:A,Models!D:D)</f>
        <v>#N/A</v>
      </c>
      <c r="K65">
        <f>MacReports!F65</f>
        <v>0</v>
      </c>
      <c r="L65">
        <f>MacReports!G65</f>
        <v>0</v>
      </c>
      <c r="M65" s="15" t="e" cm="1">
        <f t="array" ref="M65">--_xlfn.LET(
    _xlpm.txt, MacReports!H65,
    _xlpm.chars, MID(_xlpm.txt, _xlfn.SEQUENCE(LEN(_xlpm.txt)), 1),
    _xlfn.TEXTJOIN("", TRUE, IF(ISNUMBER(--_xlpm.chars), _xlpm.chars, ""))
)</f>
        <v>#VALUE!</v>
      </c>
      <c r="N65" s="16" t="str" cm="1">
        <f t="array" ref="N65">_xlfn.IFS(
   --MacReports!M65&lt;55,"Battery Defect",
  -- MacReports!M65&lt;=69,"Battery D",
  --MacReports!M65&lt;=80,"Battery C",
 --MacReports!M65&gt;80,""
)</f>
        <v>Battery Defect</v>
      </c>
      <c r="O65" s="16" t="str">
        <f>IF(MacReports!I65="Service","Battery Service","")</f>
        <v/>
      </c>
      <c r="P65" s="13">
        <f>MacReports!P65</f>
        <v>0</v>
      </c>
      <c r="Q65" s="13" t="str">
        <f>IF(MacReports!J65="Enabled","Apple ID Lock","")</f>
        <v/>
      </c>
      <c r="R65" s="13" t="str">
        <f>IF(MacReports!L65="y","Remote Locked","")</f>
        <v/>
      </c>
      <c r="S65" t="str">
        <f t="shared" si="3"/>
        <v>Battery Defect, 0</v>
      </c>
      <c r="T65" t="str">
        <f>_xlfn.XLOOKUP(B65,Disk_Pivot!G:G,Disk_Pivot!I:I)</f>
        <v>Yes</v>
      </c>
      <c r="U65" t="str">
        <f>_xlfn.XLOOKUP(B65,Disk_Pivot!G:G,Disk_Pivot!N:N)</f>
        <v>Fail</v>
      </c>
      <c r="V65">
        <f>IF(U65="Fail",MacReports!N65,"")</f>
        <v>0</v>
      </c>
      <c r="AB65" t="str">
        <f t="shared" si="4"/>
        <v/>
      </c>
    </row>
    <row r="66" spans="1:28">
      <c r="A66" t="str">
        <f>MacReports!A66</f>
        <v/>
      </c>
      <c r="B66">
        <f>MacReports!B66</f>
        <v>0</v>
      </c>
      <c r="C66">
        <f>MacReports!C66</f>
        <v>0</v>
      </c>
      <c r="E66" t="e">
        <f>_xlfn.XLOOKUP(G66,Models!A:A,Models!F:F)</f>
        <v>#N/A</v>
      </c>
      <c r="F66" t="str">
        <f>_xlfn.XLOOKUP(B66,MacReports!B:B,MacReports!D:D,"")</f>
        <v/>
      </c>
      <c r="G66" s="13">
        <f>MacReports!E66</f>
        <v>0</v>
      </c>
      <c r="H66" t="e">
        <f>_xlfn.XLOOKUP(G66,Models!A:A,Models!B:B)</f>
        <v>#N/A</v>
      </c>
      <c r="I66" t="e">
        <f>_xlfn.XLOOKUP(G66,Models!A:A,Models!E:E)</f>
        <v>#N/A</v>
      </c>
      <c r="J66" t="e">
        <f>_xlfn.XLOOKUP(G66,Models!A:A,Models!D:D)</f>
        <v>#N/A</v>
      </c>
      <c r="K66">
        <f>MacReports!F66</f>
        <v>0</v>
      </c>
      <c r="L66">
        <f>MacReports!G66</f>
        <v>0</v>
      </c>
      <c r="M66" s="15" t="e" cm="1">
        <f t="array" ref="M66">--_xlfn.LET(
    _xlpm.txt, MacReports!H66,
    _xlpm.chars, MID(_xlpm.txt, _xlfn.SEQUENCE(LEN(_xlpm.txt)), 1),
    _xlfn.TEXTJOIN("", TRUE, IF(ISNUMBER(--_xlpm.chars), _xlpm.chars, ""))
)</f>
        <v>#VALUE!</v>
      </c>
      <c r="N66" s="16" t="str" cm="1">
        <f t="array" ref="N66">_xlfn.IFS(
   --MacReports!M66&lt;55,"Battery Defect",
  -- MacReports!M66&lt;=69,"Battery D",
  --MacReports!M66&lt;=80,"Battery C",
 --MacReports!M66&gt;80,""
)</f>
        <v>Battery Defect</v>
      </c>
      <c r="O66" s="16" t="str">
        <f>IF(MacReports!I66="Service","Battery Service","")</f>
        <v/>
      </c>
      <c r="P66" s="13">
        <f>MacReports!P66</f>
        <v>0</v>
      </c>
      <c r="Q66" s="13" t="str">
        <f>IF(MacReports!J66="Enabled","Apple ID Lock","")</f>
        <v/>
      </c>
      <c r="R66" s="13" t="str">
        <f>IF(MacReports!L66="y","Remote Locked","")</f>
        <v/>
      </c>
      <c r="S66" t="str">
        <f t="shared" si="3"/>
        <v>Battery Defect, 0</v>
      </c>
      <c r="T66" t="str">
        <f>_xlfn.XLOOKUP(B66,Disk_Pivot!G:G,Disk_Pivot!I:I)</f>
        <v>Yes</v>
      </c>
      <c r="U66" t="str">
        <f>_xlfn.XLOOKUP(B66,Disk_Pivot!G:G,Disk_Pivot!N:N)</f>
        <v>Fail</v>
      </c>
      <c r="V66">
        <f>IF(U66="Fail",MacReports!N66,"")</f>
        <v>0</v>
      </c>
      <c r="AB66" t="str">
        <f t="shared" si="4"/>
        <v/>
      </c>
    </row>
    <row r="67" spans="1:28">
      <c r="A67" t="str">
        <f>MacReports!A67</f>
        <v/>
      </c>
      <c r="B67">
        <f>MacReports!B67</f>
        <v>0</v>
      </c>
      <c r="C67">
        <f>MacReports!C67</f>
        <v>0</v>
      </c>
      <c r="E67" t="e">
        <f>_xlfn.XLOOKUP(G67,Models!A:A,Models!F:F)</f>
        <v>#N/A</v>
      </c>
      <c r="F67" t="str">
        <f>_xlfn.XLOOKUP(B67,MacReports!B:B,MacReports!D:D,"")</f>
        <v/>
      </c>
      <c r="G67" s="13">
        <f>MacReports!E67</f>
        <v>0</v>
      </c>
      <c r="H67" t="e">
        <f>_xlfn.XLOOKUP(G67,Models!A:A,Models!B:B)</f>
        <v>#N/A</v>
      </c>
      <c r="I67" t="e">
        <f>_xlfn.XLOOKUP(G67,Models!A:A,Models!E:E)</f>
        <v>#N/A</v>
      </c>
      <c r="J67" t="e">
        <f>_xlfn.XLOOKUP(G67,Models!A:A,Models!D:D)</f>
        <v>#N/A</v>
      </c>
      <c r="K67">
        <f>MacReports!F67</f>
        <v>0</v>
      </c>
      <c r="L67">
        <f>MacReports!G67</f>
        <v>0</v>
      </c>
      <c r="M67" s="15" t="e" cm="1">
        <f t="array" ref="M67">--_xlfn.LET(
    _xlpm.txt, MacReports!H67,
    _xlpm.chars, MID(_xlpm.txt, _xlfn.SEQUENCE(LEN(_xlpm.txt)), 1),
    _xlfn.TEXTJOIN("", TRUE, IF(ISNUMBER(--_xlpm.chars), _xlpm.chars, ""))
)</f>
        <v>#VALUE!</v>
      </c>
      <c r="N67" s="16" t="str" cm="1">
        <f t="array" ref="N67">_xlfn.IFS(
   --MacReports!M67&lt;55,"Battery Defect",
  -- MacReports!M67&lt;=69,"Battery D",
  --MacReports!M67&lt;=80,"Battery C",
 --MacReports!M67&gt;80,""
)</f>
        <v>Battery Defect</v>
      </c>
      <c r="O67" s="16" t="str">
        <f>IF(MacReports!I67="Service","Battery Service","")</f>
        <v/>
      </c>
      <c r="P67" s="13">
        <f>MacReports!P67</f>
        <v>0</v>
      </c>
      <c r="Q67" s="13" t="str">
        <f>IF(MacReports!J67="Enabled","Apple ID Lock","")</f>
        <v/>
      </c>
      <c r="R67" s="13" t="str">
        <f>IF(MacReports!L67="y","Remote Locked","")</f>
        <v/>
      </c>
      <c r="S67" t="str">
        <f t="shared" si="3"/>
        <v>Battery Defect, 0</v>
      </c>
      <c r="T67" t="str">
        <f>_xlfn.XLOOKUP(B67,Disk_Pivot!G:G,Disk_Pivot!I:I)</f>
        <v>Yes</v>
      </c>
      <c r="U67" t="str">
        <f>_xlfn.XLOOKUP(B67,Disk_Pivot!G:G,Disk_Pivot!N:N)</f>
        <v>Fail</v>
      </c>
      <c r="V67">
        <f>IF(U67="Fail",MacReports!N67,"")</f>
        <v>0</v>
      </c>
      <c r="AB67" t="str">
        <f t="shared" si="4"/>
        <v/>
      </c>
    </row>
    <row r="68" spans="1:28">
      <c r="A68" t="str">
        <f>MacReports!A68</f>
        <v/>
      </c>
      <c r="B68">
        <f>MacReports!B68</f>
        <v>0</v>
      </c>
      <c r="C68">
        <f>MacReports!C68</f>
        <v>0</v>
      </c>
      <c r="E68" t="e">
        <f>_xlfn.XLOOKUP(G68,Models!A:A,Models!F:F)</f>
        <v>#N/A</v>
      </c>
      <c r="F68" t="str">
        <f>_xlfn.XLOOKUP(B68,MacReports!B:B,MacReports!D:D,"")</f>
        <v/>
      </c>
      <c r="G68" s="13">
        <f>MacReports!E68</f>
        <v>0</v>
      </c>
      <c r="H68" t="e">
        <f>_xlfn.XLOOKUP(G68,Models!A:A,Models!B:B)</f>
        <v>#N/A</v>
      </c>
      <c r="I68" t="e">
        <f>_xlfn.XLOOKUP(G68,Models!A:A,Models!E:E)</f>
        <v>#N/A</v>
      </c>
      <c r="J68" t="e">
        <f>_xlfn.XLOOKUP(G68,Models!A:A,Models!D:D)</f>
        <v>#N/A</v>
      </c>
      <c r="K68">
        <f>MacReports!F68</f>
        <v>0</v>
      </c>
      <c r="L68">
        <f>MacReports!G68</f>
        <v>0</v>
      </c>
      <c r="M68" s="15" t="e" cm="1">
        <f t="array" ref="M68">--_xlfn.LET(
    _xlpm.txt, MacReports!H68,
    _xlpm.chars, MID(_xlpm.txt, _xlfn.SEQUENCE(LEN(_xlpm.txt)), 1),
    _xlfn.TEXTJOIN("", TRUE, IF(ISNUMBER(--_xlpm.chars), _xlpm.chars, ""))
)</f>
        <v>#VALUE!</v>
      </c>
      <c r="N68" s="16" t="str" cm="1">
        <f t="array" ref="N68">_xlfn.IFS(
   --MacReports!M68&lt;55,"Battery Defect",
  -- MacReports!M68&lt;=69,"Battery D",
  --MacReports!M68&lt;=80,"Battery C",
 --MacReports!M68&gt;80,""
)</f>
        <v>Battery Defect</v>
      </c>
      <c r="O68" s="16" t="str">
        <f>IF(MacReports!I68="Service","Battery Service","")</f>
        <v/>
      </c>
      <c r="P68" s="13">
        <f>MacReports!P68</f>
        <v>0</v>
      </c>
      <c r="Q68" s="13" t="str">
        <f>IF(MacReports!J68="Enabled","Apple ID Lock","")</f>
        <v/>
      </c>
      <c r="R68" s="13" t="str">
        <f>IF(MacReports!L68="y","Remote Locked","")</f>
        <v/>
      </c>
      <c r="S68" t="str">
        <f t="shared" si="3"/>
        <v>Battery Defect, 0</v>
      </c>
      <c r="T68" t="str">
        <f>_xlfn.XLOOKUP(B68,Disk_Pivot!G:G,Disk_Pivot!I:I)</f>
        <v>Yes</v>
      </c>
      <c r="U68" t="str">
        <f>_xlfn.XLOOKUP(B68,Disk_Pivot!G:G,Disk_Pivot!N:N)</f>
        <v>Fail</v>
      </c>
      <c r="V68">
        <f>IF(U68="Fail",MacReports!N68,"")</f>
        <v>0</v>
      </c>
      <c r="AB68" t="str">
        <f t="shared" si="4"/>
        <v/>
      </c>
    </row>
    <row r="69" spans="1:28">
      <c r="A69" t="str">
        <f>MacReports!A69</f>
        <v/>
      </c>
      <c r="B69">
        <f>MacReports!B69</f>
        <v>0</v>
      </c>
      <c r="C69">
        <f>MacReports!C69</f>
        <v>0</v>
      </c>
      <c r="E69" t="e">
        <f>_xlfn.XLOOKUP(G69,Models!A:A,Models!F:F)</f>
        <v>#N/A</v>
      </c>
      <c r="F69" t="str">
        <f>_xlfn.XLOOKUP(B69,MacReports!B:B,MacReports!D:D,"")</f>
        <v/>
      </c>
      <c r="G69" s="13">
        <f>MacReports!E69</f>
        <v>0</v>
      </c>
      <c r="H69" t="e">
        <f>_xlfn.XLOOKUP(G69,Models!A:A,Models!B:B)</f>
        <v>#N/A</v>
      </c>
      <c r="I69" t="e">
        <f>_xlfn.XLOOKUP(G69,Models!A:A,Models!E:E)</f>
        <v>#N/A</v>
      </c>
      <c r="J69" t="e">
        <f>_xlfn.XLOOKUP(G69,Models!A:A,Models!D:D)</f>
        <v>#N/A</v>
      </c>
      <c r="K69">
        <f>MacReports!F69</f>
        <v>0</v>
      </c>
      <c r="L69">
        <f>MacReports!G69</f>
        <v>0</v>
      </c>
      <c r="M69" s="15" t="e" cm="1">
        <f t="array" ref="M69">--_xlfn.LET(
    _xlpm.txt, MacReports!H69,
    _xlpm.chars, MID(_xlpm.txt, _xlfn.SEQUENCE(LEN(_xlpm.txt)), 1),
    _xlfn.TEXTJOIN("", TRUE, IF(ISNUMBER(--_xlpm.chars), _xlpm.chars, ""))
)</f>
        <v>#VALUE!</v>
      </c>
      <c r="N69" s="16" t="str" cm="1">
        <f t="array" ref="N69">_xlfn.IFS(
   --MacReports!M69&lt;55,"Battery Defect",
  -- MacReports!M69&lt;=69,"Battery D",
  --MacReports!M69&lt;=80,"Battery C",
 --MacReports!M69&gt;80,""
)</f>
        <v>Battery Defect</v>
      </c>
      <c r="O69" s="16" t="str">
        <f>IF(MacReports!I69="Service","Battery Service","")</f>
        <v/>
      </c>
      <c r="P69" s="13">
        <f>MacReports!P69</f>
        <v>0</v>
      </c>
      <c r="Q69" s="13" t="str">
        <f>IF(MacReports!J69="Enabled","Apple ID Lock","")</f>
        <v/>
      </c>
      <c r="R69" s="13" t="str">
        <f>IF(MacReports!L69="y","Remote Locked","")</f>
        <v/>
      </c>
      <c r="S69" t="str">
        <f t="shared" si="3"/>
        <v>Battery Defect, 0</v>
      </c>
      <c r="T69" t="str">
        <f>_xlfn.XLOOKUP(B69,Disk_Pivot!G:G,Disk_Pivot!I:I)</f>
        <v>Yes</v>
      </c>
      <c r="U69" t="str">
        <f>_xlfn.XLOOKUP(B69,Disk_Pivot!G:G,Disk_Pivot!N:N)</f>
        <v>Fail</v>
      </c>
      <c r="V69">
        <f>IF(U69="Fail",MacReports!N69,"")</f>
        <v>0</v>
      </c>
      <c r="AB69" t="str">
        <f t="shared" si="4"/>
        <v/>
      </c>
    </row>
    <row r="70" spans="1:28">
      <c r="A70" t="str">
        <f>MacReports!A70</f>
        <v/>
      </c>
      <c r="B70">
        <f>MacReports!B70</f>
        <v>0</v>
      </c>
      <c r="C70">
        <f>MacReports!C70</f>
        <v>0</v>
      </c>
      <c r="E70" t="e">
        <f>_xlfn.XLOOKUP(G70,Models!A:A,Models!F:F)</f>
        <v>#N/A</v>
      </c>
      <c r="F70" t="str">
        <f>_xlfn.XLOOKUP(B70,MacReports!B:B,MacReports!D:D,"")</f>
        <v/>
      </c>
      <c r="G70" s="13">
        <f>MacReports!E70</f>
        <v>0</v>
      </c>
      <c r="H70" t="e">
        <f>_xlfn.XLOOKUP(G70,Models!A:A,Models!B:B)</f>
        <v>#N/A</v>
      </c>
      <c r="I70" t="e">
        <f>_xlfn.XLOOKUP(G70,Models!A:A,Models!E:E)</f>
        <v>#N/A</v>
      </c>
      <c r="J70" t="e">
        <f>_xlfn.XLOOKUP(G70,Models!A:A,Models!D:D)</f>
        <v>#N/A</v>
      </c>
      <c r="K70">
        <f>MacReports!F70</f>
        <v>0</v>
      </c>
      <c r="L70">
        <f>MacReports!G70</f>
        <v>0</v>
      </c>
      <c r="M70" s="15" t="e" cm="1">
        <f t="array" ref="M70">--_xlfn.LET(
    _xlpm.txt, MacReports!H70,
    _xlpm.chars, MID(_xlpm.txt, _xlfn.SEQUENCE(LEN(_xlpm.txt)), 1),
    _xlfn.TEXTJOIN("", TRUE, IF(ISNUMBER(--_xlpm.chars), _xlpm.chars, ""))
)</f>
        <v>#VALUE!</v>
      </c>
      <c r="N70" s="16" t="str" cm="1">
        <f t="array" ref="N70">_xlfn.IFS(
   --MacReports!M70&lt;55,"Battery Defect",
  -- MacReports!M70&lt;=69,"Battery D",
  --MacReports!M70&lt;=80,"Battery C",
 --MacReports!M70&gt;80,""
)</f>
        <v>Battery Defect</v>
      </c>
      <c r="O70" s="16" t="str">
        <f>IF(MacReports!I70="Service","Battery Service","")</f>
        <v/>
      </c>
      <c r="P70" s="13">
        <f>MacReports!P70</f>
        <v>0</v>
      </c>
      <c r="Q70" s="13" t="str">
        <f>IF(MacReports!J70="Enabled","Apple ID Lock","")</f>
        <v/>
      </c>
      <c r="R70" s="13" t="str">
        <f>IF(MacReports!L70="y","Remote Locked","")</f>
        <v/>
      </c>
      <c r="S70" t="str">
        <f t="shared" si="3"/>
        <v>Battery Defect, 0</v>
      </c>
      <c r="T70" t="str">
        <f>_xlfn.XLOOKUP(B70,Disk_Pivot!G:G,Disk_Pivot!I:I)</f>
        <v>Yes</v>
      </c>
      <c r="U70" t="str">
        <f>_xlfn.XLOOKUP(B70,Disk_Pivot!G:G,Disk_Pivot!N:N)</f>
        <v>Fail</v>
      </c>
      <c r="V70">
        <f>IF(U70="Fail",MacReports!N70,"")</f>
        <v>0</v>
      </c>
      <c r="AB70" t="str">
        <f t="shared" si="4"/>
        <v/>
      </c>
    </row>
    <row r="71" spans="1:28">
      <c r="A71" t="str">
        <f>MacReports!A71</f>
        <v/>
      </c>
      <c r="B71">
        <f>MacReports!B71</f>
        <v>0</v>
      </c>
      <c r="C71">
        <f>MacReports!C71</f>
        <v>0</v>
      </c>
      <c r="E71" t="e">
        <f>_xlfn.XLOOKUP(G71,Models!A:A,Models!F:F)</f>
        <v>#N/A</v>
      </c>
      <c r="F71" t="str">
        <f>_xlfn.XLOOKUP(B71,MacReports!B:B,MacReports!D:D,"")</f>
        <v/>
      </c>
      <c r="G71" s="13">
        <f>MacReports!E71</f>
        <v>0</v>
      </c>
      <c r="H71" t="e">
        <f>_xlfn.XLOOKUP(G71,Models!A:A,Models!B:B)</f>
        <v>#N/A</v>
      </c>
      <c r="I71" t="e">
        <f>_xlfn.XLOOKUP(G71,Models!A:A,Models!E:E)</f>
        <v>#N/A</v>
      </c>
      <c r="J71" t="e">
        <f>_xlfn.XLOOKUP(G71,Models!A:A,Models!D:D)</f>
        <v>#N/A</v>
      </c>
      <c r="K71">
        <f>MacReports!F71</f>
        <v>0</v>
      </c>
      <c r="L71">
        <f>MacReports!G71</f>
        <v>0</v>
      </c>
      <c r="M71" s="15" t="e" cm="1">
        <f t="array" ref="M71">--_xlfn.LET(
    _xlpm.txt, MacReports!H71,
    _xlpm.chars, MID(_xlpm.txt, _xlfn.SEQUENCE(LEN(_xlpm.txt)), 1),
    _xlfn.TEXTJOIN("", TRUE, IF(ISNUMBER(--_xlpm.chars), _xlpm.chars, ""))
)</f>
        <v>#VALUE!</v>
      </c>
      <c r="N71" s="16" t="str" cm="1">
        <f t="array" ref="N71">_xlfn.IFS(
   --MacReports!M71&lt;55,"Battery Defect",
  -- MacReports!M71&lt;=69,"Battery D",
  --MacReports!M71&lt;=80,"Battery C",
 --MacReports!M71&gt;80,""
)</f>
        <v>Battery Defect</v>
      </c>
      <c r="O71" s="16" t="str">
        <f>IF(MacReports!I71="Service","Battery Service","")</f>
        <v/>
      </c>
      <c r="P71" s="13">
        <f>MacReports!P71</f>
        <v>0</v>
      </c>
      <c r="Q71" s="13" t="str">
        <f>IF(MacReports!J71="Enabled","Apple ID Lock","")</f>
        <v/>
      </c>
      <c r="R71" s="13" t="str">
        <f>IF(MacReports!L71="y","Remote Locked","")</f>
        <v/>
      </c>
      <c r="S71" t="str">
        <f t="shared" si="3"/>
        <v>Battery Defect, 0</v>
      </c>
      <c r="T71" t="str">
        <f>_xlfn.XLOOKUP(B71,Disk_Pivot!G:G,Disk_Pivot!I:I)</f>
        <v>Yes</v>
      </c>
      <c r="U71" t="str">
        <f>_xlfn.XLOOKUP(B71,Disk_Pivot!G:G,Disk_Pivot!N:N)</f>
        <v>Fail</v>
      </c>
      <c r="V71">
        <f>IF(U71="Fail",MacReports!N71,"")</f>
        <v>0</v>
      </c>
      <c r="AB71" t="str">
        <f t="shared" si="4"/>
        <v/>
      </c>
    </row>
    <row r="72" spans="1:28">
      <c r="A72" t="str">
        <f>MacReports!A72</f>
        <v/>
      </c>
      <c r="B72">
        <f>MacReports!B72</f>
        <v>0</v>
      </c>
      <c r="C72">
        <f>MacReports!C72</f>
        <v>0</v>
      </c>
      <c r="E72" t="e">
        <f>_xlfn.XLOOKUP(G72,Models!A:A,Models!F:F)</f>
        <v>#N/A</v>
      </c>
      <c r="F72" t="str">
        <f>_xlfn.XLOOKUP(B72,MacReports!B:B,MacReports!D:D,"")</f>
        <v/>
      </c>
      <c r="G72" s="13">
        <f>MacReports!E72</f>
        <v>0</v>
      </c>
      <c r="H72" t="e">
        <f>_xlfn.XLOOKUP(G72,Models!A:A,Models!B:B)</f>
        <v>#N/A</v>
      </c>
      <c r="I72" t="e">
        <f>_xlfn.XLOOKUP(G72,Models!A:A,Models!E:E)</f>
        <v>#N/A</v>
      </c>
      <c r="J72" t="e">
        <f>_xlfn.XLOOKUP(G72,Models!A:A,Models!D:D)</f>
        <v>#N/A</v>
      </c>
      <c r="K72">
        <f>MacReports!F72</f>
        <v>0</v>
      </c>
      <c r="L72">
        <f>MacReports!G72</f>
        <v>0</v>
      </c>
      <c r="M72" s="15" t="e" cm="1">
        <f t="array" ref="M72">--_xlfn.LET(
    _xlpm.txt, MacReports!H72,
    _xlpm.chars, MID(_xlpm.txt, _xlfn.SEQUENCE(LEN(_xlpm.txt)), 1),
    _xlfn.TEXTJOIN("", TRUE, IF(ISNUMBER(--_xlpm.chars), _xlpm.chars, ""))
)</f>
        <v>#VALUE!</v>
      </c>
      <c r="N72" s="16" t="str" cm="1">
        <f t="array" ref="N72">_xlfn.IFS(
   --MacReports!M72&lt;55,"Battery Defect",
  -- MacReports!M72&lt;=69,"Battery D",
  --MacReports!M72&lt;=80,"Battery C",
 --MacReports!M72&gt;80,""
)</f>
        <v>Battery Defect</v>
      </c>
      <c r="O72" s="16" t="str">
        <f>IF(MacReports!I72="Service","Battery Service","")</f>
        <v/>
      </c>
      <c r="P72" s="13">
        <f>MacReports!P72</f>
        <v>0</v>
      </c>
      <c r="Q72" s="13" t="str">
        <f>IF(MacReports!J72="Enabled","Apple ID Lock","")</f>
        <v/>
      </c>
      <c r="R72" s="13" t="str">
        <f>IF(MacReports!L72="y","Remote Locked","")</f>
        <v/>
      </c>
      <c r="S72" t="str">
        <f t="shared" si="3"/>
        <v>Battery Defect, 0</v>
      </c>
      <c r="T72" t="str">
        <f>_xlfn.XLOOKUP(B72,Disk_Pivot!G:G,Disk_Pivot!I:I)</f>
        <v>Yes</v>
      </c>
      <c r="U72" t="str">
        <f>_xlfn.XLOOKUP(B72,Disk_Pivot!G:G,Disk_Pivot!N:N)</f>
        <v>Fail</v>
      </c>
      <c r="V72">
        <f>IF(U72="Fail",MacReports!N72,"")</f>
        <v>0</v>
      </c>
      <c r="AB72" t="str">
        <f t="shared" si="4"/>
        <v/>
      </c>
    </row>
    <row r="73" spans="1:28">
      <c r="A73" t="str">
        <f>MacReports!A73</f>
        <v/>
      </c>
      <c r="B73">
        <f>MacReports!B73</f>
        <v>0</v>
      </c>
      <c r="C73">
        <f>MacReports!C73</f>
        <v>0</v>
      </c>
      <c r="E73" t="e">
        <f>_xlfn.XLOOKUP(G73,Models!A:A,Models!F:F)</f>
        <v>#N/A</v>
      </c>
      <c r="F73" t="str">
        <f>_xlfn.XLOOKUP(B73,MacReports!B:B,MacReports!D:D,"")</f>
        <v/>
      </c>
      <c r="G73" s="13">
        <f>MacReports!E73</f>
        <v>0</v>
      </c>
      <c r="H73" t="e">
        <f>_xlfn.XLOOKUP(G73,Models!A:A,Models!B:B)</f>
        <v>#N/A</v>
      </c>
      <c r="I73" t="e">
        <f>_xlfn.XLOOKUP(G73,Models!A:A,Models!E:E)</f>
        <v>#N/A</v>
      </c>
      <c r="J73" t="e">
        <f>_xlfn.XLOOKUP(G73,Models!A:A,Models!D:D)</f>
        <v>#N/A</v>
      </c>
      <c r="K73">
        <f>MacReports!F73</f>
        <v>0</v>
      </c>
      <c r="L73">
        <f>MacReports!G73</f>
        <v>0</v>
      </c>
      <c r="M73" s="15" t="e" cm="1">
        <f t="array" ref="M73">--_xlfn.LET(
    _xlpm.txt, MacReports!H73,
    _xlpm.chars, MID(_xlpm.txt, _xlfn.SEQUENCE(LEN(_xlpm.txt)), 1),
    _xlfn.TEXTJOIN("", TRUE, IF(ISNUMBER(--_xlpm.chars), _xlpm.chars, ""))
)</f>
        <v>#VALUE!</v>
      </c>
      <c r="N73" s="16" t="str" cm="1">
        <f t="array" ref="N73">_xlfn.IFS(
   --MacReports!M73&lt;55,"Battery Defect",
  -- MacReports!M73&lt;=69,"Battery D",
  --MacReports!M73&lt;=80,"Battery C",
 --MacReports!M73&gt;80,""
)</f>
        <v>Battery Defect</v>
      </c>
      <c r="O73" s="16" t="str">
        <f>IF(MacReports!I73="Service","Battery Service","")</f>
        <v/>
      </c>
      <c r="P73" s="13">
        <f>MacReports!P73</f>
        <v>0</v>
      </c>
      <c r="Q73" s="13" t="str">
        <f>IF(MacReports!J73="Enabled","Apple ID Lock","")</f>
        <v/>
      </c>
      <c r="R73" s="13" t="str">
        <f>IF(MacReports!L73="y","Remote Locked","")</f>
        <v/>
      </c>
      <c r="S73" t="str">
        <f t="shared" si="3"/>
        <v>Battery Defect, 0</v>
      </c>
      <c r="T73" t="str">
        <f>_xlfn.XLOOKUP(B73,Disk_Pivot!G:G,Disk_Pivot!I:I)</f>
        <v>Yes</v>
      </c>
      <c r="U73" t="str">
        <f>_xlfn.XLOOKUP(B73,Disk_Pivot!G:G,Disk_Pivot!N:N)</f>
        <v>Fail</v>
      </c>
      <c r="V73">
        <f>IF(U73="Fail",MacReports!N73,"")</f>
        <v>0</v>
      </c>
      <c r="AB73" t="str">
        <f t="shared" si="4"/>
        <v/>
      </c>
    </row>
    <row r="74" spans="1:28">
      <c r="A74" t="str">
        <f>MacReports!A74</f>
        <v/>
      </c>
      <c r="B74">
        <f>MacReports!B74</f>
        <v>0</v>
      </c>
      <c r="C74">
        <f>MacReports!C74</f>
        <v>0</v>
      </c>
      <c r="E74" t="e">
        <f>_xlfn.XLOOKUP(G74,Models!A:A,Models!F:F)</f>
        <v>#N/A</v>
      </c>
      <c r="F74" t="str">
        <f>_xlfn.XLOOKUP(B74,MacReports!B:B,MacReports!D:D,"")</f>
        <v/>
      </c>
      <c r="G74" s="13">
        <f>MacReports!E74</f>
        <v>0</v>
      </c>
      <c r="H74" t="e">
        <f>_xlfn.XLOOKUP(G74,Models!A:A,Models!B:B)</f>
        <v>#N/A</v>
      </c>
      <c r="I74" t="e">
        <f>_xlfn.XLOOKUP(G74,Models!A:A,Models!E:E)</f>
        <v>#N/A</v>
      </c>
      <c r="J74" t="e">
        <f>_xlfn.XLOOKUP(G74,Models!A:A,Models!D:D)</f>
        <v>#N/A</v>
      </c>
      <c r="K74">
        <f>MacReports!F74</f>
        <v>0</v>
      </c>
      <c r="L74">
        <f>MacReports!G74</f>
        <v>0</v>
      </c>
      <c r="M74" s="15" t="e" cm="1">
        <f t="array" ref="M74">--_xlfn.LET(
    _xlpm.txt, MacReports!H74,
    _xlpm.chars, MID(_xlpm.txt, _xlfn.SEQUENCE(LEN(_xlpm.txt)), 1),
    _xlfn.TEXTJOIN("", TRUE, IF(ISNUMBER(--_xlpm.chars), _xlpm.chars, ""))
)</f>
        <v>#VALUE!</v>
      </c>
      <c r="N74" s="16" t="str" cm="1">
        <f t="array" ref="N74">_xlfn.IFS(
   --MacReports!M74&lt;55,"Battery Defect",
  -- MacReports!M74&lt;=69,"Battery D",
  --MacReports!M74&lt;=80,"Battery C",
 --MacReports!M74&gt;80,""
)</f>
        <v>Battery Defect</v>
      </c>
      <c r="O74" s="16" t="str">
        <f>IF(MacReports!I74="Service","Battery Service","")</f>
        <v/>
      </c>
      <c r="P74" s="13">
        <f>MacReports!P74</f>
        <v>0</v>
      </c>
      <c r="Q74" s="13" t="str">
        <f>IF(MacReports!J74="Enabled","Apple ID Lock","")</f>
        <v/>
      </c>
      <c r="R74" s="13" t="str">
        <f>IF(MacReports!L74="y","Remote Locked","")</f>
        <v/>
      </c>
      <c r="S74" t="str">
        <f t="shared" si="3"/>
        <v>Battery Defect, 0</v>
      </c>
      <c r="T74" t="str">
        <f>_xlfn.XLOOKUP(B74,Disk_Pivot!G:G,Disk_Pivot!I:I)</f>
        <v>Yes</v>
      </c>
      <c r="U74" t="str">
        <f>_xlfn.XLOOKUP(B74,Disk_Pivot!G:G,Disk_Pivot!N:N)</f>
        <v>Fail</v>
      </c>
      <c r="V74">
        <f>IF(U74="Fail",MacReports!N74,"")</f>
        <v>0</v>
      </c>
      <c r="AB74" t="str">
        <f t="shared" si="4"/>
        <v/>
      </c>
    </row>
    <row r="75" spans="1:28">
      <c r="A75" t="str">
        <f>MacReports!A75</f>
        <v/>
      </c>
      <c r="B75">
        <f>MacReports!B75</f>
        <v>0</v>
      </c>
      <c r="C75">
        <f>MacReports!C75</f>
        <v>0</v>
      </c>
      <c r="E75" t="e">
        <f>_xlfn.XLOOKUP(G75,Models!A:A,Models!F:F)</f>
        <v>#N/A</v>
      </c>
      <c r="F75" t="str">
        <f>_xlfn.XLOOKUP(B75,MacReports!B:B,MacReports!D:D,"")</f>
        <v/>
      </c>
      <c r="G75" s="13">
        <f>MacReports!E75</f>
        <v>0</v>
      </c>
      <c r="H75" t="e">
        <f>_xlfn.XLOOKUP(G75,Models!A:A,Models!B:B)</f>
        <v>#N/A</v>
      </c>
      <c r="I75" t="e">
        <f>_xlfn.XLOOKUP(G75,Models!A:A,Models!E:E)</f>
        <v>#N/A</v>
      </c>
      <c r="J75" t="e">
        <f>_xlfn.XLOOKUP(G75,Models!A:A,Models!D:D)</f>
        <v>#N/A</v>
      </c>
      <c r="K75">
        <f>MacReports!F75</f>
        <v>0</v>
      </c>
      <c r="L75">
        <f>MacReports!G75</f>
        <v>0</v>
      </c>
      <c r="M75" s="15" t="e" cm="1">
        <f t="array" ref="M75">--_xlfn.LET(
    _xlpm.txt, MacReports!H75,
    _xlpm.chars, MID(_xlpm.txt, _xlfn.SEQUENCE(LEN(_xlpm.txt)), 1),
    _xlfn.TEXTJOIN("", TRUE, IF(ISNUMBER(--_xlpm.chars), _xlpm.chars, ""))
)</f>
        <v>#VALUE!</v>
      </c>
      <c r="N75" s="16" t="str" cm="1">
        <f t="array" ref="N75">_xlfn.IFS(
   --MacReports!M75&lt;55,"Battery Defect",
  -- MacReports!M75&lt;=69,"Battery D",
  --MacReports!M75&lt;=80,"Battery C",
 --MacReports!M75&gt;80,""
)</f>
        <v>Battery Defect</v>
      </c>
      <c r="O75" s="16" t="str">
        <f>IF(MacReports!I75="Service","Battery Service","")</f>
        <v/>
      </c>
      <c r="P75" s="13">
        <f>MacReports!P75</f>
        <v>0</v>
      </c>
      <c r="Q75" s="13" t="str">
        <f>IF(MacReports!J75="Enabled","Apple ID Lock","")</f>
        <v/>
      </c>
      <c r="R75" s="13" t="str">
        <f>IF(MacReports!L75="y","Remote Locked","")</f>
        <v/>
      </c>
      <c r="S75" t="str">
        <f t="shared" si="3"/>
        <v>Battery Defect, 0</v>
      </c>
      <c r="T75" t="str">
        <f>_xlfn.XLOOKUP(B75,Disk_Pivot!G:G,Disk_Pivot!I:I)</f>
        <v>Yes</v>
      </c>
      <c r="U75" t="str">
        <f>_xlfn.XLOOKUP(B75,Disk_Pivot!G:G,Disk_Pivot!N:N)</f>
        <v>Fail</v>
      </c>
      <c r="V75">
        <f>IF(U75="Fail",MacReports!N75,"")</f>
        <v>0</v>
      </c>
      <c r="AB75" t="str">
        <f t="shared" si="4"/>
        <v/>
      </c>
    </row>
    <row r="76" spans="1:28">
      <c r="A76" t="str">
        <f>MacReports!A76</f>
        <v/>
      </c>
      <c r="B76">
        <f>MacReports!B76</f>
        <v>0</v>
      </c>
      <c r="C76">
        <f>MacReports!C76</f>
        <v>0</v>
      </c>
      <c r="E76" t="e">
        <f>_xlfn.XLOOKUP(G76,Models!A:A,Models!F:F)</f>
        <v>#N/A</v>
      </c>
      <c r="F76" t="str">
        <f>_xlfn.XLOOKUP(B76,MacReports!B:B,MacReports!D:D,"")</f>
        <v/>
      </c>
      <c r="G76" s="13">
        <f>MacReports!E76</f>
        <v>0</v>
      </c>
      <c r="H76" t="e">
        <f>_xlfn.XLOOKUP(G76,Models!A:A,Models!B:B)</f>
        <v>#N/A</v>
      </c>
      <c r="I76" t="e">
        <f>_xlfn.XLOOKUP(G76,Models!A:A,Models!E:E)</f>
        <v>#N/A</v>
      </c>
      <c r="J76" t="e">
        <f>_xlfn.XLOOKUP(G76,Models!A:A,Models!D:D)</f>
        <v>#N/A</v>
      </c>
      <c r="K76">
        <f>MacReports!F76</f>
        <v>0</v>
      </c>
      <c r="L76">
        <f>MacReports!G76</f>
        <v>0</v>
      </c>
      <c r="M76" s="15" t="e" cm="1">
        <f t="array" ref="M76">--_xlfn.LET(
    _xlpm.txt, MacReports!H76,
    _xlpm.chars, MID(_xlpm.txt, _xlfn.SEQUENCE(LEN(_xlpm.txt)), 1),
    _xlfn.TEXTJOIN("", TRUE, IF(ISNUMBER(--_xlpm.chars), _xlpm.chars, ""))
)</f>
        <v>#VALUE!</v>
      </c>
      <c r="N76" s="16" t="str" cm="1">
        <f t="array" ref="N76">_xlfn.IFS(
   --MacReports!M76&lt;55,"Battery Defect",
  -- MacReports!M76&lt;=69,"Battery D",
  --MacReports!M76&lt;=80,"Battery C",
 --MacReports!M76&gt;80,""
)</f>
        <v>Battery Defect</v>
      </c>
      <c r="O76" s="16" t="str">
        <f>IF(MacReports!I76="Service","Battery Service","")</f>
        <v/>
      </c>
      <c r="P76" s="13">
        <f>MacReports!P76</f>
        <v>0</v>
      </c>
      <c r="Q76" s="13" t="str">
        <f>IF(MacReports!J76="Enabled","Apple ID Lock","")</f>
        <v/>
      </c>
      <c r="R76" s="13" t="str">
        <f>IF(MacReports!L76="y","Remote Locked","")</f>
        <v/>
      </c>
      <c r="S76" t="str">
        <f t="shared" si="3"/>
        <v>Battery Defect, 0</v>
      </c>
      <c r="T76" t="str">
        <f>_xlfn.XLOOKUP(B76,Disk_Pivot!G:G,Disk_Pivot!I:I)</f>
        <v>Yes</v>
      </c>
      <c r="U76" t="str">
        <f>_xlfn.XLOOKUP(B76,Disk_Pivot!G:G,Disk_Pivot!N:N)</f>
        <v>Fail</v>
      </c>
      <c r="V76">
        <f>IF(U76="Fail",MacReports!N76,"")</f>
        <v>0</v>
      </c>
      <c r="AB76" t="str">
        <f t="shared" si="4"/>
        <v/>
      </c>
    </row>
    <row r="77" spans="1:28">
      <c r="A77" t="str">
        <f>MacReports!A77</f>
        <v/>
      </c>
      <c r="B77">
        <f>MacReports!B77</f>
        <v>0</v>
      </c>
      <c r="C77">
        <f>MacReports!C77</f>
        <v>0</v>
      </c>
      <c r="E77" t="e">
        <f>_xlfn.XLOOKUP(G77,Models!A:A,Models!F:F)</f>
        <v>#N/A</v>
      </c>
      <c r="F77" t="str">
        <f>_xlfn.XLOOKUP(B77,MacReports!B:B,MacReports!D:D,"")</f>
        <v/>
      </c>
      <c r="G77" s="13">
        <f>MacReports!E77</f>
        <v>0</v>
      </c>
      <c r="H77" t="e">
        <f>_xlfn.XLOOKUP(G77,Models!A:A,Models!B:B)</f>
        <v>#N/A</v>
      </c>
      <c r="I77" t="e">
        <f>_xlfn.XLOOKUP(G77,Models!A:A,Models!E:E)</f>
        <v>#N/A</v>
      </c>
      <c r="J77" t="e">
        <f>_xlfn.XLOOKUP(G77,Models!A:A,Models!D:D)</f>
        <v>#N/A</v>
      </c>
      <c r="K77">
        <f>MacReports!F77</f>
        <v>0</v>
      </c>
      <c r="L77">
        <f>MacReports!G77</f>
        <v>0</v>
      </c>
      <c r="M77" s="15" t="e" cm="1">
        <f t="array" ref="M77">--_xlfn.LET(
    _xlpm.txt, MacReports!H77,
    _xlpm.chars, MID(_xlpm.txt, _xlfn.SEQUENCE(LEN(_xlpm.txt)), 1),
    _xlfn.TEXTJOIN("", TRUE, IF(ISNUMBER(--_xlpm.chars), _xlpm.chars, ""))
)</f>
        <v>#VALUE!</v>
      </c>
      <c r="N77" s="16" t="str" cm="1">
        <f t="array" ref="N77">_xlfn.IFS(
   --MacReports!M77&lt;55,"Battery Defect",
  -- MacReports!M77&lt;=69,"Battery D",
  --MacReports!M77&lt;=80,"Battery C",
 --MacReports!M77&gt;80,""
)</f>
        <v>Battery Defect</v>
      </c>
      <c r="O77" s="16" t="str">
        <f>IF(MacReports!I77="Service","Battery Service","")</f>
        <v/>
      </c>
      <c r="P77" s="13">
        <f>MacReports!P77</f>
        <v>0</v>
      </c>
      <c r="Q77" s="13" t="str">
        <f>IF(MacReports!J77="Enabled","Apple ID Lock","")</f>
        <v/>
      </c>
      <c r="R77" s="13" t="str">
        <f>IF(MacReports!L77="y","Remote Locked","")</f>
        <v/>
      </c>
      <c r="S77" t="str">
        <f t="shared" si="3"/>
        <v>Battery Defect, 0</v>
      </c>
      <c r="T77" t="str">
        <f>_xlfn.XLOOKUP(B77,Disk_Pivot!G:G,Disk_Pivot!I:I)</f>
        <v>Yes</v>
      </c>
      <c r="U77" t="str">
        <f>_xlfn.XLOOKUP(B77,Disk_Pivot!G:G,Disk_Pivot!N:N)</f>
        <v>Fail</v>
      </c>
      <c r="V77">
        <f>IF(U77="Fail",MacReports!N77,"")</f>
        <v>0</v>
      </c>
      <c r="AB77" t="str">
        <f t="shared" si="4"/>
        <v/>
      </c>
    </row>
    <row r="78" spans="1:28">
      <c r="A78" t="str">
        <f>MacReports!A78</f>
        <v/>
      </c>
      <c r="B78">
        <f>MacReports!B78</f>
        <v>0</v>
      </c>
      <c r="C78">
        <f>MacReports!C78</f>
        <v>0</v>
      </c>
      <c r="E78" t="e">
        <f>_xlfn.XLOOKUP(G78,Models!A:A,Models!F:F)</f>
        <v>#N/A</v>
      </c>
      <c r="F78" t="str">
        <f>_xlfn.XLOOKUP(B78,MacReports!B:B,MacReports!D:D,"")</f>
        <v/>
      </c>
      <c r="G78" s="13">
        <f>MacReports!E78</f>
        <v>0</v>
      </c>
      <c r="H78" t="e">
        <f>_xlfn.XLOOKUP(G78,Models!A:A,Models!B:B)</f>
        <v>#N/A</v>
      </c>
      <c r="I78" t="e">
        <f>_xlfn.XLOOKUP(G78,Models!A:A,Models!E:E)</f>
        <v>#N/A</v>
      </c>
      <c r="J78" t="e">
        <f>_xlfn.XLOOKUP(G78,Models!A:A,Models!D:D)</f>
        <v>#N/A</v>
      </c>
      <c r="K78">
        <f>MacReports!F78</f>
        <v>0</v>
      </c>
      <c r="L78">
        <f>MacReports!G78</f>
        <v>0</v>
      </c>
      <c r="M78" s="15" t="e" cm="1">
        <f t="array" ref="M78">--_xlfn.LET(
    _xlpm.txt, MacReports!H78,
    _xlpm.chars, MID(_xlpm.txt, _xlfn.SEQUENCE(LEN(_xlpm.txt)), 1),
    _xlfn.TEXTJOIN("", TRUE, IF(ISNUMBER(--_xlpm.chars), _xlpm.chars, ""))
)</f>
        <v>#VALUE!</v>
      </c>
      <c r="N78" s="16" t="str" cm="1">
        <f t="array" ref="N78">_xlfn.IFS(
   --MacReports!M78&lt;55,"Battery Defect",
  -- MacReports!M78&lt;=69,"Battery D",
  --MacReports!M78&lt;=80,"Battery C",
 --MacReports!M78&gt;80,""
)</f>
        <v>Battery Defect</v>
      </c>
      <c r="O78" s="16" t="str">
        <f>IF(MacReports!I78="Service","Battery Service","")</f>
        <v/>
      </c>
      <c r="P78" s="13">
        <f>MacReports!P78</f>
        <v>0</v>
      </c>
      <c r="Q78" s="13" t="str">
        <f>IF(MacReports!J78="Enabled","Apple ID Lock","")</f>
        <v/>
      </c>
      <c r="R78" s="13" t="str">
        <f>IF(MacReports!L78="y","Remote Locked","")</f>
        <v/>
      </c>
      <c r="S78" t="str">
        <f t="shared" si="3"/>
        <v>Battery Defect, 0</v>
      </c>
      <c r="T78" t="str">
        <f>_xlfn.XLOOKUP(B78,Disk_Pivot!G:G,Disk_Pivot!I:I)</f>
        <v>Yes</v>
      </c>
      <c r="U78" t="str">
        <f>_xlfn.XLOOKUP(B78,Disk_Pivot!G:G,Disk_Pivot!N:N)</f>
        <v>Fail</v>
      </c>
      <c r="V78">
        <f>IF(U78="Fail",MacReports!N78,"")</f>
        <v>0</v>
      </c>
      <c r="AB78" t="str">
        <f t="shared" si="4"/>
        <v/>
      </c>
    </row>
    <row r="79" spans="1:28">
      <c r="A79" t="str">
        <f>MacReports!A79</f>
        <v/>
      </c>
      <c r="B79">
        <f>MacReports!B79</f>
        <v>0</v>
      </c>
      <c r="C79">
        <f>MacReports!C79</f>
        <v>0</v>
      </c>
      <c r="E79" t="e">
        <f>_xlfn.XLOOKUP(G79,Models!A:A,Models!F:F)</f>
        <v>#N/A</v>
      </c>
      <c r="F79" t="str">
        <f>_xlfn.XLOOKUP(B79,MacReports!B:B,MacReports!D:D,"")</f>
        <v/>
      </c>
      <c r="G79" s="13">
        <f>MacReports!E79</f>
        <v>0</v>
      </c>
      <c r="H79" t="e">
        <f>_xlfn.XLOOKUP(G79,Models!A:A,Models!B:B)</f>
        <v>#N/A</v>
      </c>
      <c r="I79" t="e">
        <f>_xlfn.XLOOKUP(G79,Models!A:A,Models!E:E)</f>
        <v>#N/A</v>
      </c>
      <c r="J79" t="e">
        <f>_xlfn.XLOOKUP(G79,Models!A:A,Models!D:D)</f>
        <v>#N/A</v>
      </c>
      <c r="K79">
        <f>MacReports!F79</f>
        <v>0</v>
      </c>
      <c r="L79">
        <f>MacReports!G79</f>
        <v>0</v>
      </c>
      <c r="M79" s="15" t="e" cm="1">
        <f t="array" ref="M79">--_xlfn.LET(
    _xlpm.txt, MacReports!H79,
    _xlpm.chars, MID(_xlpm.txt, _xlfn.SEQUENCE(LEN(_xlpm.txt)), 1),
    _xlfn.TEXTJOIN("", TRUE, IF(ISNUMBER(--_xlpm.chars), _xlpm.chars, ""))
)</f>
        <v>#VALUE!</v>
      </c>
      <c r="N79" s="16" t="str" cm="1">
        <f t="array" ref="N79">_xlfn.IFS(
   --MacReports!M79&lt;55,"Battery Defect",
  -- MacReports!M79&lt;=69,"Battery D",
  --MacReports!M79&lt;=80,"Battery C",
 --MacReports!M79&gt;80,""
)</f>
        <v>Battery Defect</v>
      </c>
      <c r="O79" s="16" t="str">
        <f>IF(MacReports!I79="Service","Battery Service","")</f>
        <v/>
      </c>
      <c r="P79" s="13">
        <f>MacReports!P79</f>
        <v>0</v>
      </c>
      <c r="Q79" s="13" t="str">
        <f>IF(MacReports!J79="Enabled","Apple ID Lock","")</f>
        <v/>
      </c>
      <c r="R79" s="13" t="str">
        <f>IF(MacReports!L79="y","Remote Locked","")</f>
        <v/>
      </c>
      <c r="S79" t="str">
        <f t="shared" si="3"/>
        <v>Battery Defect, 0</v>
      </c>
      <c r="T79" t="str">
        <f>_xlfn.XLOOKUP(B79,Disk_Pivot!G:G,Disk_Pivot!I:I)</f>
        <v>Yes</v>
      </c>
      <c r="U79" t="str">
        <f>_xlfn.XLOOKUP(B79,Disk_Pivot!G:G,Disk_Pivot!N:N)</f>
        <v>Fail</v>
      </c>
      <c r="V79">
        <f>IF(U79="Fail",MacReports!N79,"")</f>
        <v>0</v>
      </c>
      <c r="AB79" t="str">
        <f t="shared" si="4"/>
        <v/>
      </c>
    </row>
    <row r="80" spans="1:28">
      <c r="A80" t="str">
        <f>MacReports!A80</f>
        <v/>
      </c>
      <c r="B80">
        <f>MacReports!B80</f>
        <v>0</v>
      </c>
      <c r="C80">
        <f>MacReports!C80</f>
        <v>0</v>
      </c>
      <c r="E80" t="e">
        <f>_xlfn.XLOOKUP(G80,Models!A:A,Models!F:F)</f>
        <v>#N/A</v>
      </c>
      <c r="F80" t="str">
        <f>_xlfn.XLOOKUP(B80,MacReports!B:B,MacReports!D:D,"")</f>
        <v/>
      </c>
      <c r="G80" s="13">
        <f>MacReports!E80</f>
        <v>0</v>
      </c>
      <c r="H80" t="e">
        <f>_xlfn.XLOOKUP(G80,Models!A:A,Models!B:B)</f>
        <v>#N/A</v>
      </c>
      <c r="I80" t="e">
        <f>_xlfn.XLOOKUP(G80,Models!A:A,Models!E:E)</f>
        <v>#N/A</v>
      </c>
      <c r="J80" t="e">
        <f>_xlfn.XLOOKUP(G80,Models!A:A,Models!D:D)</f>
        <v>#N/A</v>
      </c>
      <c r="K80">
        <f>MacReports!F80</f>
        <v>0</v>
      </c>
      <c r="L80">
        <f>MacReports!G80</f>
        <v>0</v>
      </c>
      <c r="M80" s="15" t="e" cm="1">
        <f t="array" ref="M80">--_xlfn.LET(
    _xlpm.txt, MacReports!H80,
    _xlpm.chars, MID(_xlpm.txt, _xlfn.SEQUENCE(LEN(_xlpm.txt)), 1),
    _xlfn.TEXTJOIN("", TRUE, IF(ISNUMBER(--_xlpm.chars), _xlpm.chars, ""))
)</f>
        <v>#VALUE!</v>
      </c>
      <c r="N80" s="16" t="str" cm="1">
        <f t="array" ref="N80">_xlfn.IFS(
   --MacReports!M80&lt;55,"Battery Defect",
  -- MacReports!M80&lt;=69,"Battery D",
  --MacReports!M80&lt;=80,"Battery C",
 --MacReports!M80&gt;80,""
)</f>
        <v>Battery Defect</v>
      </c>
      <c r="O80" s="16" t="str">
        <f>IF(MacReports!I80="Service","Battery Service","")</f>
        <v/>
      </c>
      <c r="P80" s="13">
        <f>MacReports!P80</f>
        <v>0</v>
      </c>
      <c r="Q80" s="13" t="str">
        <f>IF(MacReports!J80="Enabled","Apple ID Lock","")</f>
        <v/>
      </c>
      <c r="R80" s="13" t="str">
        <f>IF(MacReports!L80="y","Remote Locked","")</f>
        <v/>
      </c>
      <c r="S80" t="str">
        <f t="shared" si="3"/>
        <v>Battery Defect, 0</v>
      </c>
      <c r="T80" t="str">
        <f>_xlfn.XLOOKUP(B80,Disk_Pivot!G:G,Disk_Pivot!I:I)</f>
        <v>Yes</v>
      </c>
      <c r="U80" t="str">
        <f>_xlfn.XLOOKUP(B80,Disk_Pivot!G:G,Disk_Pivot!N:N)</f>
        <v>Fail</v>
      </c>
      <c r="V80">
        <f>IF(U80="Fail",MacReports!N80,"")</f>
        <v>0</v>
      </c>
      <c r="AB80" t="str">
        <f t="shared" si="4"/>
        <v/>
      </c>
    </row>
    <row r="81" spans="1:28">
      <c r="A81" t="str">
        <f>MacReports!A81</f>
        <v/>
      </c>
      <c r="B81">
        <f>MacReports!B81</f>
        <v>0</v>
      </c>
      <c r="C81">
        <f>MacReports!C81</f>
        <v>0</v>
      </c>
      <c r="E81" t="e">
        <f>_xlfn.XLOOKUP(G81,Models!A:A,Models!F:F)</f>
        <v>#N/A</v>
      </c>
      <c r="F81" t="str">
        <f>_xlfn.XLOOKUP(B81,MacReports!B:B,MacReports!D:D,"")</f>
        <v/>
      </c>
      <c r="G81" s="13">
        <f>MacReports!E81</f>
        <v>0</v>
      </c>
      <c r="H81" t="e">
        <f>_xlfn.XLOOKUP(G81,Models!A:A,Models!B:B)</f>
        <v>#N/A</v>
      </c>
      <c r="I81" t="e">
        <f>_xlfn.XLOOKUP(G81,Models!A:A,Models!E:E)</f>
        <v>#N/A</v>
      </c>
      <c r="J81" t="e">
        <f>_xlfn.XLOOKUP(G81,Models!A:A,Models!D:D)</f>
        <v>#N/A</v>
      </c>
      <c r="K81">
        <f>MacReports!F81</f>
        <v>0</v>
      </c>
      <c r="L81">
        <f>MacReports!G81</f>
        <v>0</v>
      </c>
      <c r="M81" s="15" t="e" cm="1">
        <f t="array" ref="M81">--_xlfn.LET(
    _xlpm.txt, MacReports!H81,
    _xlpm.chars, MID(_xlpm.txt, _xlfn.SEQUENCE(LEN(_xlpm.txt)), 1),
    _xlfn.TEXTJOIN("", TRUE, IF(ISNUMBER(--_xlpm.chars), _xlpm.chars, ""))
)</f>
        <v>#VALUE!</v>
      </c>
      <c r="N81" s="16" t="str" cm="1">
        <f t="array" ref="N81">_xlfn.IFS(
   --MacReports!M81&lt;55,"Battery Defect",
  -- MacReports!M81&lt;=69,"Battery D",
  --MacReports!M81&lt;=80,"Battery C",
 --MacReports!M81&gt;80,""
)</f>
        <v>Battery Defect</v>
      </c>
      <c r="O81" s="16" t="str">
        <f>IF(MacReports!I81="Service","Battery Service","")</f>
        <v/>
      </c>
      <c r="P81" s="13">
        <f>MacReports!P81</f>
        <v>0</v>
      </c>
      <c r="Q81" s="13" t="str">
        <f>IF(MacReports!J81="Enabled","Apple ID Lock","")</f>
        <v/>
      </c>
      <c r="R81" s="13" t="str">
        <f>IF(MacReports!L81="y","Remote Locked","")</f>
        <v/>
      </c>
      <c r="S81" t="str">
        <f t="shared" si="3"/>
        <v>Battery Defect, 0</v>
      </c>
      <c r="T81" t="str">
        <f>_xlfn.XLOOKUP(B81,Disk_Pivot!G:G,Disk_Pivot!I:I)</f>
        <v>Yes</v>
      </c>
      <c r="U81" t="str">
        <f>_xlfn.XLOOKUP(B81,Disk_Pivot!G:G,Disk_Pivot!N:N)</f>
        <v>Fail</v>
      </c>
      <c r="V81">
        <f>IF(U81="Fail",MacReports!N81,"")</f>
        <v>0</v>
      </c>
      <c r="AB81" t="str">
        <f t="shared" si="4"/>
        <v/>
      </c>
    </row>
    <row r="82" spans="1:28">
      <c r="A82" t="str">
        <f>MacReports!A82</f>
        <v/>
      </c>
      <c r="B82">
        <f>MacReports!B82</f>
        <v>0</v>
      </c>
      <c r="C82">
        <f>MacReports!C82</f>
        <v>0</v>
      </c>
      <c r="E82" t="e">
        <f>_xlfn.XLOOKUP(G82,Models!A:A,Models!F:F)</f>
        <v>#N/A</v>
      </c>
      <c r="F82" t="str">
        <f>_xlfn.XLOOKUP(B82,MacReports!B:B,MacReports!D:D,"")</f>
        <v/>
      </c>
      <c r="G82" s="13">
        <f>MacReports!E82</f>
        <v>0</v>
      </c>
      <c r="H82" t="e">
        <f>_xlfn.XLOOKUP(G82,Models!A:A,Models!B:B)</f>
        <v>#N/A</v>
      </c>
      <c r="I82" t="e">
        <f>_xlfn.XLOOKUP(G82,Models!A:A,Models!E:E)</f>
        <v>#N/A</v>
      </c>
      <c r="J82" t="e">
        <f>_xlfn.XLOOKUP(G82,Models!A:A,Models!D:D)</f>
        <v>#N/A</v>
      </c>
      <c r="K82">
        <f>MacReports!F82</f>
        <v>0</v>
      </c>
      <c r="L82">
        <f>MacReports!G82</f>
        <v>0</v>
      </c>
      <c r="M82" s="15" t="e" cm="1">
        <f t="array" ref="M82">--_xlfn.LET(
    _xlpm.txt, MacReports!H82,
    _xlpm.chars, MID(_xlpm.txt, _xlfn.SEQUENCE(LEN(_xlpm.txt)), 1),
    _xlfn.TEXTJOIN("", TRUE, IF(ISNUMBER(--_xlpm.chars), _xlpm.chars, ""))
)</f>
        <v>#VALUE!</v>
      </c>
      <c r="N82" s="16" t="str" cm="1">
        <f t="array" ref="N82">_xlfn.IFS(
   --MacReports!M82&lt;55,"Battery Defect",
  -- MacReports!M82&lt;=69,"Battery D",
  --MacReports!M82&lt;=80,"Battery C",
 --MacReports!M82&gt;80,""
)</f>
        <v>Battery Defect</v>
      </c>
      <c r="O82" s="16" t="str">
        <f>IF(MacReports!I82="Service","Battery Service","")</f>
        <v/>
      </c>
      <c r="P82" s="13">
        <f>MacReports!P82</f>
        <v>0</v>
      </c>
      <c r="Q82" s="13" t="str">
        <f>IF(MacReports!J82="Enabled","Apple ID Lock","")</f>
        <v/>
      </c>
      <c r="R82" s="13" t="str">
        <f>IF(MacReports!L82="y","Remote Locked","")</f>
        <v/>
      </c>
      <c r="S82" t="str">
        <f t="shared" si="3"/>
        <v>Battery Defect, 0</v>
      </c>
      <c r="T82" t="str">
        <f>_xlfn.XLOOKUP(B82,Disk_Pivot!G:G,Disk_Pivot!I:I)</f>
        <v>Yes</v>
      </c>
      <c r="U82" t="str">
        <f>_xlfn.XLOOKUP(B82,Disk_Pivot!G:G,Disk_Pivot!N:N)</f>
        <v>Fail</v>
      </c>
      <c r="V82">
        <f>IF(U82="Fail",MacReports!N82,"")</f>
        <v>0</v>
      </c>
      <c r="AB82" t="str">
        <f t="shared" si="4"/>
        <v/>
      </c>
    </row>
    <row r="83" spans="1:28">
      <c r="A83" t="str">
        <f>MacReports!A83</f>
        <v/>
      </c>
      <c r="B83">
        <f>MacReports!B83</f>
        <v>0</v>
      </c>
      <c r="C83">
        <f>MacReports!C83</f>
        <v>0</v>
      </c>
      <c r="E83" t="e">
        <f>_xlfn.XLOOKUP(G83,Models!A:A,Models!F:F)</f>
        <v>#N/A</v>
      </c>
      <c r="F83" t="str">
        <f>_xlfn.XLOOKUP(B83,MacReports!B:B,MacReports!D:D,"")</f>
        <v/>
      </c>
      <c r="G83" s="13">
        <f>MacReports!E83</f>
        <v>0</v>
      </c>
      <c r="H83" t="e">
        <f>_xlfn.XLOOKUP(G83,Models!A:A,Models!B:B)</f>
        <v>#N/A</v>
      </c>
      <c r="I83" t="e">
        <f>_xlfn.XLOOKUP(G83,Models!A:A,Models!E:E)</f>
        <v>#N/A</v>
      </c>
      <c r="J83" t="e">
        <f>_xlfn.XLOOKUP(G83,Models!A:A,Models!D:D)</f>
        <v>#N/A</v>
      </c>
      <c r="K83">
        <f>MacReports!F83</f>
        <v>0</v>
      </c>
      <c r="L83">
        <f>MacReports!G83</f>
        <v>0</v>
      </c>
      <c r="M83" s="15" t="e" cm="1">
        <f t="array" ref="M83">--_xlfn.LET(
    _xlpm.txt, MacReports!H83,
    _xlpm.chars, MID(_xlpm.txt, _xlfn.SEQUENCE(LEN(_xlpm.txt)), 1),
    _xlfn.TEXTJOIN("", TRUE, IF(ISNUMBER(--_xlpm.chars), _xlpm.chars, ""))
)</f>
        <v>#VALUE!</v>
      </c>
      <c r="N83" s="16" t="str" cm="1">
        <f t="array" ref="N83">_xlfn.IFS(
   --MacReports!M83&lt;55,"Battery Defect",
  -- MacReports!M83&lt;=69,"Battery D",
  --MacReports!M83&lt;=80,"Battery C",
 --MacReports!M83&gt;80,""
)</f>
        <v>Battery Defect</v>
      </c>
      <c r="O83" s="16" t="str">
        <f>IF(MacReports!I83="Service","Battery Service","")</f>
        <v/>
      </c>
      <c r="P83" s="13">
        <f>MacReports!P83</f>
        <v>0</v>
      </c>
      <c r="Q83" s="13" t="str">
        <f>IF(MacReports!J83="Enabled","Apple ID Lock","")</f>
        <v/>
      </c>
      <c r="R83" s="13" t="str">
        <f>IF(MacReports!L83="y","Remote Locked","")</f>
        <v/>
      </c>
      <c r="S83" t="str">
        <f t="shared" si="3"/>
        <v>Battery Defect, 0</v>
      </c>
      <c r="T83" t="str">
        <f>_xlfn.XLOOKUP(B83,Disk_Pivot!G:G,Disk_Pivot!I:I)</f>
        <v>Yes</v>
      </c>
      <c r="U83" t="str">
        <f>_xlfn.XLOOKUP(B83,Disk_Pivot!G:G,Disk_Pivot!N:N)</f>
        <v>Fail</v>
      </c>
      <c r="V83">
        <f>IF(U83="Fail",MacReports!N83,"")</f>
        <v>0</v>
      </c>
      <c r="AB83" t="str">
        <f t="shared" si="4"/>
        <v/>
      </c>
    </row>
    <row r="84" spans="1:28">
      <c r="A84" t="str">
        <f>MacReports!A84</f>
        <v/>
      </c>
      <c r="B84">
        <f>MacReports!B84</f>
        <v>0</v>
      </c>
      <c r="C84">
        <f>MacReports!C84</f>
        <v>0</v>
      </c>
      <c r="E84" t="e">
        <f>_xlfn.XLOOKUP(G84,Models!A:A,Models!F:F)</f>
        <v>#N/A</v>
      </c>
      <c r="F84" t="str">
        <f>_xlfn.XLOOKUP(B84,MacReports!B:B,MacReports!D:D,"")</f>
        <v/>
      </c>
      <c r="G84" s="13">
        <f>MacReports!E84</f>
        <v>0</v>
      </c>
      <c r="H84" t="e">
        <f>_xlfn.XLOOKUP(G84,Models!A:A,Models!B:B)</f>
        <v>#N/A</v>
      </c>
      <c r="I84" t="e">
        <f>_xlfn.XLOOKUP(G84,Models!A:A,Models!E:E)</f>
        <v>#N/A</v>
      </c>
      <c r="J84" t="e">
        <f>_xlfn.XLOOKUP(G84,Models!A:A,Models!D:D)</f>
        <v>#N/A</v>
      </c>
      <c r="K84">
        <f>MacReports!F84</f>
        <v>0</v>
      </c>
      <c r="L84">
        <f>MacReports!G84</f>
        <v>0</v>
      </c>
      <c r="M84" s="15" t="e" cm="1">
        <f t="array" ref="M84">--_xlfn.LET(
    _xlpm.txt, MacReports!H84,
    _xlpm.chars, MID(_xlpm.txt, _xlfn.SEQUENCE(LEN(_xlpm.txt)), 1),
    _xlfn.TEXTJOIN("", TRUE, IF(ISNUMBER(--_xlpm.chars), _xlpm.chars, ""))
)</f>
        <v>#VALUE!</v>
      </c>
      <c r="N84" s="16" t="str" cm="1">
        <f t="array" ref="N84">_xlfn.IFS(
   --MacReports!M84&lt;55,"Battery Defect",
  -- MacReports!M84&lt;=69,"Battery D",
  --MacReports!M84&lt;=80,"Battery C",
 --MacReports!M84&gt;80,""
)</f>
        <v>Battery Defect</v>
      </c>
      <c r="O84" s="16" t="str">
        <f>IF(MacReports!I84="Service","Battery Service","")</f>
        <v/>
      </c>
      <c r="P84" s="13">
        <f>MacReports!P84</f>
        <v>0</v>
      </c>
      <c r="Q84" s="13" t="str">
        <f>IF(MacReports!J84="Enabled","Apple ID Lock","")</f>
        <v/>
      </c>
      <c r="R84" s="13" t="str">
        <f>IF(MacReports!L84="y","Remote Locked","")</f>
        <v/>
      </c>
      <c r="S84" t="str">
        <f t="shared" si="3"/>
        <v>Battery Defect, 0</v>
      </c>
      <c r="T84" t="str">
        <f>_xlfn.XLOOKUP(B84,Disk_Pivot!G:G,Disk_Pivot!I:I)</f>
        <v>Yes</v>
      </c>
      <c r="U84" t="str">
        <f>_xlfn.XLOOKUP(B84,Disk_Pivot!G:G,Disk_Pivot!N:N)</f>
        <v>Fail</v>
      </c>
      <c r="V84">
        <f>IF(U84="Fail",MacReports!N84,"")</f>
        <v>0</v>
      </c>
      <c r="AB84" t="str">
        <f t="shared" si="4"/>
        <v/>
      </c>
    </row>
    <row r="85" spans="1:28">
      <c r="A85" t="str">
        <f>MacReports!A85</f>
        <v/>
      </c>
      <c r="B85">
        <f>MacReports!B85</f>
        <v>0</v>
      </c>
      <c r="C85">
        <f>MacReports!C85</f>
        <v>0</v>
      </c>
      <c r="E85" t="e">
        <f>_xlfn.XLOOKUP(G85,Models!A:A,Models!F:F)</f>
        <v>#N/A</v>
      </c>
      <c r="F85" t="str">
        <f>_xlfn.XLOOKUP(B85,MacReports!B:B,MacReports!D:D,"")</f>
        <v/>
      </c>
      <c r="G85" s="13">
        <f>MacReports!E85</f>
        <v>0</v>
      </c>
      <c r="H85" t="e">
        <f>_xlfn.XLOOKUP(G85,Models!A:A,Models!B:B)</f>
        <v>#N/A</v>
      </c>
      <c r="I85" t="e">
        <f>_xlfn.XLOOKUP(G85,Models!A:A,Models!E:E)</f>
        <v>#N/A</v>
      </c>
      <c r="J85" t="e">
        <f>_xlfn.XLOOKUP(G85,Models!A:A,Models!D:D)</f>
        <v>#N/A</v>
      </c>
      <c r="K85">
        <f>MacReports!F85</f>
        <v>0</v>
      </c>
      <c r="L85">
        <f>MacReports!G85</f>
        <v>0</v>
      </c>
      <c r="M85" s="15" t="e" cm="1">
        <f t="array" ref="M85">--_xlfn.LET(
    _xlpm.txt, MacReports!H85,
    _xlpm.chars, MID(_xlpm.txt, _xlfn.SEQUENCE(LEN(_xlpm.txt)), 1),
    _xlfn.TEXTJOIN("", TRUE, IF(ISNUMBER(--_xlpm.chars), _xlpm.chars, ""))
)</f>
        <v>#VALUE!</v>
      </c>
      <c r="N85" s="16" t="str" cm="1">
        <f t="array" ref="N85">_xlfn.IFS(
   --MacReports!M85&lt;55,"Battery Defect",
  -- MacReports!M85&lt;=69,"Battery D",
  --MacReports!M85&lt;=80,"Battery C",
 --MacReports!M85&gt;80,""
)</f>
        <v>Battery Defect</v>
      </c>
      <c r="O85" s="16" t="str">
        <f>IF(MacReports!I85="Service","Battery Service","")</f>
        <v/>
      </c>
      <c r="P85" s="13">
        <f>MacReports!P85</f>
        <v>0</v>
      </c>
      <c r="Q85" s="13" t="str">
        <f>IF(MacReports!J85="Enabled","Apple ID Lock","")</f>
        <v/>
      </c>
      <c r="R85" s="13" t="str">
        <f>IF(MacReports!L85="y","Remote Locked","")</f>
        <v/>
      </c>
      <c r="S85" t="str">
        <f t="shared" si="3"/>
        <v>Battery Defect, 0</v>
      </c>
      <c r="T85" t="str">
        <f>_xlfn.XLOOKUP(B85,Disk_Pivot!G:G,Disk_Pivot!I:I)</f>
        <v>Yes</v>
      </c>
      <c r="U85" t="str">
        <f>_xlfn.XLOOKUP(B85,Disk_Pivot!G:G,Disk_Pivot!N:N)</f>
        <v>Fail</v>
      </c>
      <c r="V85">
        <f>IF(U85="Fail",MacReports!N85,"")</f>
        <v>0</v>
      </c>
      <c r="AB85" t="str">
        <f t="shared" si="4"/>
        <v/>
      </c>
    </row>
    <row r="86" spans="1:28">
      <c r="A86" t="str">
        <f>MacReports!A86</f>
        <v/>
      </c>
      <c r="B86">
        <f>MacReports!B86</f>
        <v>0</v>
      </c>
      <c r="C86">
        <f>MacReports!C86</f>
        <v>0</v>
      </c>
      <c r="E86" t="e">
        <f>_xlfn.XLOOKUP(G86,Models!A:A,Models!F:F)</f>
        <v>#N/A</v>
      </c>
      <c r="F86" t="str">
        <f>_xlfn.XLOOKUP(B86,MacReports!B:B,MacReports!D:D,"")</f>
        <v/>
      </c>
      <c r="G86" s="13">
        <f>MacReports!E86</f>
        <v>0</v>
      </c>
      <c r="H86" t="e">
        <f>_xlfn.XLOOKUP(G86,Models!A:A,Models!B:B)</f>
        <v>#N/A</v>
      </c>
      <c r="I86" t="e">
        <f>_xlfn.XLOOKUP(G86,Models!A:A,Models!E:E)</f>
        <v>#N/A</v>
      </c>
      <c r="J86" t="e">
        <f>_xlfn.XLOOKUP(G86,Models!A:A,Models!D:D)</f>
        <v>#N/A</v>
      </c>
      <c r="K86">
        <f>MacReports!F86</f>
        <v>0</v>
      </c>
      <c r="L86">
        <f>MacReports!G86</f>
        <v>0</v>
      </c>
      <c r="M86" s="15" t="e" cm="1">
        <f t="array" ref="M86">--_xlfn.LET(
    _xlpm.txt, MacReports!H86,
    _xlpm.chars, MID(_xlpm.txt, _xlfn.SEQUENCE(LEN(_xlpm.txt)), 1),
    _xlfn.TEXTJOIN("", TRUE, IF(ISNUMBER(--_xlpm.chars), _xlpm.chars, ""))
)</f>
        <v>#VALUE!</v>
      </c>
      <c r="N86" s="16" t="str" cm="1">
        <f t="array" ref="N86">_xlfn.IFS(
   --MacReports!M86&lt;55,"Battery Defect",
  -- MacReports!M86&lt;=69,"Battery D",
  --MacReports!M86&lt;=80,"Battery C",
 --MacReports!M86&gt;80,""
)</f>
        <v>Battery Defect</v>
      </c>
      <c r="O86" s="16" t="str">
        <f>IF(MacReports!I86="Service","Battery Service","")</f>
        <v/>
      </c>
      <c r="P86" s="13">
        <f>MacReports!P86</f>
        <v>0</v>
      </c>
      <c r="Q86" s="13" t="str">
        <f>IF(MacReports!J86="Enabled","Apple ID Lock","")</f>
        <v/>
      </c>
      <c r="R86" s="13" t="str">
        <f>IF(MacReports!L86="y","Remote Locked","")</f>
        <v/>
      </c>
      <c r="S86" t="str">
        <f t="shared" si="3"/>
        <v>Battery Defect, 0</v>
      </c>
      <c r="T86" t="str">
        <f>_xlfn.XLOOKUP(B86,Disk_Pivot!G:G,Disk_Pivot!I:I)</f>
        <v>Yes</v>
      </c>
      <c r="U86" t="str">
        <f>_xlfn.XLOOKUP(B86,Disk_Pivot!G:G,Disk_Pivot!N:N)</f>
        <v>Fail</v>
      </c>
      <c r="V86">
        <f>IF(U86="Fail",MacReports!N86,"")</f>
        <v>0</v>
      </c>
      <c r="AB86" t="str">
        <f t="shared" si="4"/>
        <v/>
      </c>
    </row>
    <row r="87" spans="1:28">
      <c r="A87" t="str">
        <f>MacReports!A87</f>
        <v/>
      </c>
      <c r="B87">
        <f>MacReports!B87</f>
        <v>0</v>
      </c>
      <c r="C87">
        <f>MacReports!C87</f>
        <v>0</v>
      </c>
      <c r="E87" t="e">
        <f>_xlfn.XLOOKUP(G87,Models!A:A,Models!F:F)</f>
        <v>#N/A</v>
      </c>
      <c r="F87" t="str">
        <f>_xlfn.XLOOKUP(B87,MacReports!B:B,MacReports!D:D,"")</f>
        <v/>
      </c>
      <c r="G87" s="13">
        <f>MacReports!E87</f>
        <v>0</v>
      </c>
      <c r="H87" t="e">
        <f>_xlfn.XLOOKUP(G87,Models!A:A,Models!B:B)</f>
        <v>#N/A</v>
      </c>
      <c r="I87" t="e">
        <f>_xlfn.XLOOKUP(G87,Models!A:A,Models!E:E)</f>
        <v>#N/A</v>
      </c>
      <c r="J87" t="e">
        <f>_xlfn.XLOOKUP(G87,Models!A:A,Models!D:D)</f>
        <v>#N/A</v>
      </c>
      <c r="K87">
        <f>MacReports!F87</f>
        <v>0</v>
      </c>
      <c r="L87">
        <f>MacReports!G87</f>
        <v>0</v>
      </c>
      <c r="M87" s="15" t="e" cm="1">
        <f t="array" ref="M87">--_xlfn.LET(
    _xlpm.txt, MacReports!H87,
    _xlpm.chars, MID(_xlpm.txt, _xlfn.SEQUENCE(LEN(_xlpm.txt)), 1),
    _xlfn.TEXTJOIN("", TRUE, IF(ISNUMBER(--_xlpm.chars), _xlpm.chars, ""))
)</f>
        <v>#VALUE!</v>
      </c>
      <c r="N87" s="16" t="str" cm="1">
        <f t="array" ref="N87">_xlfn.IFS(
   --MacReports!M87&lt;55,"Battery Defect",
  -- MacReports!M87&lt;=69,"Battery D",
  --MacReports!M87&lt;=80,"Battery C",
 --MacReports!M87&gt;80,""
)</f>
        <v>Battery Defect</v>
      </c>
      <c r="O87" s="16" t="str">
        <f>IF(MacReports!I87="Service","Battery Service","")</f>
        <v/>
      </c>
      <c r="P87" s="13">
        <f>MacReports!P87</f>
        <v>0</v>
      </c>
      <c r="Q87" s="13" t="str">
        <f>IF(MacReports!J87="Enabled","Apple ID Lock","")</f>
        <v/>
      </c>
      <c r="R87" s="13" t="str">
        <f>IF(MacReports!L87="y","Remote Locked","")</f>
        <v/>
      </c>
      <c r="S87" t="str">
        <f t="shared" si="3"/>
        <v>Battery Defect, 0</v>
      </c>
      <c r="T87" t="str">
        <f>_xlfn.XLOOKUP(B87,Disk_Pivot!G:G,Disk_Pivot!I:I)</f>
        <v>Yes</v>
      </c>
      <c r="U87" t="str">
        <f>_xlfn.XLOOKUP(B87,Disk_Pivot!G:G,Disk_Pivot!N:N)</f>
        <v>Fail</v>
      </c>
      <c r="V87">
        <f>IF(U87="Fail",MacReports!N87,"")</f>
        <v>0</v>
      </c>
      <c r="AB87" t="str">
        <f t="shared" si="4"/>
        <v/>
      </c>
    </row>
    <row r="88" spans="1:28">
      <c r="A88" t="str">
        <f>MacReports!A88</f>
        <v/>
      </c>
      <c r="B88">
        <f>MacReports!B88</f>
        <v>0</v>
      </c>
      <c r="C88">
        <f>MacReports!C88</f>
        <v>0</v>
      </c>
      <c r="E88" t="e">
        <f>_xlfn.XLOOKUP(G88,Models!A:A,Models!F:F)</f>
        <v>#N/A</v>
      </c>
      <c r="F88" t="str">
        <f>_xlfn.XLOOKUP(B88,MacReports!B:B,MacReports!D:D,"")</f>
        <v/>
      </c>
      <c r="G88" s="13">
        <f>MacReports!E88</f>
        <v>0</v>
      </c>
      <c r="H88" t="e">
        <f>_xlfn.XLOOKUP(G88,Models!A:A,Models!B:B)</f>
        <v>#N/A</v>
      </c>
      <c r="I88" t="e">
        <f>_xlfn.XLOOKUP(G88,Models!A:A,Models!E:E)</f>
        <v>#N/A</v>
      </c>
      <c r="J88" t="e">
        <f>_xlfn.XLOOKUP(G88,Models!A:A,Models!D:D)</f>
        <v>#N/A</v>
      </c>
      <c r="K88">
        <f>MacReports!F88</f>
        <v>0</v>
      </c>
      <c r="L88">
        <f>MacReports!G88</f>
        <v>0</v>
      </c>
      <c r="M88" s="15" t="e" cm="1">
        <f t="array" ref="M88">--_xlfn.LET(
    _xlpm.txt, MacReports!H88,
    _xlpm.chars, MID(_xlpm.txt, _xlfn.SEQUENCE(LEN(_xlpm.txt)), 1),
    _xlfn.TEXTJOIN("", TRUE, IF(ISNUMBER(--_xlpm.chars), _xlpm.chars, ""))
)</f>
        <v>#VALUE!</v>
      </c>
      <c r="N88" s="16" t="str" cm="1">
        <f t="array" ref="N88">_xlfn.IFS(
   --MacReports!M88&lt;55,"Battery Defect",
  -- MacReports!M88&lt;=69,"Battery D",
  --MacReports!M88&lt;=80,"Battery C",
 --MacReports!M88&gt;80,""
)</f>
        <v>Battery Defect</v>
      </c>
      <c r="O88" s="16" t="str">
        <f>IF(MacReports!I88="Service","Battery Service","")</f>
        <v/>
      </c>
      <c r="P88" s="13">
        <f>MacReports!P88</f>
        <v>0</v>
      </c>
      <c r="Q88" s="13" t="str">
        <f>IF(MacReports!J88="Enabled","Apple ID Lock","")</f>
        <v/>
      </c>
      <c r="R88" s="13" t="str">
        <f>IF(MacReports!L88="y","Remote Locked","")</f>
        <v/>
      </c>
      <c r="S88" t="str">
        <f t="shared" si="3"/>
        <v>Battery Defect, 0</v>
      </c>
      <c r="T88" t="str">
        <f>_xlfn.XLOOKUP(B88,Disk_Pivot!G:G,Disk_Pivot!I:I)</f>
        <v>Yes</v>
      </c>
      <c r="U88" t="str">
        <f>_xlfn.XLOOKUP(B88,Disk_Pivot!G:G,Disk_Pivot!N:N)</f>
        <v>Fail</v>
      </c>
      <c r="V88">
        <f>IF(U88="Fail",MacReports!N88,"")</f>
        <v>0</v>
      </c>
      <c r="AB88" t="str">
        <f t="shared" si="4"/>
        <v/>
      </c>
    </row>
    <row r="89" spans="1:28">
      <c r="A89" t="str">
        <f>MacReports!A89</f>
        <v/>
      </c>
      <c r="B89">
        <f>MacReports!B89</f>
        <v>0</v>
      </c>
      <c r="C89">
        <f>MacReports!C89</f>
        <v>0</v>
      </c>
      <c r="E89" t="e">
        <f>_xlfn.XLOOKUP(G89,Models!A:A,Models!F:F)</f>
        <v>#N/A</v>
      </c>
      <c r="F89" t="str">
        <f>_xlfn.XLOOKUP(B89,MacReports!B:B,MacReports!D:D,"")</f>
        <v/>
      </c>
      <c r="G89" s="13">
        <f>MacReports!E89</f>
        <v>0</v>
      </c>
      <c r="H89" t="e">
        <f>_xlfn.XLOOKUP(G89,Models!A:A,Models!B:B)</f>
        <v>#N/A</v>
      </c>
      <c r="I89" t="e">
        <f>_xlfn.XLOOKUP(G89,Models!A:A,Models!E:E)</f>
        <v>#N/A</v>
      </c>
      <c r="J89" t="e">
        <f>_xlfn.XLOOKUP(G89,Models!A:A,Models!D:D)</f>
        <v>#N/A</v>
      </c>
      <c r="K89">
        <f>MacReports!F89</f>
        <v>0</v>
      </c>
      <c r="L89">
        <f>MacReports!G89</f>
        <v>0</v>
      </c>
      <c r="M89" s="15" t="e" cm="1">
        <f t="array" ref="M89">--_xlfn.LET(
    _xlpm.txt, MacReports!H89,
    _xlpm.chars, MID(_xlpm.txt, _xlfn.SEQUENCE(LEN(_xlpm.txt)), 1),
    _xlfn.TEXTJOIN("", TRUE, IF(ISNUMBER(--_xlpm.chars), _xlpm.chars, ""))
)</f>
        <v>#VALUE!</v>
      </c>
      <c r="N89" s="16" t="str" cm="1">
        <f t="array" ref="N89">_xlfn.IFS(
   --MacReports!M89&lt;55,"Battery Defect",
  -- MacReports!M89&lt;=69,"Battery D",
  --MacReports!M89&lt;=80,"Battery C",
 --MacReports!M89&gt;80,""
)</f>
        <v>Battery Defect</v>
      </c>
      <c r="O89" s="16" t="str">
        <f>IF(MacReports!I89="Service","Battery Service","")</f>
        <v/>
      </c>
      <c r="P89" s="13">
        <f>MacReports!P89</f>
        <v>0</v>
      </c>
      <c r="Q89" s="13" t="str">
        <f>IF(MacReports!J89="Enabled","Apple ID Lock","")</f>
        <v/>
      </c>
      <c r="R89" s="13" t="str">
        <f>IF(MacReports!L89="y","Remote Locked","")</f>
        <v/>
      </c>
      <c r="S89" t="str">
        <f t="shared" si="3"/>
        <v>Battery Defect, 0</v>
      </c>
      <c r="T89" t="str">
        <f>_xlfn.XLOOKUP(B89,Disk_Pivot!G:G,Disk_Pivot!I:I)</f>
        <v>Yes</v>
      </c>
      <c r="U89" t="str">
        <f>_xlfn.XLOOKUP(B89,Disk_Pivot!G:G,Disk_Pivot!N:N)</f>
        <v>Fail</v>
      </c>
      <c r="V89">
        <f>IF(U89="Fail",MacReports!N89,"")</f>
        <v>0</v>
      </c>
      <c r="AB89" t="str">
        <f t="shared" si="4"/>
        <v/>
      </c>
    </row>
    <row r="90" spans="1:28">
      <c r="A90" t="str">
        <f>MacReports!A90</f>
        <v/>
      </c>
      <c r="B90">
        <f>MacReports!B90</f>
        <v>0</v>
      </c>
      <c r="C90">
        <f>MacReports!C90</f>
        <v>0</v>
      </c>
      <c r="E90" t="e">
        <f>_xlfn.XLOOKUP(G90,Models!A:A,Models!F:F)</f>
        <v>#N/A</v>
      </c>
      <c r="F90" t="str">
        <f>_xlfn.XLOOKUP(B90,MacReports!B:B,MacReports!D:D,"")</f>
        <v/>
      </c>
      <c r="G90" s="13">
        <f>MacReports!E90</f>
        <v>0</v>
      </c>
      <c r="H90" t="e">
        <f>_xlfn.XLOOKUP(G90,Models!A:A,Models!B:B)</f>
        <v>#N/A</v>
      </c>
      <c r="I90" t="e">
        <f>_xlfn.XLOOKUP(G90,Models!A:A,Models!E:E)</f>
        <v>#N/A</v>
      </c>
      <c r="J90" t="e">
        <f>_xlfn.XLOOKUP(G90,Models!A:A,Models!D:D)</f>
        <v>#N/A</v>
      </c>
      <c r="K90">
        <f>MacReports!F90</f>
        <v>0</v>
      </c>
      <c r="L90">
        <f>MacReports!G90</f>
        <v>0</v>
      </c>
      <c r="M90" s="15" t="e" cm="1">
        <f t="array" ref="M90">--_xlfn.LET(
    _xlpm.txt, MacReports!H90,
    _xlpm.chars, MID(_xlpm.txt, _xlfn.SEQUENCE(LEN(_xlpm.txt)), 1),
    _xlfn.TEXTJOIN("", TRUE, IF(ISNUMBER(--_xlpm.chars), _xlpm.chars, ""))
)</f>
        <v>#VALUE!</v>
      </c>
      <c r="N90" s="16" t="str" cm="1">
        <f t="array" ref="N90">_xlfn.IFS(
   --MacReports!M90&lt;55,"Battery Defect",
  -- MacReports!M90&lt;=69,"Battery D",
  --MacReports!M90&lt;=80,"Battery C",
 --MacReports!M90&gt;80,""
)</f>
        <v>Battery Defect</v>
      </c>
      <c r="O90" s="16" t="str">
        <f>IF(MacReports!I90="Service","Battery Service","")</f>
        <v/>
      </c>
      <c r="P90" s="13">
        <f>MacReports!P90</f>
        <v>0</v>
      </c>
      <c r="Q90" s="13" t="str">
        <f>IF(MacReports!J90="Enabled","Apple ID Lock","")</f>
        <v/>
      </c>
      <c r="R90" s="13" t="str">
        <f>IF(MacReports!L90="y","Remote Locked","")</f>
        <v/>
      </c>
      <c r="S90" t="str">
        <f t="shared" si="3"/>
        <v>Battery Defect, 0</v>
      </c>
      <c r="T90" t="str">
        <f>_xlfn.XLOOKUP(B90,Disk_Pivot!G:G,Disk_Pivot!I:I)</f>
        <v>Yes</v>
      </c>
      <c r="U90" t="str">
        <f>_xlfn.XLOOKUP(B90,Disk_Pivot!G:G,Disk_Pivot!N:N)</f>
        <v>Fail</v>
      </c>
      <c r="V90">
        <f>IF(U90="Fail",MacReports!N90,"")</f>
        <v>0</v>
      </c>
      <c r="AB90" t="str">
        <f t="shared" si="4"/>
        <v/>
      </c>
    </row>
    <row r="91" spans="1:28">
      <c r="A91" t="str">
        <f>MacReports!A91</f>
        <v/>
      </c>
      <c r="B91">
        <f>MacReports!B91</f>
        <v>0</v>
      </c>
      <c r="C91">
        <f>MacReports!C91</f>
        <v>0</v>
      </c>
      <c r="E91" t="e">
        <f>_xlfn.XLOOKUP(G91,Models!A:A,Models!F:F)</f>
        <v>#N/A</v>
      </c>
      <c r="F91" t="str">
        <f>_xlfn.XLOOKUP(B91,MacReports!B:B,MacReports!D:D,"")</f>
        <v/>
      </c>
      <c r="G91" s="13">
        <f>MacReports!E91</f>
        <v>0</v>
      </c>
      <c r="H91" t="e">
        <f>_xlfn.XLOOKUP(G91,Models!A:A,Models!B:B)</f>
        <v>#N/A</v>
      </c>
      <c r="I91" t="e">
        <f>_xlfn.XLOOKUP(G91,Models!A:A,Models!E:E)</f>
        <v>#N/A</v>
      </c>
      <c r="J91" t="e">
        <f>_xlfn.XLOOKUP(G91,Models!A:A,Models!D:D)</f>
        <v>#N/A</v>
      </c>
      <c r="K91">
        <f>MacReports!F91</f>
        <v>0</v>
      </c>
      <c r="L91">
        <f>MacReports!G91</f>
        <v>0</v>
      </c>
      <c r="M91" s="15" t="e" cm="1">
        <f t="array" ref="M91">--_xlfn.LET(
    _xlpm.txt, MacReports!H91,
    _xlpm.chars, MID(_xlpm.txt, _xlfn.SEQUENCE(LEN(_xlpm.txt)), 1),
    _xlfn.TEXTJOIN("", TRUE, IF(ISNUMBER(--_xlpm.chars), _xlpm.chars, ""))
)</f>
        <v>#VALUE!</v>
      </c>
      <c r="N91" s="16" t="str" cm="1">
        <f t="array" ref="N91">_xlfn.IFS(
   --MacReports!M91&lt;55,"Battery Defect",
  -- MacReports!M91&lt;=69,"Battery D",
  --MacReports!M91&lt;=80,"Battery C",
 --MacReports!M91&gt;80,""
)</f>
        <v>Battery Defect</v>
      </c>
      <c r="O91" s="16" t="str">
        <f>IF(MacReports!I91="Service","Battery Service","")</f>
        <v/>
      </c>
      <c r="P91" s="13">
        <f>MacReports!P91</f>
        <v>0</v>
      </c>
      <c r="Q91" s="13" t="str">
        <f>IF(MacReports!J91="Enabled","Apple ID Lock","")</f>
        <v/>
      </c>
      <c r="R91" s="13" t="str">
        <f>IF(MacReports!L91="y","Remote Locked","")</f>
        <v/>
      </c>
      <c r="S91" t="str">
        <f t="shared" si="3"/>
        <v>Battery Defect, 0</v>
      </c>
      <c r="T91" t="str">
        <f>_xlfn.XLOOKUP(B91,Disk_Pivot!G:G,Disk_Pivot!I:I)</f>
        <v>Yes</v>
      </c>
      <c r="U91" t="str">
        <f>_xlfn.XLOOKUP(B91,Disk_Pivot!G:G,Disk_Pivot!N:N)</f>
        <v>Fail</v>
      </c>
      <c r="V91">
        <f>IF(U91="Fail",MacReports!N91,"")</f>
        <v>0</v>
      </c>
      <c r="AB91" t="str">
        <f t="shared" si="4"/>
        <v/>
      </c>
    </row>
    <row r="92" spans="1:28">
      <c r="A92" t="str">
        <f>MacReports!A92</f>
        <v/>
      </c>
      <c r="B92">
        <f>MacReports!B92</f>
        <v>0</v>
      </c>
      <c r="C92">
        <f>MacReports!C92</f>
        <v>0</v>
      </c>
      <c r="E92" t="e">
        <f>_xlfn.XLOOKUP(G92,Models!A:A,Models!F:F)</f>
        <v>#N/A</v>
      </c>
      <c r="F92" t="str">
        <f>_xlfn.XLOOKUP(B92,MacReports!B:B,MacReports!D:D,"")</f>
        <v/>
      </c>
      <c r="G92" s="13">
        <f>MacReports!E92</f>
        <v>0</v>
      </c>
      <c r="H92" t="e">
        <f>_xlfn.XLOOKUP(G92,Models!A:A,Models!B:B)</f>
        <v>#N/A</v>
      </c>
      <c r="I92" t="e">
        <f>_xlfn.XLOOKUP(G92,Models!A:A,Models!E:E)</f>
        <v>#N/A</v>
      </c>
      <c r="J92" t="e">
        <f>_xlfn.XLOOKUP(G92,Models!A:A,Models!D:D)</f>
        <v>#N/A</v>
      </c>
      <c r="K92">
        <f>MacReports!F92</f>
        <v>0</v>
      </c>
      <c r="L92">
        <f>MacReports!G92</f>
        <v>0</v>
      </c>
      <c r="M92" s="15" t="e" cm="1">
        <f t="array" ref="M92">--_xlfn.LET(
    _xlpm.txt, MacReports!H92,
    _xlpm.chars, MID(_xlpm.txt, _xlfn.SEQUENCE(LEN(_xlpm.txt)), 1),
    _xlfn.TEXTJOIN("", TRUE, IF(ISNUMBER(--_xlpm.chars), _xlpm.chars, ""))
)</f>
        <v>#VALUE!</v>
      </c>
      <c r="N92" s="16" t="str" cm="1">
        <f t="array" ref="N92">_xlfn.IFS(
   --MacReports!M92&lt;55,"Battery Defect",
  -- MacReports!M92&lt;=69,"Battery D",
  --MacReports!M92&lt;=80,"Battery C",
 --MacReports!M92&gt;80,""
)</f>
        <v>Battery Defect</v>
      </c>
      <c r="O92" s="16" t="str">
        <f>IF(MacReports!I92="Service","Battery Service","")</f>
        <v/>
      </c>
      <c r="P92" s="13">
        <f>MacReports!P92</f>
        <v>0</v>
      </c>
      <c r="Q92" s="13" t="str">
        <f>IF(MacReports!J92="Enabled","Apple ID Lock","")</f>
        <v/>
      </c>
      <c r="R92" s="13" t="str">
        <f>IF(MacReports!L92="y","Remote Locked","")</f>
        <v/>
      </c>
      <c r="S92" t="str">
        <f t="shared" si="3"/>
        <v>Battery Defect, 0</v>
      </c>
      <c r="T92" t="str">
        <f>_xlfn.XLOOKUP(B92,Disk_Pivot!G:G,Disk_Pivot!I:I)</f>
        <v>Yes</v>
      </c>
      <c r="U92" t="str">
        <f>_xlfn.XLOOKUP(B92,Disk_Pivot!G:G,Disk_Pivot!N:N)</f>
        <v>Fail</v>
      </c>
      <c r="V92">
        <f>IF(U92="Fail",MacReports!N92,"")</f>
        <v>0</v>
      </c>
      <c r="AB92" t="str">
        <f t="shared" si="4"/>
        <v/>
      </c>
    </row>
    <row r="93" spans="1:28">
      <c r="A93" t="str">
        <f>MacReports!A93</f>
        <v/>
      </c>
      <c r="B93">
        <f>MacReports!B93</f>
        <v>0</v>
      </c>
      <c r="C93">
        <f>MacReports!C93</f>
        <v>0</v>
      </c>
      <c r="E93" t="e">
        <f>_xlfn.XLOOKUP(G93,Models!A:A,Models!F:F)</f>
        <v>#N/A</v>
      </c>
      <c r="F93" t="str">
        <f>_xlfn.XLOOKUP(B93,MacReports!B:B,MacReports!D:D,"")</f>
        <v/>
      </c>
      <c r="G93" s="13">
        <f>MacReports!E93</f>
        <v>0</v>
      </c>
      <c r="H93" t="e">
        <f>_xlfn.XLOOKUP(G93,Models!A:A,Models!B:B)</f>
        <v>#N/A</v>
      </c>
      <c r="I93" t="e">
        <f>_xlfn.XLOOKUP(G93,Models!A:A,Models!E:E)</f>
        <v>#N/A</v>
      </c>
      <c r="J93" t="e">
        <f>_xlfn.XLOOKUP(G93,Models!A:A,Models!D:D)</f>
        <v>#N/A</v>
      </c>
      <c r="K93">
        <f>MacReports!F93</f>
        <v>0</v>
      </c>
      <c r="L93">
        <f>MacReports!G93</f>
        <v>0</v>
      </c>
      <c r="M93" s="15" t="e" cm="1">
        <f t="array" ref="M93">--_xlfn.LET(
    _xlpm.txt, MacReports!H93,
    _xlpm.chars, MID(_xlpm.txt, _xlfn.SEQUENCE(LEN(_xlpm.txt)), 1),
    _xlfn.TEXTJOIN("", TRUE, IF(ISNUMBER(--_xlpm.chars), _xlpm.chars, ""))
)</f>
        <v>#VALUE!</v>
      </c>
      <c r="N93" s="16" t="str" cm="1">
        <f t="array" ref="N93">_xlfn.IFS(
   --MacReports!M93&lt;55,"Battery Defect",
  -- MacReports!M93&lt;=69,"Battery D",
  --MacReports!M93&lt;=80,"Battery C",
 --MacReports!M93&gt;80,""
)</f>
        <v>Battery Defect</v>
      </c>
      <c r="O93" s="16" t="str">
        <f>IF(MacReports!I93="Service","Battery Service","")</f>
        <v/>
      </c>
      <c r="P93" s="13">
        <f>MacReports!P93</f>
        <v>0</v>
      </c>
      <c r="Q93" s="13" t="str">
        <f>IF(MacReports!J93="Enabled","Apple ID Lock","")</f>
        <v/>
      </c>
      <c r="R93" s="13" t="str">
        <f>IF(MacReports!L93="y","Remote Locked","")</f>
        <v/>
      </c>
      <c r="S93" t="str">
        <f t="shared" si="3"/>
        <v>Battery Defect, 0</v>
      </c>
      <c r="T93" t="str">
        <f>_xlfn.XLOOKUP(B93,Disk_Pivot!G:G,Disk_Pivot!I:I)</f>
        <v>Yes</v>
      </c>
      <c r="U93" t="str">
        <f>_xlfn.XLOOKUP(B93,Disk_Pivot!G:G,Disk_Pivot!N:N)</f>
        <v>Fail</v>
      </c>
      <c r="V93">
        <f>IF(U93="Fail",MacReports!N93,"")</f>
        <v>0</v>
      </c>
      <c r="AB93" t="str">
        <f t="shared" si="4"/>
        <v/>
      </c>
    </row>
    <row r="94" spans="1:28">
      <c r="A94" t="str">
        <f>MacReports!A94</f>
        <v/>
      </c>
      <c r="B94">
        <f>MacReports!B94</f>
        <v>0</v>
      </c>
      <c r="C94">
        <f>MacReports!C94</f>
        <v>0</v>
      </c>
      <c r="E94" t="e">
        <f>_xlfn.XLOOKUP(G94,Models!A:A,Models!F:F)</f>
        <v>#N/A</v>
      </c>
      <c r="F94" t="str">
        <f>_xlfn.XLOOKUP(B94,MacReports!B:B,MacReports!D:D,"")</f>
        <v/>
      </c>
      <c r="G94" s="13">
        <f>MacReports!E94</f>
        <v>0</v>
      </c>
      <c r="H94" t="e">
        <f>_xlfn.XLOOKUP(G94,Models!A:A,Models!B:B)</f>
        <v>#N/A</v>
      </c>
      <c r="I94" t="e">
        <f>_xlfn.XLOOKUP(G94,Models!A:A,Models!E:E)</f>
        <v>#N/A</v>
      </c>
      <c r="J94" t="e">
        <f>_xlfn.XLOOKUP(G94,Models!A:A,Models!D:D)</f>
        <v>#N/A</v>
      </c>
      <c r="K94">
        <f>MacReports!F94</f>
        <v>0</v>
      </c>
      <c r="L94">
        <f>MacReports!G94</f>
        <v>0</v>
      </c>
      <c r="M94" s="15" t="e" cm="1">
        <f t="array" ref="M94">--_xlfn.LET(
    _xlpm.txt, MacReports!H94,
    _xlpm.chars, MID(_xlpm.txt, _xlfn.SEQUENCE(LEN(_xlpm.txt)), 1),
    _xlfn.TEXTJOIN("", TRUE, IF(ISNUMBER(--_xlpm.chars), _xlpm.chars, ""))
)</f>
        <v>#VALUE!</v>
      </c>
      <c r="N94" s="16" t="str" cm="1">
        <f t="array" ref="N94">_xlfn.IFS(
   --MacReports!M94&lt;55,"Battery Defect",
  -- MacReports!M94&lt;=69,"Battery D",
  --MacReports!M94&lt;=80,"Battery C",
 --MacReports!M94&gt;80,""
)</f>
        <v>Battery Defect</v>
      </c>
      <c r="O94" s="16" t="str">
        <f>IF(MacReports!I94="Service","Battery Service","")</f>
        <v/>
      </c>
      <c r="P94" s="13">
        <f>MacReports!P94</f>
        <v>0</v>
      </c>
      <c r="Q94" s="13" t="str">
        <f>IF(MacReports!J94="Enabled","Apple ID Lock","")</f>
        <v/>
      </c>
      <c r="R94" s="13" t="str">
        <f>IF(MacReports!L94="y","Remote Locked","")</f>
        <v/>
      </c>
      <c r="S94" t="str">
        <f t="shared" si="3"/>
        <v>Battery Defect, 0</v>
      </c>
      <c r="T94" t="str">
        <f>_xlfn.XLOOKUP(B94,Disk_Pivot!G:G,Disk_Pivot!I:I)</f>
        <v>Yes</v>
      </c>
      <c r="U94" t="str">
        <f>_xlfn.XLOOKUP(B94,Disk_Pivot!G:G,Disk_Pivot!N:N)</f>
        <v>Fail</v>
      </c>
      <c r="V94">
        <f>IF(U94="Fail",MacReports!N94,"")</f>
        <v>0</v>
      </c>
      <c r="AB94" t="str">
        <f t="shared" si="4"/>
        <v/>
      </c>
    </row>
    <row r="95" spans="1:28">
      <c r="A95" t="str">
        <f>MacReports!A95</f>
        <v/>
      </c>
      <c r="B95">
        <f>MacReports!B95</f>
        <v>0</v>
      </c>
      <c r="C95">
        <f>MacReports!C95</f>
        <v>0</v>
      </c>
      <c r="E95" t="e">
        <f>_xlfn.XLOOKUP(G95,Models!A:A,Models!F:F)</f>
        <v>#N/A</v>
      </c>
      <c r="F95" t="str">
        <f>_xlfn.XLOOKUP(B95,MacReports!B:B,MacReports!D:D,"")</f>
        <v/>
      </c>
      <c r="G95" s="13">
        <f>MacReports!E95</f>
        <v>0</v>
      </c>
      <c r="H95" t="e">
        <f>_xlfn.XLOOKUP(G95,Models!A:A,Models!B:B)</f>
        <v>#N/A</v>
      </c>
      <c r="I95" t="e">
        <f>_xlfn.XLOOKUP(G95,Models!A:A,Models!E:E)</f>
        <v>#N/A</v>
      </c>
      <c r="J95" t="e">
        <f>_xlfn.XLOOKUP(G95,Models!A:A,Models!D:D)</f>
        <v>#N/A</v>
      </c>
      <c r="K95">
        <f>MacReports!F95</f>
        <v>0</v>
      </c>
      <c r="L95">
        <f>MacReports!G95</f>
        <v>0</v>
      </c>
      <c r="M95" s="15" t="e" cm="1">
        <f t="array" ref="M95">--_xlfn.LET(
    _xlpm.txt, MacReports!H95,
    _xlpm.chars, MID(_xlpm.txt, _xlfn.SEQUENCE(LEN(_xlpm.txt)), 1),
    _xlfn.TEXTJOIN("", TRUE, IF(ISNUMBER(--_xlpm.chars), _xlpm.chars, ""))
)</f>
        <v>#VALUE!</v>
      </c>
      <c r="N95" s="16" t="str" cm="1">
        <f t="array" ref="N95">_xlfn.IFS(
   --MacReports!M95&lt;55,"Battery Defect",
  -- MacReports!M95&lt;=69,"Battery D",
  --MacReports!M95&lt;=80,"Battery C",
 --MacReports!M95&gt;80,""
)</f>
        <v>Battery Defect</v>
      </c>
      <c r="O95" s="16" t="str">
        <f>IF(MacReports!I95="Service","Battery Service","")</f>
        <v/>
      </c>
      <c r="P95" s="13">
        <f>MacReports!P95</f>
        <v>0</v>
      </c>
      <c r="Q95" s="13" t="str">
        <f>IF(MacReports!J95="Enabled","Apple ID Lock","")</f>
        <v/>
      </c>
      <c r="R95" s="13" t="str">
        <f>IF(MacReports!L95="y","Remote Locked","")</f>
        <v/>
      </c>
      <c r="S95" t="str">
        <f t="shared" si="3"/>
        <v>Battery Defect, 0</v>
      </c>
      <c r="T95" t="str">
        <f>_xlfn.XLOOKUP(B95,Disk_Pivot!G:G,Disk_Pivot!I:I)</f>
        <v>Yes</v>
      </c>
      <c r="U95" t="str">
        <f>_xlfn.XLOOKUP(B95,Disk_Pivot!G:G,Disk_Pivot!N:N)</f>
        <v>Fail</v>
      </c>
      <c r="V95">
        <f>IF(U95="Fail",MacReports!N95,"")</f>
        <v>0</v>
      </c>
      <c r="AB95" t="str">
        <f t="shared" si="4"/>
        <v/>
      </c>
    </row>
    <row r="96" spans="1:28">
      <c r="A96" t="str">
        <f>MacReports!A96</f>
        <v/>
      </c>
      <c r="B96">
        <f>MacReports!B96</f>
        <v>0</v>
      </c>
      <c r="C96">
        <f>MacReports!C96</f>
        <v>0</v>
      </c>
      <c r="E96" t="e">
        <f>_xlfn.XLOOKUP(G96,Models!A:A,Models!F:F)</f>
        <v>#N/A</v>
      </c>
      <c r="F96" t="str">
        <f>_xlfn.XLOOKUP(B96,MacReports!B:B,MacReports!D:D,"")</f>
        <v/>
      </c>
      <c r="G96" s="13">
        <f>MacReports!E96</f>
        <v>0</v>
      </c>
      <c r="H96" t="e">
        <f>_xlfn.XLOOKUP(G96,Models!A:A,Models!B:B)</f>
        <v>#N/A</v>
      </c>
      <c r="I96" t="e">
        <f>_xlfn.XLOOKUP(G96,Models!A:A,Models!E:E)</f>
        <v>#N/A</v>
      </c>
      <c r="J96" t="e">
        <f>_xlfn.XLOOKUP(G96,Models!A:A,Models!D:D)</f>
        <v>#N/A</v>
      </c>
      <c r="K96">
        <f>MacReports!F96</f>
        <v>0</v>
      </c>
      <c r="L96">
        <f>MacReports!G96</f>
        <v>0</v>
      </c>
      <c r="M96" s="15" t="e" cm="1">
        <f t="array" ref="M96">--_xlfn.LET(
    _xlpm.txt, MacReports!H96,
    _xlpm.chars, MID(_xlpm.txt, _xlfn.SEQUENCE(LEN(_xlpm.txt)), 1),
    _xlfn.TEXTJOIN("", TRUE, IF(ISNUMBER(--_xlpm.chars), _xlpm.chars, ""))
)</f>
        <v>#VALUE!</v>
      </c>
      <c r="N96" s="16" t="str" cm="1">
        <f t="array" ref="N96">_xlfn.IFS(
   --MacReports!M96&lt;55,"Battery Defect",
  -- MacReports!M96&lt;=69,"Battery D",
  --MacReports!M96&lt;=80,"Battery C",
 --MacReports!M96&gt;80,""
)</f>
        <v>Battery Defect</v>
      </c>
      <c r="O96" s="16" t="str">
        <f>IF(MacReports!I96="Service","Battery Service","")</f>
        <v/>
      </c>
      <c r="P96" s="13">
        <f>MacReports!P96</f>
        <v>0</v>
      </c>
      <c r="Q96" s="13" t="str">
        <f>IF(MacReports!J96="Enabled","Apple ID Lock","")</f>
        <v/>
      </c>
      <c r="R96" s="13" t="str">
        <f>IF(MacReports!L96="y","Remote Locked","")</f>
        <v/>
      </c>
      <c r="S96" t="str">
        <f t="shared" si="3"/>
        <v>Battery Defect, 0</v>
      </c>
      <c r="T96" t="str">
        <f>_xlfn.XLOOKUP(B96,Disk_Pivot!G:G,Disk_Pivot!I:I)</f>
        <v>Yes</v>
      </c>
      <c r="U96" t="str">
        <f>_xlfn.XLOOKUP(B96,Disk_Pivot!G:G,Disk_Pivot!N:N)</f>
        <v>Fail</v>
      </c>
      <c r="V96">
        <f>IF(U96="Fail",MacReports!N96,"")</f>
        <v>0</v>
      </c>
      <c r="AB96" t="str">
        <f t="shared" si="4"/>
        <v/>
      </c>
    </row>
    <row r="97" spans="1:28">
      <c r="A97" t="str">
        <f>MacReports!A97</f>
        <v/>
      </c>
      <c r="B97">
        <f>MacReports!B97</f>
        <v>0</v>
      </c>
      <c r="C97">
        <f>MacReports!C97</f>
        <v>0</v>
      </c>
      <c r="E97" t="e">
        <f>_xlfn.XLOOKUP(G97,Models!A:A,Models!F:F)</f>
        <v>#N/A</v>
      </c>
      <c r="F97" t="str">
        <f>_xlfn.XLOOKUP(B97,MacReports!B:B,MacReports!D:D,"")</f>
        <v/>
      </c>
      <c r="G97" s="13">
        <f>MacReports!E97</f>
        <v>0</v>
      </c>
      <c r="H97" t="e">
        <f>_xlfn.XLOOKUP(G97,Models!A:A,Models!B:B)</f>
        <v>#N/A</v>
      </c>
      <c r="I97" t="e">
        <f>_xlfn.XLOOKUP(G97,Models!A:A,Models!E:E)</f>
        <v>#N/A</v>
      </c>
      <c r="J97" t="e">
        <f>_xlfn.XLOOKUP(G97,Models!A:A,Models!D:D)</f>
        <v>#N/A</v>
      </c>
      <c r="K97">
        <f>MacReports!F97</f>
        <v>0</v>
      </c>
      <c r="L97">
        <f>MacReports!G97</f>
        <v>0</v>
      </c>
      <c r="M97" s="15" t="e" cm="1">
        <f t="array" ref="M97">--_xlfn.LET(
    _xlpm.txt, MacReports!H97,
    _xlpm.chars, MID(_xlpm.txt, _xlfn.SEQUENCE(LEN(_xlpm.txt)), 1),
    _xlfn.TEXTJOIN("", TRUE, IF(ISNUMBER(--_xlpm.chars), _xlpm.chars, ""))
)</f>
        <v>#VALUE!</v>
      </c>
      <c r="N97" s="16" t="str" cm="1">
        <f t="array" ref="N97">_xlfn.IFS(
   --MacReports!M97&lt;55,"Battery Defect",
  -- MacReports!M97&lt;=69,"Battery D",
  --MacReports!M97&lt;=80,"Battery C",
 --MacReports!M97&gt;80,""
)</f>
        <v>Battery Defect</v>
      </c>
      <c r="O97" s="16" t="str">
        <f>IF(MacReports!I97="Service","Battery Service","")</f>
        <v/>
      </c>
      <c r="P97" s="13">
        <f>MacReports!P97</f>
        <v>0</v>
      </c>
      <c r="Q97" s="13" t="str">
        <f>IF(MacReports!J97="Enabled","Apple ID Lock","")</f>
        <v/>
      </c>
      <c r="R97" s="13" t="str">
        <f>IF(MacReports!L97="y","Remote Locked","")</f>
        <v/>
      </c>
      <c r="S97" t="str">
        <f t="shared" si="3"/>
        <v>Battery Defect, 0</v>
      </c>
      <c r="T97" t="str">
        <f>_xlfn.XLOOKUP(B97,Disk_Pivot!G:G,Disk_Pivot!I:I)</f>
        <v>Yes</v>
      </c>
      <c r="U97" t="str">
        <f>_xlfn.XLOOKUP(B97,Disk_Pivot!G:G,Disk_Pivot!N:N)</f>
        <v>Fail</v>
      </c>
      <c r="V97">
        <f>IF(U97="Fail",MacReports!N97,"")</f>
        <v>0</v>
      </c>
      <c r="AB97" t="str">
        <f t="shared" si="4"/>
        <v/>
      </c>
    </row>
    <row r="98" spans="1:28">
      <c r="A98" t="str">
        <f>MacReports!A98</f>
        <v/>
      </c>
      <c r="B98">
        <f>MacReports!B98</f>
        <v>0</v>
      </c>
      <c r="C98">
        <f>MacReports!C98</f>
        <v>0</v>
      </c>
      <c r="E98" t="e">
        <f>_xlfn.XLOOKUP(G98,Models!A:A,Models!F:F)</f>
        <v>#N/A</v>
      </c>
      <c r="F98" t="str">
        <f>_xlfn.XLOOKUP(B98,MacReports!B:B,MacReports!D:D,"")</f>
        <v/>
      </c>
      <c r="G98" s="13">
        <f>MacReports!E98</f>
        <v>0</v>
      </c>
      <c r="H98" t="e">
        <f>_xlfn.XLOOKUP(G98,Models!A:A,Models!B:B)</f>
        <v>#N/A</v>
      </c>
      <c r="I98" t="e">
        <f>_xlfn.XLOOKUP(G98,Models!A:A,Models!E:E)</f>
        <v>#N/A</v>
      </c>
      <c r="J98" t="e">
        <f>_xlfn.XLOOKUP(G98,Models!A:A,Models!D:D)</f>
        <v>#N/A</v>
      </c>
      <c r="K98">
        <f>MacReports!F98</f>
        <v>0</v>
      </c>
      <c r="L98">
        <f>MacReports!G98</f>
        <v>0</v>
      </c>
      <c r="M98" s="15" t="e" cm="1">
        <f t="array" ref="M98">--_xlfn.LET(
    _xlpm.txt, MacReports!H98,
    _xlpm.chars, MID(_xlpm.txt, _xlfn.SEQUENCE(LEN(_xlpm.txt)), 1),
    _xlfn.TEXTJOIN("", TRUE, IF(ISNUMBER(--_xlpm.chars), _xlpm.chars, ""))
)</f>
        <v>#VALUE!</v>
      </c>
      <c r="N98" s="16" t="str" cm="1">
        <f t="array" ref="N98">_xlfn.IFS(
   --MacReports!M98&lt;55,"Battery Defect",
  -- MacReports!M98&lt;=69,"Battery D",
  --MacReports!M98&lt;=80,"Battery C",
 --MacReports!M98&gt;80,""
)</f>
        <v>Battery Defect</v>
      </c>
      <c r="O98" s="16" t="str">
        <f>IF(MacReports!I98="Service","Battery Service","")</f>
        <v/>
      </c>
      <c r="P98" s="13">
        <f>MacReports!P98</f>
        <v>0</v>
      </c>
      <c r="Q98" s="13" t="str">
        <f>IF(MacReports!J98="Enabled","Apple ID Lock","")</f>
        <v/>
      </c>
      <c r="R98" s="13" t="str">
        <f>IF(MacReports!L98="y","Remote Locked","")</f>
        <v/>
      </c>
      <c r="S98" t="str">
        <f t="shared" si="3"/>
        <v>Battery Defect, 0</v>
      </c>
      <c r="T98" t="str">
        <f>_xlfn.XLOOKUP(B98,Disk_Pivot!G:G,Disk_Pivot!I:I)</f>
        <v>Yes</v>
      </c>
      <c r="U98" t="str">
        <f>_xlfn.XLOOKUP(B98,Disk_Pivot!G:G,Disk_Pivot!N:N)</f>
        <v>Fail</v>
      </c>
      <c r="V98">
        <f>IF(U98="Fail",MacReports!N98,"")</f>
        <v>0</v>
      </c>
      <c r="AB98" t="str">
        <f t="shared" si="4"/>
        <v/>
      </c>
    </row>
    <row r="99" spans="1:28">
      <c r="A99" t="str">
        <f>MacReports!A99</f>
        <v/>
      </c>
      <c r="B99">
        <f>MacReports!B99</f>
        <v>0</v>
      </c>
      <c r="C99">
        <f>MacReports!C99</f>
        <v>0</v>
      </c>
      <c r="E99" t="e">
        <f>_xlfn.XLOOKUP(G99,Models!A:A,Models!F:F)</f>
        <v>#N/A</v>
      </c>
      <c r="F99" t="str">
        <f>_xlfn.XLOOKUP(B99,MacReports!B:B,MacReports!D:D,"")</f>
        <v/>
      </c>
      <c r="G99" s="13">
        <f>MacReports!E99</f>
        <v>0</v>
      </c>
      <c r="H99" t="e">
        <f>_xlfn.XLOOKUP(G99,Models!A:A,Models!B:B)</f>
        <v>#N/A</v>
      </c>
      <c r="I99" t="e">
        <f>_xlfn.XLOOKUP(G99,Models!A:A,Models!E:E)</f>
        <v>#N/A</v>
      </c>
      <c r="J99" t="e">
        <f>_xlfn.XLOOKUP(G99,Models!A:A,Models!D:D)</f>
        <v>#N/A</v>
      </c>
      <c r="K99">
        <f>MacReports!F99</f>
        <v>0</v>
      </c>
      <c r="L99">
        <f>MacReports!G99</f>
        <v>0</v>
      </c>
      <c r="M99" s="15" t="e" cm="1">
        <f t="array" ref="M99">--_xlfn.LET(
    _xlpm.txt, MacReports!H99,
    _xlpm.chars, MID(_xlpm.txt, _xlfn.SEQUENCE(LEN(_xlpm.txt)), 1),
    _xlfn.TEXTJOIN("", TRUE, IF(ISNUMBER(--_xlpm.chars), _xlpm.chars, ""))
)</f>
        <v>#VALUE!</v>
      </c>
      <c r="N99" s="16" t="str" cm="1">
        <f t="array" ref="N99">_xlfn.IFS(
   --MacReports!M99&lt;55,"Battery Defect",
  -- MacReports!M99&lt;=69,"Battery D",
  --MacReports!M99&lt;=80,"Battery C",
 --MacReports!M99&gt;80,""
)</f>
        <v>Battery Defect</v>
      </c>
      <c r="O99" s="16" t="str">
        <f>IF(MacReports!I99="Service","Battery Service","")</f>
        <v/>
      </c>
      <c r="P99" s="13">
        <f>MacReports!P99</f>
        <v>0</v>
      </c>
      <c r="Q99" s="13" t="str">
        <f>IF(MacReports!J99="Enabled","Apple ID Lock","")</f>
        <v/>
      </c>
      <c r="R99" s="13" t="str">
        <f>IF(MacReports!L99="y","Remote Locked","")</f>
        <v/>
      </c>
      <c r="S99" t="str">
        <f t="shared" ref="S99:S162" si="5">_xlfn.TEXTJOIN(", ",TRUE,Q99,R99,N99,O99,P99)</f>
        <v>Battery Defect, 0</v>
      </c>
      <c r="T99" t="str">
        <f>_xlfn.XLOOKUP(B99,Disk_Pivot!G:G,Disk_Pivot!I:I)</f>
        <v>Yes</v>
      </c>
      <c r="U99" t="str">
        <f>_xlfn.XLOOKUP(B99,Disk_Pivot!G:G,Disk_Pivot!N:N)</f>
        <v>Fail</v>
      </c>
      <c r="V99">
        <f>IF(U99="Fail",MacReports!N99,"")</f>
        <v>0</v>
      </c>
      <c r="AB99" t="str">
        <f t="shared" ref="AB99:AB162" si="6">_xlfn.TEXTJOIN(", ",TRUE,Q99,R99)</f>
        <v/>
      </c>
    </row>
    <row r="100" spans="1:28">
      <c r="A100" t="str">
        <f>MacReports!A100</f>
        <v/>
      </c>
      <c r="B100">
        <f>MacReports!B100</f>
        <v>0</v>
      </c>
      <c r="C100">
        <f>MacReports!C100</f>
        <v>0</v>
      </c>
      <c r="E100" t="e">
        <f>_xlfn.XLOOKUP(G100,Models!A:A,Models!F:F)</f>
        <v>#N/A</v>
      </c>
      <c r="F100" t="str">
        <f>_xlfn.XLOOKUP(B100,MacReports!B:B,MacReports!D:D,"")</f>
        <v/>
      </c>
      <c r="G100" s="13">
        <f>MacReports!E100</f>
        <v>0</v>
      </c>
      <c r="H100" t="e">
        <f>_xlfn.XLOOKUP(G100,Models!A:A,Models!B:B)</f>
        <v>#N/A</v>
      </c>
      <c r="I100" t="e">
        <f>_xlfn.XLOOKUP(G100,Models!A:A,Models!E:E)</f>
        <v>#N/A</v>
      </c>
      <c r="J100" t="e">
        <f>_xlfn.XLOOKUP(G100,Models!A:A,Models!D:D)</f>
        <v>#N/A</v>
      </c>
      <c r="K100">
        <f>MacReports!F100</f>
        <v>0</v>
      </c>
      <c r="L100">
        <f>MacReports!G100</f>
        <v>0</v>
      </c>
      <c r="M100" s="15" t="e" cm="1">
        <f t="array" ref="M100">--_xlfn.LET(
    _xlpm.txt, MacReports!H100,
    _xlpm.chars, MID(_xlpm.txt, _xlfn.SEQUENCE(LEN(_xlpm.txt)), 1),
    _xlfn.TEXTJOIN("", TRUE, IF(ISNUMBER(--_xlpm.chars), _xlpm.chars, ""))
)</f>
        <v>#VALUE!</v>
      </c>
      <c r="N100" s="16" t="str" cm="1">
        <f t="array" ref="N100">_xlfn.IFS(
   --MacReports!M100&lt;55,"Battery Defect",
  -- MacReports!M100&lt;=69,"Battery D",
  --MacReports!M100&lt;=80,"Battery C",
 --MacReports!M100&gt;80,""
)</f>
        <v>Battery Defect</v>
      </c>
      <c r="O100" s="16" t="str">
        <f>IF(MacReports!I100="Service","Battery Service","")</f>
        <v/>
      </c>
      <c r="P100" s="13">
        <f>MacReports!P100</f>
        <v>0</v>
      </c>
      <c r="Q100" s="13" t="str">
        <f>IF(MacReports!J100="Enabled","Apple ID Lock","")</f>
        <v/>
      </c>
      <c r="R100" s="13" t="str">
        <f>IF(MacReports!L100="y","Remote Locked","")</f>
        <v/>
      </c>
      <c r="S100" t="str">
        <f t="shared" si="5"/>
        <v>Battery Defect, 0</v>
      </c>
      <c r="T100" t="str">
        <f>_xlfn.XLOOKUP(B100,Disk_Pivot!G:G,Disk_Pivot!I:I)</f>
        <v>Yes</v>
      </c>
      <c r="U100" t="str">
        <f>_xlfn.XLOOKUP(B100,Disk_Pivot!G:G,Disk_Pivot!N:N)</f>
        <v>Fail</v>
      </c>
      <c r="V100">
        <f>IF(U100="Fail",MacReports!N100,"")</f>
        <v>0</v>
      </c>
      <c r="AB100" t="str">
        <f t="shared" si="6"/>
        <v/>
      </c>
    </row>
    <row r="101" spans="1:28">
      <c r="A101" t="str">
        <f>MacReports!A101</f>
        <v/>
      </c>
      <c r="B101">
        <f>MacReports!B101</f>
        <v>0</v>
      </c>
      <c r="C101">
        <f>MacReports!C101</f>
        <v>0</v>
      </c>
      <c r="E101" t="e">
        <f>_xlfn.XLOOKUP(G101,Models!A:A,Models!F:F)</f>
        <v>#N/A</v>
      </c>
      <c r="F101" t="str">
        <f>_xlfn.XLOOKUP(B101,MacReports!B:B,MacReports!D:D,"")</f>
        <v/>
      </c>
      <c r="G101" s="13">
        <f>MacReports!E101</f>
        <v>0</v>
      </c>
      <c r="H101" t="e">
        <f>_xlfn.XLOOKUP(G101,Models!A:A,Models!B:B)</f>
        <v>#N/A</v>
      </c>
      <c r="I101" t="e">
        <f>_xlfn.XLOOKUP(G101,Models!A:A,Models!E:E)</f>
        <v>#N/A</v>
      </c>
      <c r="J101" t="e">
        <f>_xlfn.XLOOKUP(G101,Models!A:A,Models!D:D)</f>
        <v>#N/A</v>
      </c>
      <c r="K101">
        <f>MacReports!F101</f>
        <v>0</v>
      </c>
      <c r="L101">
        <f>MacReports!G101</f>
        <v>0</v>
      </c>
      <c r="M101" s="15" t="e" cm="1">
        <f t="array" ref="M101">--_xlfn.LET(
    _xlpm.txt, MacReports!H101,
    _xlpm.chars, MID(_xlpm.txt, _xlfn.SEQUENCE(LEN(_xlpm.txt)), 1),
    _xlfn.TEXTJOIN("", TRUE, IF(ISNUMBER(--_xlpm.chars), _xlpm.chars, ""))
)</f>
        <v>#VALUE!</v>
      </c>
      <c r="N101" s="16" t="str" cm="1">
        <f t="array" ref="N101">_xlfn.IFS(
   --MacReports!M101&lt;55,"Battery Defect",
  -- MacReports!M101&lt;=69,"Battery D",
  --MacReports!M101&lt;=80,"Battery C",
 --MacReports!M101&gt;80,""
)</f>
        <v>Battery Defect</v>
      </c>
      <c r="O101" s="16" t="str">
        <f>IF(MacReports!I101="Service","Battery Service","")</f>
        <v/>
      </c>
      <c r="P101" s="13">
        <f>MacReports!P101</f>
        <v>0</v>
      </c>
      <c r="Q101" s="13" t="str">
        <f>IF(MacReports!J101="Enabled","Apple ID Lock","")</f>
        <v/>
      </c>
      <c r="R101" s="13" t="str">
        <f>IF(MacReports!L101="y","Remote Locked","")</f>
        <v/>
      </c>
      <c r="S101" t="str">
        <f t="shared" si="5"/>
        <v>Battery Defect, 0</v>
      </c>
      <c r="T101" t="str">
        <f>_xlfn.XLOOKUP(B101,Disk_Pivot!G:G,Disk_Pivot!I:I)</f>
        <v>Yes</v>
      </c>
      <c r="U101" t="str">
        <f>_xlfn.XLOOKUP(B101,Disk_Pivot!G:G,Disk_Pivot!N:N)</f>
        <v>Fail</v>
      </c>
      <c r="V101">
        <f>IF(U101="Fail",MacReports!N101,"")</f>
        <v>0</v>
      </c>
      <c r="AB101" t="str">
        <f t="shared" si="6"/>
        <v/>
      </c>
    </row>
    <row r="102" spans="1:28">
      <c r="A102" t="str">
        <f>MacReports!A102</f>
        <v/>
      </c>
      <c r="B102">
        <f>MacReports!B102</f>
        <v>0</v>
      </c>
      <c r="C102">
        <f>MacReports!C102</f>
        <v>0</v>
      </c>
      <c r="E102" t="e">
        <f>_xlfn.XLOOKUP(G102,Models!A:A,Models!F:F)</f>
        <v>#N/A</v>
      </c>
      <c r="F102" t="str">
        <f>_xlfn.XLOOKUP(B102,MacReports!B:B,MacReports!D:D,"")</f>
        <v/>
      </c>
      <c r="G102" s="13">
        <f>MacReports!E102</f>
        <v>0</v>
      </c>
      <c r="H102" t="e">
        <f>_xlfn.XLOOKUP(G102,Models!A:A,Models!B:B)</f>
        <v>#N/A</v>
      </c>
      <c r="I102" t="e">
        <f>_xlfn.XLOOKUP(G102,Models!A:A,Models!E:E)</f>
        <v>#N/A</v>
      </c>
      <c r="J102" t="e">
        <f>_xlfn.XLOOKUP(G102,Models!A:A,Models!D:D)</f>
        <v>#N/A</v>
      </c>
      <c r="K102">
        <f>MacReports!F102</f>
        <v>0</v>
      </c>
      <c r="L102">
        <f>MacReports!G102</f>
        <v>0</v>
      </c>
      <c r="M102" s="15" t="e" cm="1">
        <f t="array" ref="M102">--_xlfn.LET(
    _xlpm.txt, MacReports!H102,
    _xlpm.chars, MID(_xlpm.txt, _xlfn.SEQUENCE(LEN(_xlpm.txt)), 1),
    _xlfn.TEXTJOIN("", TRUE, IF(ISNUMBER(--_xlpm.chars), _xlpm.chars, ""))
)</f>
        <v>#VALUE!</v>
      </c>
      <c r="N102" s="16" t="str" cm="1">
        <f t="array" ref="N102">_xlfn.IFS(
   --MacReports!M102&lt;55,"Battery Defect",
  -- MacReports!M102&lt;=69,"Battery D",
  --MacReports!M102&lt;=80,"Battery C",
 --MacReports!M102&gt;80,""
)</f>
        <v>Battery Defect</v>
      </c>
      <c r="O102" s="16" t="str">
        <f>IF(MacReports!I102="Service","Battery Service","")</f>
        <v/>
      </c>
      <c r="P102" s="13">
        <f>MacReports!P102</f>
        <v>0</v>
      </c>
      <c r="Q102" s="13" t="str">
        <f>IF(MacReports!J102="Enabled","Apple ID Lock","")</f>
        <v/>
      </c>
      <c r="R102" s="13" t="str">
        <f>IF(MacReports!L102="y","Remote Locked","")</f>
        <v/>
      </c>
      <c r="S102" t="str">
        <f t="shared" si="5"/>
        <v>Battery Defect, 0</v>
      </c>
      <c r="T102" t="str">
        <f>_xlfn.XLOOKUP(B102,Disk_Pivot!G:G,Disk_Pivot!I:I)</f>
        <v>Yes</v>
      </c>
      <c r="U102" t="str">
        <f>_xlfn.XLOOKUP(B102,Disk_Pivot!G:G,Disk_Pivot!N:N)</f>
        <v>Fail</v>
      </c>
      <c r="V102">
        <f>IF(U102="Fail",MacReports!N102,"")</f>
        <v>0</v>
      </c>
      <c r="AB102" t="str">
        <f t="shared" si="6"/>
        <v/>
      </c>
    </row>
    <row r="103" spans="1:28">
      <c r="A103" t="str">
        <f>MacReports!A103</f>
        <v/>
      </c>
      <c r="B103">
        <f>MacReports!B103</f>
        <v>0</v>
      </c>
      <c r="C103">
        <f>MacReports!C103</f>
        <v>0</v>
      </c>
      <c r="E103" t="e">
        <f>_xlfn.XLOOKUP(G103,Models!A:A,Models!F:F)</f>
        <v>#N/A</v>
      </c>
      <c r="F103" t="str">
        <f>_xlfn.XLOOKUP(B103,MacReports!B:B,MacReports!D:D,"")</f>
        <v/>
      </c>
      <c r="G103" s="13">
        <f>MacReports!E103</f>
        <v>0</v>
      </c>
      <c r="H103" t="e">
        <f>_xlfn.XLOOKUP(G103,Models!A:A,Models!B:B)</f>
        <v>#N/A</v>
      </c>
      <c r="I103" t="e">
        <f>_xlfn.XLOOKUP(G103,Models!A:A,Models!E:E)</f>
        <v>#N/A</v>
      </c>
      <c r="J103" t="e">
        <f>_xlfn.XLOOKUP(G103,Models!A:A,Models!D:D)</f>
        <v>#N/A</v>
      </c>
      <c r="K103">
        <f>MacReports!F103</f>
        <v>0</v>
      </c>
      <c r="L103">
        <f>MacReports!G103</f>
        <v>0</v>
      </c>
      <c r="M103" s="15" t="e" cm="1">
        <f t="array" ref="M103">--_xlfn.LET(
    _xlpm.txt, MacReports!H103,
    _xlpm.chars, MID(_xlpm.txt, _xlfn.SEQUENCE(LEN(_xlpm.txt)), 1),
    _xlfn.TEXTJOIN("", TRUE, IF(ISNUMBER(--_xlpm.chars), _xlpm.chars, ""))
)</f>
        <v>#VALUE!</v>
      </c>
      <c r="N103" s="16" t="str" cm="1">
        <f t="array" ref="N103">_xlfn.IFS(
   --MacReports!M103&lt;55,"Battery Defect",
  -- MacReports!M103&lt;=69,"Battery D",
  --MacReports!M103&lt;=80,"Battery C",
 --MacReports!M103&gt;80,""
)</f>
        <v>Battery Defect</v>
      </c>
      <c r="O103" s="16" t="str">
        <f>IF(MacReports!I103="Service","Battery Service","")</f>
        <v/>
      </c>
      <c r="P103" s="13">
        <f>MacReports!P103</f>
        <v>0</v>
      </c>
      <c r="Q103" s="13" t="str">
        <f>IF(MacReports!J103="Enabled","Apple ID Lock","")</f>
        <v/>
      </c>
      <c r="R103" s="13" t="str">
        <f>IF(MacReports!L103="y","Remote Locked","")</f>
        <v/>
      </c>
      <c r="S103" t="str">
        <f t="shared" si="5"/>
        <v>Battery Defect, 0</v>
      </c>
      <c r="T103" t="str">
        <f>_xlfn.XLOOKUP(B103,Disk_Pivot!G:G,Disk_Pivot!I:I)</f>
        <v>Yes</v>
      </c>
      <c r="U103" t="str">
        <f>_xlfn.XLOOKUP(B103,Disk_Pivot!G:G,Disk_Pivot!N:N)</f>
        <v>Fail</v>
      </c>
      <c r="V103">
        <f>IF(U103="Fail",MacReports!N103,"")</f>
        <v>0</v>
      </c>
      <c r="AB103" t="str">
        <f t="shared" si="6"/>
        <v/>
      </c>
    </row>
    <row r="104" spans="1:28">
      <c r="A104" t="str">
        <f>MacReports!A104</f>
        <v/>
      </c>
      <c r="B104">
        <f>MacReports!B104</f>
        <v>0</v>
      </c>
      <c r="C104">
        <f>MacReports!C104</f>
        <v>0</v>
      </c>
      <c r="E104" t="e">
        <f>_xlfn.XLOOKUP(G104,Models!A:A,Models!F:F)</f>
        <v>#N/A</v>
      </c>
      <c r="F104" t="str">
        <f>_xlfn.XLOOKUP(B104,MacReports!B:B,MacReports!D:D,"")</f>
        <v/>
      </c>
      <c r="G104" s="13">
        <f>MacReports!E104</f>
        <v>0</v>
      </c>
      <c r="H104" t="e">
        <f>_xlfn.XLOOKUP(G104,Models!A:A,Models!B:B)</f>
        <v>#N/A</v>
      </c>
      <c r="I104" t="e">
        <f>_xlfn.XLOOKUP(G104,Models!A:A,Models!E:E)</f>
        <v>#N/A</v>
      </c>
      <c r="J104" t="e">
        <f>_xlfn.XLOOKUP(G104,Models!A:A,Models!D:D)</f>
        <v>#N/A</v>
      </c>
      <c r="K104">
        <f>MacReports!F104</f>
        <v>0</v>
      </c>
      <c r="L104">
        <f>MacReports!G104</f>
        <v>0</v>
      </c>
      <c r="M104" s="15" t="e" cm="1">
        <f t="array" ref="M104">--_xlfn.LET(
    _xlpm.txt, MacReports!H104,
    _xlpm.chars, MID(_xlpm.txt, _xlfn.SEQUENCE(LEN(_xlpm.txt)), 1),
    _xlfn.TEXTJOIN("", TRUE, IF(ISNUMBER(--_xlpm.chars), _xlpm.chars, ""))
)</f>
        <v>#VALUE!</v>
      </c>
      <c r="N104" s="16" t="str" cm="1">
        <f t="array" ref="N104">_xlfn.IFS(
   --MacReports!M104&lt;55,"Battery Defect",
  -- MacReports!M104&lt;=69,"Battery D",
  --MacReports!M104&lt;=80,"Battery C",
 --MacReports!M104&gt;80,""
)</f>
        <v>Battery Defect</v>
      </c>
      <c r="O104" s="16" t="str">
        <f>IF(MacReports!I104="Service","Battery Service","")</f>
        <v/>
      </c>
      <c r="P104" s="13">
        <f>MacReports!P104</f>
        <v>0</v>
      </c>
      <c r="Q104" s="13" t="str">
        <f>IF(MacReports!J104="Enabled","Apple ID Lock","")</f>
        <v/>
      </c>
      <c r="R104" s="13" t="str">
        <f>IF(MacReports!L104="y","Remote Locked","")</f>
        <v/>
      </c>
      <c r="S104" t="str">
        <f t="shared" si="5"/>
        <v>Battery Defect, 0</v>
      </c>
      <c r="T104" t="str">
        <f>_xlfn.XLOOKUP(B104,Disk_Pivot!G:G,Disk_Pivot!I:I)</f>
        <v>Yes</v>
      </c>
      <c r="U104" t="str">
        <f>_xlfn.XLOOKUP(B104,Disk_Pivot!G:G,Disk_Pivot!N:N)</f>
        <v>Fail</v>
      </c>
      <c r="V104">
        <f>IF(U104="Fail",MacReports!N104,"")</f>
        <v>0</v>
      </c>
      <c r="AB104" t="str">
        <f t="shared" si="6"/>
        <v/>
      </c>
    </row>
    <row r="105" spans="1:28">
      <c r="A105" t="str">
        <f>MacReports!A105</f>
        <v/>
      </c>
      <c r="B105">
        <f>MacReports!B105</f>
        <v>0</v>
      </c>
      <c r="C105">
        <f>MacReports!C105</f>
        <v>0</v>
      </c>
      <c r="E105" t="e">
        <f>_xlfn.XLOOKUP(G105,Models!A:A,Models!F:F)</f>
        <v>#N/A</v>
      </c>
      <c r="F105" t="str">
        <f>_xlfn.XLOOKUP(B105,MacReports!B:B,MacReports!D:D,"")</f>
        <v/>
      </c>
      <c r="G105" s="13">
        <f>MacReports!E105</f>
        <v>0</v>
      </c>
      <c r="H105" t="e">
        <f>_xlfn.XLOOKUP(G105,Models!A:A,Models!B:B)</f>
        <v>#N/A</v>
      </c>
      <c r="I105" t="e">
        <f>_xlfn.XLOOKUP(G105,Models!A:A,Models!E:E)</f>
        <v>#N/A</v>
      </c>
      <c r="J105" t="e">
        <f>_xlfn.XLOOKUP(G105,Models!A:A,Models!D:D)</f>
        <v>#N/A</v>
      </c>
      <c r="K105">
        <f>MacReports!F105</f>
        <v>0</v>
      </c>
      <c r="L105">
        <f>MacReports!G105</f>
        <v>0</v>
      </c>
      <c r="M105" s="15" t="e" cm="1">
        <f t="array" ref="M105">--_xlfn.LET(
    _xlpm.txt, MacReports!H105,
    _xlpm.chars, MID(_xlpm.txt, _xlfn.SEQUENCE(LEN(_xlpm.txt)), 1),
    _xlfn.TEXTJOIN("", TRUE, IF(ISNUMBER(--_xlpm.chars), _xlpm.chars, ""))
)</f>
        <v>#VALUE!</v>
      </c>
      <c r="N105" s="16" t="str" cm="1">
        <f t="array" ref="N105">_xlfn.IFS(
   --MacReports!M105&lt;55,"Battery Defect",
  -- MacReports!M105&lt;=69,"Battery D",
  --MacReports!M105&lt;=80,"Battery C",
 --MacReports!M105&gt;80,""
)</f>
        <v>Battery Defect</v>
      </c>
      <c r="O105" s="16" t="str">
        <f>IF(MacReports!I105="Service","Battery Service","")</f>
        <v/>
      </c>
      <c r="P105" s="13">
        <f>MacReports!P105</f>
        <v>0</v>
      </c>
      <c r="Q105" s="13" t="str">
        <f>IF(MacReports!J105="Enabled","Apple ID Lock","")</f>
        <v/>
      </c>
      <c r="R105" s="13" t="str">
        <f>IF(MacReports!L105="y","Remote Locked","")</f>
        <v/>
      </c>
      <c r="S105" t="str">
        <f t="shared" si="5"/>
        <v>Battery Defect, 0</v>
      </c>
      <c r="T105" t="str">
        <f>_xlfn.XLOOKUP(B105,Disk_Pivot!G:G,Disk_Pivot!I:I)</f>
        <v>Yes</v>
      </c>
      <c r="U105" t="str">
        <f>_xlfn.XLOOKUP(B105,Disk_Pivot!G:G,Disk_Pivot!N:N)</f>
        <v>Fail</v>
      </c>
      <c r="V105">
        <f>IF(U105="Fail",MacReports!N105,"")</f>
        <v>0</v>
      </c>
      <c r="AB105" t="str">
        <f t="shared" si="6"/>
        <v/>
      </c>
    </row>
    <row r="106" spans="1:28">
      <c r="A106" t="str">
        <f>MacReports!A106</f>
        <v/>
      </c>
      <c r="B106">
        <f>MacReports!B106</f>
        <v>0</v>
      </c>
      <c r="C106">
        <f>MacReports!C106</f>
        <v>0</v>
      </c>
      <c r="E106" t="e">
        <f>_xlfn.XLOOKUP(G106,Models!A:A,Models!F:F)</f>
        <v>#N/A</v>
      </c>
      <c r="F106" t="str">
        <f>_xlfn.XLOOKUP(B106,MacReports!B:B,MacReports!D:D,"")</f>
        <v/>
      </c>
      <c r="G106" s="13">
        <f>MacReports!E106</f>
        <v>0</v>
      </c>
      <c r="H106" t="e">
        <f>_xlfn.XLOOKUP(G106,Models!A:A,Models!B:B)</f>
        <v>#N/A</v>
      </c>
      <c r="I106" t="e">
        <f>_xlfn.XLOOKUP(G106,Models!A:A,Models!E:E)</f>
        <v>#N/A</v>
      </c>
      <c r="J106" t="e">
        <f>_xlfn.XLOOKUP(G106,Models!A:A,Models!D:D)</f>
        <v>#N/A</v>
      </c>
      <c r="K106">
        <f>MacReports!F106</f>
        <v>0</v>
      </c>
      <c r="L106">
        <f>MacReports!G106</f>
        <v>0</v>
      </c>
      <c r="M106" s="15" t="e" cm="1">
        <f t="array" ref="M106">--_xlfn.LET(
    _xlpm.txt, MacReports!H106,
    _xlpm.chars, MID(_xlpm.txt, _xlfn.SEQUENCE(LEN(_xlpm.txt)), 1),
    _xlfn.TEXTJOIN("", TRUE, IF(ISNUMBER(--_xlpm.chars), _xlpm.chars, ""))
)</f>
        <v>#VALUE!</v>
      </c>
      <c r="N106" s="16" t="str" cm="1">
        <f t="array" ref="N106">_xlfn.IFS(
   --MacReports!M106&lt;55,"Battery Defect",
  -- MacReports!M106&lt;=69,"Battery D",
  --MacReports!M106&lt;=80,"Battery C",
 --MacReports!M106&gt;80,""
)</f>
        <v>Battery Defect</v>
      </c>
      <c r="O106" s="16" t="str">
        <f>IF(MacReports!I106="Service","Battery Service","")</f>
        <v/>
      </c>
      <c r="P106" s="13">
        <f>MacReports!P106</f>
        <v>0</v>
      </c>
      <c r="Q106" s="13" t="str">
        <f>IF(MacReports!J106="Enabled","Apple ID Lock","")</f>
        <v/>
      </c>
      <c r="R106" s="13" t="str">
        <f>IF(MacReports!L106="y","Remote Locked","")</f>
        <v/>
      </c>
      <c r="S106" t="str">
        <f t="shared" si="5"/>
        <v>Battery Defect, 0</v>
      </c>
      <c r="T106" t="str">
        <f>_xlfn.XLOOKUP(B106,Disk_Pivot!G:G,Disk_Pivot!I:I)</f>
        <v>Yes</v>
      </c>
      <c r="U106" t="str">
        <f>_xlfn.XLOOKUP(B106,Disk_Pivot!G:G,Disk_Pivot!N:N)</f>
        <v>Fail</v>
      </c>
      <c r="V106">
        <f>IF(U106="Fail",MacReports!N106,"")</f>
        <v>0</v>
      </c>
      <c r="AB106" t="str">
        <f t="shared" si="6"/>
        <v/>
      </c>
    </row>
    <row r="107" spans="1:28">
      <c r="A107" t="str">
        <f>MacReports!A107</f>
        <v/>
      </c>
      <c r="B107">
        <f>MacReports!B107</f>
        <v>0</v>
      </c>
      <c r="C107">
        <f>MacReports!C107</f>
        <v>0</v>
      </c>
      <c r="E107" t="e">
        <f>_xlfn.XLOOKUP(G107,Models!A:A,Models!F:F)</f>
        <v>#N/A</v>
      </c>
      <c r="F107" t="str">
        <f>_xlfn.XLOOKUP(B107,MacReports!B:B,MacReports!D:D,"")</f>
        <v/>
      </c>
      <c r="G107" s="13">
        <f>MacReports!E107</f>
        <v>0</v>
      </c>
      <c r="H107" t="e">
        <f>_xlfn.XLOOKUP(G107,Models!A:A,Models!B:B)</f>
        <v>#N/A</v>
      </c>
      <c r="I107" t="e">
        <f>_xlfn.XLOOKUP(G107,Models!A:A,Models!E:E)</f>
        <v>#N/A</v>
      </c>
      <c r="J107" t="e">
        <f>_xlfn.XLOOKUP(G107,Models!A:A,Models!D:D)</f>
        <v>#N/A</v>
      </c>
      <c r="K107">
        <f>MacReports!F107</f>
        <v>0</v>
      </c>
      <c r="L107">
        <f>MacReports!G107</f>
        <v>0</v>
      </c>
      <c r="M107" s="15" t="e" cm="1">
        <f t="array" ref="M107">--_xlfn.LET(
    _xlpm.txt, MacReports!H107,
    _xlpm.chars, MID(_xlpm.txt, _xlfn.SEQUENCE(LEN(_xlpm.txt)), 1),
    _xlfn.TEXTJOIN("", TRUE, IF(ISNUMBER(--_xlpm.chars), _xlpm.chars, ""))
)</f>
        <v>#VALUE!</v>
      </c>
      <c r="N107" s="16" t="str" cm="1">
        <f t="array" ref="N107">_xlfn.IFS(
   --MacReports!M107&lt;55,"Battery Defect",
  -- MacReports!M107&lt;=69,"Battery D",
  --MacReports!M107&lt;=80,"Battery C",
 --MacReports!M107&gt;80,""
)</f>
        <v>Battery Defect</v>
      </c>
      <c r="O107" s="16" t="str">
        <f>IF(MacReports!I107="Service","Battery Service","")</f>
        <v/>
      </c>
      <c r="P107" s="13">
        <f>MacReports!P107</f>
        <v>0</v>
      </c>
      <c r="Q107" s="13" t="str">
        <f>IF(MacReports!J107="Enabled","Apple ID Lock","")</f>
        <v/>
      </c>
      <c r="R107" s="13" t="str">
        <f>IF(MacReports!L107="y","Remote Locked","")</f>
        <v/>
      </c>
      <c r="S107" t="str">
        <f t="shared" si="5"/>
        <v>Battery Defect, 0</v>
      </c>
      <c r="T107" t="str">
        <f>_xlfn.XLOOKUP(B107,Disk_Pivot!G:G,Disk_Pivot!I:I)</f>
        <v>Yes</v>
      </c>
      <c r="U107" t="str">
        <f>_xlfn.XLOOKUP(B107,Disk_Pivot!G:G,Disk_Pivot!N:N)</f>
        <v>Fail</v>
      </c>
      <c r="V107">
        <f>IF(U107="Fail",MacReports!N107,"")</f>
        <v>0</v>
      </c>
      <c r="AB107" t="str">
        <f t="shared" si="6"/>
        <v/>
      </c>
    </row>
    <row r="108" spans="1:28">
      <c r="A108" t="str">
        <f>MacReports!A108</f>
        <v/>
      </c>
      <c r="B108">
        <f>MacReports!B108</f>
        <v>0</v>
      </c>
      <c r="C108">
        <f>MacReports!C108</f>
        <v>0</v>
      </c>
      <c r="E108" t="e">
        <f>_xlfn.XLOOKUP(G108,Models!A:A,Models!F:F)</f>
        <v>#N/A</v>
      </c>
      <c r="F108" t="str">
        <f>_xlfn.XLOOKUP(B108,MacReports!B:B,MacReports!D:D,"")</f>
        <v/>
      </c>
      <c r="G108" s="13">
        <f>MacReports!E108</f>
        <v>0</v>
      </c>
      <c r="H108" t="e">
        <f>_xlfn.XLOOKUP(G108,Models!A:A,Models!B:B)</f>
        <v>#N/A</v>
      </c>
      <c r="I108" t="e">
        <f>_xlfn.XLOOKUP(G108,Models!A:A,Models!E:E)</f>
        <v>#N/A</v>
      </c>
      <c r="J108" t="e">
        <f>_xlfn.XLOOKUP(G108,Models!A:A,Models!D:D)</f>
        <v>#N/A</v>
      </c>
      <c r="K108">
        <f>MacReports!F108</f>
        <v>0</v>
      </c>
      <c r="L108">
        <f>MacReports!G108</f>
        <v>0</v>
      </c>
      <c r="M108" s="15" t="e" cm="1">
        <f t="array" ref="M108">--_xlfn.LET(
    _xlpm.txt, MacReports!H108,
    _xlpm.chars, MID(_xlpm.txt, _xlfn.SEQUENCE(LEN(_xlpm.txt)), 1),
    _xlfn.TEXTJOIN("", TRUE, IF(ISNUMBER(--_xlpm.chars), _xlpm.chars, ""))
)</f>
        <v>#VALUE!</v>
      </c>
      <c r="N108" s="16" t="str" cm="1">
        <f t="array" ref="N108">_xlfn.IFS(
   --MacReports!M108&lt;55,"Battery Defect",
  -- MacReports!M108&lt;=69,"Battery D",
  --MacReports!M108&lt;=80,"Battery C",
 --MacReports!M108&gt;80,""
)</f>
        <v>Battery Defect</v>
      </c>
      <c r="O108" s="16" t="str">
        <f>IF(MacReports!I108="Service","Battery Service","")</f>
        <v/>
      </c>
      <c r="P108" s="13">
        <f>MacReports!P108</f>
        <v>0</v>
      </c>
      <c r="Q108" s="13" t="str">
        <f>IF(MacReports!J108="Enabled","Apple ID Lock","")</f>
        <v/>
      </c>
      <c r="R108" s="13" t="str">
        <f>IF(MacReports!L108="y","Remote Locked","")</f>
        <v/>
      </c>
      <c r="S108" t="str">
        <f t="shared" si="5"/>
        <v>Battery Defect, 0</v>
      </c>
      <c r="T108" t="str">
        <f>_xlfn.XLOOKUP(B108,Disk_Pivot!G:G,Disk_Pivot!I:I)</f>
        <v>Yes</v>
      </c>
      <c r="U108" t="str">
        <f>_xlfn.XLOOKUP(B108,Disk_Pivot!G:G,Disk_Pivot!N:N)</f>
        <v>Fail</v>
      </c>
      <c r="V108">
        <f>IF(U108="Fail",MacReports!N108,"")</f>
        <v>0</v>
      </c>
      <c r="AB108" t="str">
        <f t="shared" si="6"/>
        <v/>
      </c>
    </row>
    <row r="109" spans="1:28">
      <c r="A109" t="str">
        <f>MacReports!A109</f>
        <v/>
      </c>
      <c r="B109">
        <f>MacReports!B109</f>
        <v>0</v>
      </c>
      <c r="C109">
        <f>MacReports!C109</f>
        <v>0</v>
      </c>
      <c r="E109" t="e">
        <f>_xlfn.XLOOKUP(G109,Models!A:A,Models!F:F)</f>
        <v>#N/A</v>
      </c>
      <c r="F109" t="str">
        <f>_xlfn.XLOOKUP(B109,MacReports!B:B,MacReports!D:D,"")</f>
        <v/>
      </c>
      <c r="G109" s="13">
        <f>MacReports!E109</f>
        <v>0</v>
      </c>
      <c r="H109" t="e">
        <f>_xlfn.XLOOKUP(G109,Models!A:A,Models!B:B)</f>
        <v>#N/A</v>
      </c>
      <c r="I109" t="e">
        <f>_xlfn.XLOOKUP(G109,Models!A:A,Models!E:E)</f>
        <v>#N/A</v>
      </c>
      <c r="J109" t="e">
        <f>_xlfn.XLOOKUP(G109,Models!A:A,Models!D:D)</f>
        <v>#N/A</v>
      </c>
      <c r="K109">
        <f>MacReports!F109</f>
        <v>0</v>
      </c>
      <c r="L109">
        <f>MacReports!G109</f>
        <v>0</v>
      </c>
      <c r="M109" s="15" t="e" cm="1">
        <f t="array" ref="M109">--_xlfn.LET(
    _xlpm.txt, MacReports!H109,
    _xlpm.chars, MID(_xlpm.txt, _xlfn.SEQUENCE(LEN(_xlpm.txt)), 1),
    _xlfn.TEXTJOIN("", TRUE, IF(ISNUMBER(--_xlpm.chars), _xlpm.chars, ""))
)</f>
        <v>#VALUE!</v>
      </c>
      <c r="N109" s="16" t="str" cm="1">
        <f t="array" ref="N109">_xlfn.IFS(
   --MacReports!M109&lt;55,"Battery Defect",
  -- MacReports!M109&lt;=69,"Battery D",
  --MacReports!M109&lt;=80,"Battery C",
 --MacReports!M109&gt;80,""
)</f>
        <v>Battery Defect</v>
      </c>
      <c r="O109" s="16" t="str">
        <f>IF(MacReports!I109="Service","Battery Service","")</f>
        <v/>
      </c>
      <c r="P109" s="13">
        <f>MacReports!P109</f>
        <v>0</v>
      </c>
      <c r="Q109" s="13" t="str">
        <f>IF(MacReports!J109="Enabled","Apple ID Lock","")</f>
        <v/>
      </c>
      <c r="R109" s="13" t="str">
        <f>IF(MacReports!L109="y","Remote Locked","")</f>
        <v/>
      </c>
      <c r="S109" t="str">
        <f t="shared" si="5"/>
        <v>Battery Defect, 0</v>
      </c>
      <c r="T109" t="str">
        <f>_xlfn.XLOOKUP(B109,Disk_Pivot!G:G,Disk_Pivot!I:I)</f>
        <v>Yes</v>
      </c>
      <c r="U109" t="str">
        <f>_xlfn.XLOOKUP(B109,Disk_Pivot!G:G,Disk_Pivot!N:N)</f>
        <v>Fail</v>
      </c>
      <c r="V109">
        <f>IF(U109="Fail",MacReports!N109,"")</f>
        <v>0</v>
      </c>
      <c r="AB109" t="str">
        <f t="shared" si="6"/>
        <v/>
      </c>
    </row>
    <row r="110" spans="1:28">
      <c r="A110" t="str">
        <f>MacReports!A110</f>
        <v/>
      </c>
      <c r="B110">
        <f>MacReports!B110</f>
        <v>0</v>
      </c>
      <c r="C110">
        <f>MacReports!C110</f>
        <v>0</v>
      </c>
      <c r="E110" t="e">
        <f>_xlfn.XLOOKUP(G110,Models!A:A,Models!F:F)</f>
        <v>#N/A</v>
      </c>
      <c r="F110" t="str">
        <f>_xlfn.XLOOKUP(B110,MacReports!B:B,MacReports!D:D,"")</f>
        <v/>
      </c>
      <c r="G110" s="13">
        <f>MacReports!E110</f>
        <v>0</v>
      </c>
      <c r="H110" t="e">
        <f>_xlfn.XLOOKUP(G110,Models!A:A,Models!B:B)</f>
        <v>#N/A</v>
      </c>
      <c r="I110" t="e">
        <f>_xlfn.XLOOKUP(G110,Models!A:A,Models!E:E)</f>
        <v>#N/A</v>
      </c>
      <c r="J110" t="e">
        <f>_xlfn.XLOOKUP(G110,Models!A:A,Models!D:D)</f>
        <v>#N/A</v>
      </c>
      <c r="K110">
        <f>MacReports!F110</f>
        <v>0</v>
      </c>
      <c r="L110">
        <f>MacReports!G110</f>
        <v>0</v>
      </c>
      <c r="M110" s="15" t="e" cm="1">
        <f t="array" ref="M110">--_xlfn.LET(
    _xlpm.txt, MacReports!H110,
    _xlpm.chars, MID(_xlpm.txt, _xlfn.SEQUENCE(LEN(_xlpm.txt)), 1),
    _xlfn.TEXTJOIN("", TRUE, IF(ISNUMBER(--_xlpm.chars), _xlpm.chars, ""))
)</f>
        <v>#VALUE!</v>
      </c>
      <c r="N110" s="16" t="str" cm="1">
        <f t="array" ref="N110">_xlfn.IFS(
   --MacReports!M110&lt;55,"Battery Defect",
  -- MacReports!M110&lt;=69,"Battery D",
  --MacReports!M110&lt;=80,"Battery C",
 --MacReports!M110&gt;80,""
)</f>
        <v>Battery Defect</v>
      </c>
      <c r="O110" s="16" t="str">
        <f>IF(MacReports!I110="Service","Battery Service","")</f>
        <v/>
      </c>
      <c r="P110" s="13">
        <f>MacReports!P110</f>
        <v>0</v>
      </c>
      <c r="Q110" s="13" t="str">
        <f>IF(MacReports!J110="Enabled","Apple ID Lock","")</f>
        <v/>
      </c>
      <c r="R110" s="13" t="str">
        <f>IF(MacReports!L110="y","Remote Locked","")</f>
        <v/>
      </c>
      <c r="S110" t="str">
        <f t="shared" si="5"/>
        <v>Battery Defect, 0</v>
      </c>
      <c r="T110" t="str">
        <f>_xlfn.XLOOKUP(B110,Disk_Pivot!G:G,Disk_Pivot!I:I)</f>
        <v>Yes</v>
      </c>
      <c r="U110" t="str">
        <f>_xlfn.XLOOKUP(B110,Disk_Pivot!G:G,Disk_Pivot!N:N)</f>
        <v>Fail</v>
      </c>
      <c r="V110">
        <f>IF(U110="Fail",MacReports!N110,"")</f>
        <v>0</v>
      </c>
      <c r="AB110" t="str">
        <f t="shared" si="6"/>
        <v/>
      </c>
    </row>
    <row r="111" spans="1:28">
      <c r="A111" t="str">
        <f>MacReports!A111</f>
        <v/>
      </c>
      <c r="B111">
        <f>MacReports!B111</f>
        <v>0</v>
      </c>
      <c r="C111">
        <f>MacReports!C111</f>
        <v>0</v>
      </c>
      <c r="E111" t="e">
        <f>_xlfn.XLOOKUP(G111,Models!A:A,Models!F:F)</f>
        <v>#N/A</v>
      </c>
      <c r="F111" t="str">
        <f>_xlfn.XLOOKUP(B111,MacReports!B:B,MacReports!D:D,"")</f>
        <v/>
      </c>
      <c r="G111" s="13">
        <f>MacReports!E111</f>
        <v>0</v>
      </c>
      <c r="H111" t="e">
        <f>_xlfn.XLOOKUP(G111,Models!A:A,Models!B:B)</f>
        <v>#N/A</v>
      </c>
      <c r="I111" t="e">
        <f>_xlfn.XLOOKUP(G111,Models!A:A,Models!E:E)</f>
        <v>#N/A</v>
      </c>
      <c r="J111" t="e">
        <f>_xlfn.XLOOKUP(G111,Models!A:A,Models!D:D)</f>
        <v>#N/A</v>
      </c>
      <c r="K111">
        <f>MacReports!F111</f>
        <v>0</v>
      </c>
      <c r="L111">
        <f>MacReports!G111</f>
        <v>0</v>
      </c>
      <c r="M111" s="15" t="e" cm="1">
        <f t="array" ref="M111">--_xlfn.LET(
    _xlpm.txt, MacReports!H111,
    _xlpm.chars, MID(_xlpm.txt, _xlfn.SEQUENCE(LEN(_xlpm.txt)), 1),
    _xlfn.TEXTJOIN("", TRUE, IF(ISNUMBER(--_xlpm.chars), _xlpm.chars, ""))
)</f>
        <v>#VALUE!</v>
      </c>
      <c r="N111" s="16" t="str" cm="1">
        <f t="array" ref="N111">_xlfn.IFS(
   --MacReports!M111&lt;55,"Battery Defect",
  -- MacReports!M111&lt;=69,"Battery D",
  --MacReports!M111&lt;=80,"Battery C",
 --MacReports!M111&gt;80,""
)</f>
        <v>Battery Defect</v>
      </c>
      <c r="O111" s="16" t="str">
        <f>IF(MacReports!I111="Service","Battery Service","")</f>
        <v/>
      </c>
      <c r="P111" s="13">
        <f>MacReports!P111</f>
        <v>0</v>
      </c>
      <c r="Q111" s="13" t="str">
        <f>IF(MacReports!J111="Enabled","Apple ID Lock","")</f>
        <v/>
      </c>
      <c r="R111" s="13" t="str">
        <f>IF(MacReports!L111="y","Remote Locked","")</f>
        <v/>
      </c>
      <c r="S111" t="str">
        <f t="shared" si="5"/>
        <v>Battery Defect, 0</v>
      </c>
      <c r="T111" t="str">
        <f>_xlfn.XLOOKUP(B111,Disk_Pivot!G:G,Disk_Pivot!I:I)</f>
        <v>Yes</v>
      </c>
      <c r="U111" t="str">
        <f>_xlfn.XLOOKUP(B111,Disk_Pivot!G:G,Disk_Pivot!N:N)</f>
        <v>Fail</v>
      </c>
      <c r="V111">
        <f>IF(U111="Fail",MacReports!N111,"")</f>
        <v>0</v>
      </c>
      <c r="AB111" t="str">
        <f t="shared" si="6"/>
        <v/>
      </c>
    </row>
    <row r="112" spans="1:28">
      <c r="A112" t="str">
        <f>MacReports!A112</f>
        <v/>
      </c>
      <c r="B112">
        <f>MacReports!B112</f>
        <v>0</v>
      </c>
      <c r="C112">
        <f>MacReports!C112</f>
        <v>0</v>
      </c>
      <c r="E112" t="e">
        <f>_xlfn.XLOOKUP(G112,Models!A:A,Models!F:F)</f>
        <v>#N/A</v>
      </c>
      <c r="F112" t="str">
        <f>_xlfn.XLOOKUP(B112,MacReports!B:B,MacReports!D:D,"")</f>
        <v/>
      </c>
      <c r="G112" s="13">
        <f>MacReports!E112</f>
        <v>0</v>
      </c>
      <c r="H112" t="e">
        <f>_xlfn.XLOOKUP(G112,Models!A:A,Models!B:B)</f>
        <v>#N/A</v>
      </c>
      <c r="I112" t="e">
        <f>_xlfn.XLOOKUP(G112,Models!A:A,Models!E:E)</f>
        <v>#N/A</v>
      </c>
      <c r="J112" t="e">
        <f>_xlfn.XLOOKUP(G112,Models!A:A,Models!D:D)</f>
        <v>#N/A</v>
      </c>
      <c r="K112">
        <f>MacReports!F112</f>
        <v>0</v>
      </c>
      <c r="L112">
        <f>MacReports!G112</f>
        <v>0</v>
      </c>
      <c r="M112" s="15" t="e" cm="1">
        <f t="array" ref="M112">--_xlfn.LET(
    _xlpm.txt, MacReports!H112,
    _xlpm.chars, MID(_xlpm.txt, _xlfn.SEQUENCE(LEN(_xlpm.txt)), 1),
    _xlfn.TEXTJOIN("", TRUE, IF(ISNUMBER(--_xlpm.chars), _xlpm.chars, ""))
)</f>
        <v>#VALUE!</v>
      </c>
      <c r="N112" s="16" t="str" cm="1">
        <f t="array" ref="N112">_xlfn.IFS(
   --MacReports!M112&lt;55,"Battery Defect",
  -- MacReports!M112&lt;=69,"Battery D",
  --MacReports!M112&lt;=80,"Battery C",
 --MacReports!M112&gt;80,""
)</f>
        <v>Battery Defect</v>
      </c>
      <c r="O112" s="16" t="str">
        <f>IF(MacReports!I112="Service","Battery Service","")</f>
        <v/>
      </c>
      <c r="P112" s="13">
        <f>MacReports!P112</f>
        <v>0</v>
      </c>
      <c r="Q112" s="13" t="str">
        <f>IF(MacReports!J112="Enabled","Apple ID Lock","")</f>
        <v/>
      </c>
      <c r="R112" s="13" t="str">
        <f>IF(MacReports!L112="y","Remote Locked","")</f>
        <v/>
      </c>
      <c r="S112" t="str">
        <f t="shared" si="5"/>
        <v>Battery Defect, 0</v>
      </c>
      <c r="T112" t="str">
        <f>_xlfn.XLOOKUP(B112,Disk_Pivot!G:G,Disk_Pivot!I:I)</f>
        <v>Yes</v>
      </c>
      <c r="U112" t="str">
        <f>_xlfn.XLOOKUP(B112,Disk_Pivot!G:G,Disk_Pivot!N:N)</f>
        <v>Fail</v>
      </c>
      <c r="V112">
        <f>IF(U112="Fail",MacReports!N112,"")</f>
        <v>0</v>
      </c>
      <c r="AB112" t="str">
        <f t="shared" si="6"/>
        <v/>
      </c>
    </row>
    <row r="113" spans="1:28">
      <c r="A113" t="str">
        <f>MacReports!A113</f>
        <v/>
      </c>
      <c r="B113">
        <f>MacReports!B113</f>
        <v>0</v>
      </c>
      <c r="C113">
        <f>MacReports!C113</f>
        <v>0</v>
      </c>
      <c r="E113" t="e">
        <f>_xlfn.XLOOKUP(G113,Models!A:A,Models!F:F)</f>
        <v>#N/A</v>
      </c>
      <c r="F113" t="str">
        <f>_xlfn.XLOOKUP(B113,MacReports!B:B,MacReports!D:D,"")</f>
        <v/>
      </c>
      <c r="G113" s="13">
        <f>MacReports!E113</f>
        <v>0</v>
      </c>
      <c r="H113" t="e">
        <f>_xlfn.XLOOKUP(G113,Models!A:A,Models!B:B)</f>
        <v>#N/A</v>
      </c>
      <c r="I113" t="e">
        <f>_xlfn.XLOOKUP(G113,Models!A:A,Models!E:E)</f>
        <v>#N/A</v>
      </c>
      <c r="J113" t="e">
        <f>_xlfn.XLOOKUP(G113,Models!A:A,Models!D:D)</f>
        <v>#N/A</v>
      </c>
      <c r="K113">
        <f>MacReports!F113</f>
        <v>0</v>
      </c>
      <c r="L113">
        <f>MacReports!G113</f>
        <v>0</v>
      </c>
      <c r="M113" s="15" t="e" cm="1">
        <f t="array" ref="M113">--_xlfn.LET(
    _xlpm.txt, MacReports!H113,
    _xlpm.chars, MID(_xlpm.txt, _xlfn.SEQUENCE(LEN(_xlpm.txt)), 1),
    _xlfn.TEXTJOIN("", TRUE, IF(ISNUMBER(--_xlpm.chars), _xlpm.chars, ""))
)</f>
        <v>#VALUE!</v>
      </c>
      <c r="N113" s="16" t="str" cm="1">
        <f t="array" ref="N113">_xlfn.IFS(
   --MacReports!M113&lt;55,"Battery Defect",
  -- MacReports!M113&lt;=69,"Battery D",
  --MacReports!M113&lt;=80,"Battery C",
 --MacReports!M113&gt;80,""
)</f>
        <v>Battery Defect</v>
      </c>
      <c r="O113" s="16" t="str">
        <f>IF(MacReports!I113="Service","Battery Service","")</f>
        <v/>
      </c>
      <c r="P113" s="13">
        <f>MacReports!P113</f>
        <v>0</v>
      </c>
      <c r="Q113" s="13" t="str">
        <f>IF(MacReports!J113="Enabled","Apple ID Lock","")</f>
        <v/>
      </c>
      <c r="R113" s="13" t="str">
        <f>IF(MacReports!L113="y","Remote Locked","")</f>
        <v/>
      </c>
      <c r="S113" t="str">
        <f t="shared" si="5"/>
        <v>Battery Defect, 0</v>
      </c>
      <c r="T113" t="str">
        <f>_xlfn.XLOOKUP(B113,Disk_Pivot!G:G,Disk_Pivot!I:I)</f>
        <v>Yes</v>
      </c>
      <c r="U113" t="str">
        <f>_xlfn.XLOOKUP(B113,Disk_Pivot!G:G,Disk_Pivot!N:N)</f>
        <v>Fail</v>
      </c>
      <c r="V113">
        <f>IF(U113="Fail",MacReports!N113,"")</f>
        <v>0</v>
      </c>
      <c r="AB113" t="str">
        <f t="shared" si="6"/>
        <v/>
      </c>
    </row>
    <row r="114" spans="1:28">
      <c r="A114" t="str">
        <f>MacReports!A114</f>
        <v/>
      </c>
      <c r="B114">
        <f>MacReports!B114</f>
        <v>0</v>
      </c>
      <c r="C114">
        <f>MacReports!C114</f>
        <v>0</v>
      </c>
      <c r="E114" t="e">
        <f>_xlfn.XLOOKUP(G114,Models!A:A,Models!F:F)</f>
        <v>#N/A</v>
      </c>
      <c r="F114" t="str">
        <f>_xlfn.XLOOKUP(B114,MacReports!B:B,MacReports!D:D,"")</f>
        <v/>
      </c>
      <c r="G114" s="13">
        <f>MacReports!E114</f>
        <v>0</v>
      </c>
      <c r="H114" t="e">
        <f>_xlfn.XLOOKUP(G114,Models!A:A,Models!B:B)</f>
        <v>#N/A</v>
      </c>
      <c r="I114" t="e">
        <f>_xlfn.XLOOKUP(G114,Models!A:A,Models!E:E)</f>
        <v>#N/A</v>
      </c>
      <c r="J114" t="e">
        <f>_xlfn.XLOOKUP(G114,Models!A:A,Models!D:D)</f>
        <v>#N/A</v>
      </c>
      <c r="K114">
        <f>MacReports!F114</f>
        <v>0</v>
      </c>
      <c r="L114">
        <f>MacReports!G114</f>
        <v>0</v>
      </c>
      <c r="M114" s="15" t="e" cm="1">
        <f t="array" ref="M114">--_xlfn.LET(
    _xlpm.txt, MacReports!H114,
    _xlpm.chars, MID(_xlpm.txt, _xlfn.SEQUENCE(LEN(_xlpm.txt)), 1),
    _xlfn.TEXTJOIN("", TRUE, IF(ISNUMBER(--_xlpm.chars), _xlpm.chars, ""))
)</f>
        <v>#VALUE!</v>
      </c>
      <c r="N114" s="16" t="str" cm="1">
        <f t="array" ref="N114">_xlfn.IFS(
   --MacReports!M114&lt;55,"Battery Defect",
  -- MacReports!M114&lt;=69,"Battery D",
  --MacReports!M114&lt;=80,"Battery C",
 --MacReports!M114&gt;80,""
)</f>
        <v>Battery Defect</v>
      </c>
      <c r="O114" s="16" t="str">
        <f>IF(MacReports!I114="Service","Battery Service","")</f>
        <v/>
      </c>
      <c r="P114" s="13">
        <f>MacReports!P114</f>
        <v>0</v>
      </c>
      <c r="Q114" s="13" t="str">
        <f>IF(MacReports!J114="Enabled","Apple ID Lock","")</f>
        <v/>
      </c>
      <c r="R114" s="13" t="str">
        <f>IF(MacReports!L114="y","Remote Locked","")</f>
        <v/>
      </c>
      <c r="S114" t="str">
        <f t="shared" si="5"/>
        <v>Battery Defect, 0</v>
      </c>
      <c r="T114" t="str">
        <f>_xlfn.XLOOKUP(B114,Disk_Pivot!G:G,Disk_Pivot!I:I)</f>
        <v>Yes</v>
      </c>
      <c r="U114" t="str">
        <f>_xlfn.XLOOKUP(B114,Disk_Pivot!G:G,Disk_Pivot!N:N)</f>
        <v>Fail</v>
      </c>
      <c r="V114">
        <f>IF(U114="Fail",MacReports!N114,"")</f>
        <v>0</v>
      </c>
      <c r="AB114" t="str">
        <f t="shared" si="6"/>
        <v/>
      </c>
    </row>
    <row r="115" spans="1:28">
      <c r="A115" t="str">
        <f>MacReports!A115</f>
        <v/>
      </c>
      <c r="B115">
        <f>MacReports!B115</f>
        <v>0</v>
      </c>
      <c r="C115">
        <f>MacReports!C115</f>
        <v>0</v>
      </c>
      <c r="E115" t="e">
        <f>_xlfn.XLOOKUP(G115,Models!A:A,Models!F:F)</f>
        <v>#N/A</v>
      </c>
      <c r="F115" t="str">
        <f>_xlfn.XLOOKUP(B115,MacReports!B:B,MacReports!D:D,"")</f>
        <v/>
      </c>
      <c r="G115" s="13">
        <f>MacReports!E115</f>
        <v>0</v>
      </c>
      <c r="H115" t="e">
        <f>_xlfn.XLOOKUP(G115,Models!A:A,Models!B:B)</f>
        <v>#N/A</v>
      </c>
      <c r="I115" t="e">
        <f>_xlfn.XLOOKUP(G115,Models!A:A,Models!E:E)</f>
        <v>#N/A</v>
      </c>
      <c r="J115" t="e">
        <f>_xlfn.XLOOKUP(G115,Models!A:A,Models!D:D)</f>
        <v>#N/A</v>
      </c>
      <c r="K115">
        <f>MacReports!F115</f>
        <v>0</v>
      </c>
      <c r="L115">
        <f>MacReports!G115</f>
        <v>0</v>
      </c>
      <c r="M115" s="15" t="e" cm="1">
        <f t="array" ref="M115">--_xlfn.LET(
    _xlpm.txt, MacReports!H115,
    _xlpm.chars, MID(_xlpm.txt, _xlfn.SEQUENCE(LEN(_xlpm.txt)), 1),
    _xlfn.TEXTJOIN("", TRUE, IF(ISNUMBER(--_xlpm.chars), _xlpm.chars, ""))
)</f>
        <v>#VALUE!</v>
      </c>
      <c r="N115" s="16" t="str" cm="1">
        <f t="array" ref="N115">_xlfn.IFS(
   --MacReports!M115&lt;55,"Battery Defect",
  -- MacReports!M115&lt;=69,"Battery D",
  --MacReports!M115&lt;=80,"Battery C",
 --MacReports!M115&gt;80,""
)</f>
        <v>Battery Defect</v>
      </c>
      <c r="O115" s="16" t="str">
        <f>IF(MacReports!I115="Service","Battery Service","")</f>
        <v/>
      </c>
      <c r="P115" s="13">
        <f>MacReports!P115</f>
        <v>0</v>
      </c>
      <c r="Q115" s="13" t="str">
        <f>IF(MacReports!J115="Enabled","Apple ID Lock","")</f>
        <v/>
      </c>
      <c r="R115" s="13" t="str">
        <f>IF(MacReports!L115="y","Remote Locked","")</f>
        <v/>
      </c>
      <c r="S115" t="str">
        <f t="shared" si="5"/>
        <v>Battery Defect, 0</v>
      </c>
      <c r="T115" t="str">
        <f>_xlfn.XLOOKUP(B115,Disk_Pivot!G:G,Disk_Pivot!I:I)</f>
        <v>Yes</v>
      </c>
      <c r="U115" t="str">
        <f>_xlfn.XLOOKUP(B115,Disk_Pivot!G:G,Disk_Pivot!N:N)</f>
        <v>Fail</v>
      </c>
      <c r="V115">
        <f>IF(U115="Fail",MacReports!N115,"")</f>
        <v>0</v>
      </c>
      <c r="AB115" t="str">
        <f t="shared" si="6"/>
        <v/>
      </c>
    </row>
    <row r="116" spans="1:28">
      <c r="A116" t="str">
        <f>MacReports!A116</f>
        <v/>
      </c>
      <c r="B116">
        <f>MacReports!B116</f>
        <v>0</v>
      </c>
      <c r="C116">
        <f>MacReports!C116</f>
        <v>0</v>
      </c>
      <c r="E116" t="e">
        <f>_xlfn.XLOOKUP(G116,Models!A:A,Models!F:F)</f>
        <v>#N/A</v>
      </c>
      <c r="F116" t="str">
        <f>_xlfn.XLOOKUP(B116,MacReports!B:B,MacReports!D:D,"")</f>
        <v/>
      </c>
      <c r="G116" s="13">
        <f>MacReports!E116</f>
        <v>0</v>
      </c>
      <c r="H116" t="e">
        <f>_xlfn.XLOOKUP(G116,Models!A:A,Models!B:B)</f>
        <v>#N/A</v>
      </c>
      <c r="I116" t="e">
        <f>_xlfn.XLOOKUP(G116,Models!A:A,Models!E:E)</f>
        <v>#N/A</v>
      </c>
      <c r="J116" t="e">
        <f>_xlfn.XLOOKUP(G116,Models!A:A,Models!D:D)</f>
        <v>#N/A</v>
      </c>
      <c r="K116">
        <f>MacReports!F116</f>
        <v>0</v>
      </c>
      <c r="L116">
        <f>MacReports!G116</f>
        <v>0</v>
      </c>
      <c r="M116" s="15" t="e" cm="1">
        <f t="array" ref="M116">--_xlfn.LET(
    _xlpm.txt, MacReports!H116,
    _xlpm.chars, MID(_xlpm.txt, _xlfn.SEQUENCE(LEN(_xlpm.txt)), 1),
    _xlfn.TEXTJOIN("", TRUE, IF(ISNUMBER(--_xlpm.chars), _xlpm.chars, ""))
)</f>
        <v>#VALUE!</v>
      </c>
      <c r="N116" s="16" t="str" cm="1">
        <f t="array" ref="N116">_xlfn.IFS(
   --MacReports!M116&lt;55,"Battery Defect",
  -- MacReports!M116&lt;=69,"Battery D",
  --MacReports!M116&lt;=80,"Battery C",
 --MacReports!M116&gt;80,""
)</f>
        <v>Battery Defect</v>
      </c>
      <c r="O116" s="16" t="str">
        <f>IF(MacReports!I116="Service","Battery Service","")</f>
        <v/>
      </c>
      <c r="P116" s="13">
        <f>MacReports!P116</f>
        <v>0</v>
      </c>
      <c r="Q116" s="13" t="str">
        <f>IF(MacReports!J116="Enabled","Apple ID Lock","")</f>
        <v/>
      </c>
      <c r="R116" s="13" t="str">
        <f>IF(MacReports!L116="y","Remote Locked","")</f>
        <v/>
      </c>
      <c r="S116" t="str">
        <f t="shared" si="5"/>
        <v>Battery Defect, 0</v>
      </c>
      <c r="T116" t="str">
        <f>_xlfn.XLOOKUP(B116,Disk_Pivot!G:G,Disk_Pivot!I:I)</f>
        <v>Yes</v>
      </c>
      <c r="U116" t="str">
        <f>_xlfn.XLOOKUP(B116,Disk_Pivot!G:G,Disk_Pivot!N:N)</f>
        <v>Fail</v>
      </c>
      <c r="V116">
        <f>IF(U116="Fail",MacReports!N116,"")</f>
        <v>0</v>
      </c>
      <c r="AB116" t="str">
        <f t="shared" si="6"/>
        <v/>
      </c>
    </row>
    <row r="117" spans="1:28">
      <c r="A117" t="str">
        <f>MacReports!A117</f>
        <v/>
      </c>
      <c r="B117">
        <f>MacReports!B117</f>
        <v>0</v>
      </c>
      <c r="C117">
        <f>MacReports!C117</f>
        <v>0</v>
      </c>
      <c r="E117" t="e">
        <f>_xlfn.XLOOKUP(G117,Models!A:A,Models!F:F)</f>
        <v>#N/A</v>
      </c>
      <c r="F117" t="str">
        <f>_xlfn.XLOOKUP(B117,MacReports!B:B,MacReports!D:D,"")</f>
        <v/>
      </c>
      <c r="G117" s="13">
        <f>MacReports!E117</f>
        <v>0</v>
      </c>
      <c r="H117" t="e">
        <f>_xlfn.XLOOKUP(G117,Models!A:A,Models!B:B)</f>
        <v>#N/A</v>
      </c>
      <c r="I117" t="e">
        <f>_xlfn.XLOOKUP(G117,Models!A:A,Models!E:E)</f>
        <v>#N/A</v>
      </c>
      <c r="J117" t="e">
        <f>_xlfn.XLOOKUP(G117,Models!A:A,Models!D:D)</f>
        <v>#N/A</v>
      </c>
      <c r="K117">
        <f>MacReports!F117</f>
        <v>0</v>
      </c>
      <c r="L117">
        <f>MacReports!G117</f>
        <v>0</v>
      </c>
      <c r="M117" s="15" t="e" cm="1">
        <f t="array" ref="M117">--_xlfn.LET(
    _xlpm.txt, MacReports!H117,
    _xlpm.chars, MID(_xlpm.txt, _xlfn.SEQUENCE(LEN(_xlpm.txt)), 1),
    _xlfn.TEXTJOIN("", TRUE, IF(ISNUMBER(--_xlpm.chars), _xlpm.chars, ""))
)</f>
        <v>#VALUE!</v>
      </c>
      <c r="N117" s="16" t="str" cm="1">
        <f t="array" ref="N117">_xlfn.IFS(
   --MacReports!M117&lt;55,"Battery Defect",
  -- MacReports!M117&lt;=69,"Battery D",
  --MacReports!M117&lt;=80,"Battery C",
 --MacReports!M117&gt;80,""
)</f>
        <v>Battery Defect</v>
      </c>
      <c r="O117" s="16" t="str">
        <f>IF(MacReports!I117="Service","Battery Service","")</f>
        <v/>
      </c>
      <c r="P117" s="13">
        <f>MacReports!P117</f>
        <v>0</v>
      </c>
      <c r="Q117" s="13" t="str">
        <f>IF(MacReports!J117="Enabled","Apple ID Lock","")</f>
        <v/>
      </c>
      <c r="R117" s="13" t="str">
        <f>IF(MacReports!L117="y","Remote Locked","")</f>
        <v/>
      </c>
      <c r="S117" t="str">
        <f t="shared" si="5"/>
        <v>Battery Defect, 0</v>
      </c>
      <c r="T117" t="str">
        <f>_xlfn.XLOOKUP(B117,Disk_Pivot!G:G,Disk_Pivot!I:I)</f>
        <v>Yes</v>
      </c>
      <c r="U117" t="str">
        <f>_xlfn.XLOOKUP(B117,Disk_Pivot!G:G,Disk_Pivot!N:N)</f>
        <v>Fail</v>
      </c>
      <c r="V117">
        <f>IF(U117="Fail",MacReports!N117,"")</f>
        <v>0</v>
      </c>
      <c r="AB117" t="str">
        <f t="shared" si="6"/>
        <v/>
      </c>
    </row>
    <row r="118" spans="1:28">
      <c r="A118" t="str">
        <f>MacReports!A118</f>
        <v/>
      </c>
      <c r="B118">
        <f>MacReports!B118</f>
        <v>0</v>
      </c>
      <c r="C118">
        <f>MacReports!C118</f>
        <v>0</v>
      </c>
      <c r="E118" t="e">
        <f>_xlfn.XLOOKUP(G118,Models!A:A,Models!F:F)</f>
        <v>#N/A</v>
      </c>
      <c r="F118" t="str">
        <f>_xlfn.XLOOKUP(B118,MacReports!B:B,MacReports!D:D,"")</f>
        <v/>
      </c>
      <c r="G118" s="13">
        <f>MacReports!E118</f>
        <v>0</v>
      </c>
      <c r="H118" t="e">
        <f>_xlfn.XLOOKUP(G118,Models!A:A,Models!B:B)</f>
        <v>#N/A</v>
      </c>
      <c r="I118" t="e">
        <f>_xlfn.XLOOKUP(G118,Models!A:A,Models!E:E)</f>
        <v>#N/A</v>
      </c>
      <c r="J118" t="e">
        <f>_xlfn.XLOOKUP(G118,Models!A:A,Models!D:D)</f>
        <v>#N/A</v>
      </c>
      <c r="K118">
        <f>MacReports!F118</f>
        <v>0</v>
      </c>
      <c r="L118">
        <f>MacReports!G118</f>
        <v>0</v>
      </c>
      <c r="M118" s="15" t="e" cm="1">
        <f t="array" ref="M118">--_xlfn.LET(
    _xlpm.txt, MacReports!H118,
    _xlpm.chars, MID(_xlpm.txt, _xlfn.SEQUENCE(LEN(_xlpm.txt)), 1),
    _xlfn.TEXTJOIN("", TRUE, IF(ISNUMBER(--_xlpm.chars), _xlpm.chars, ""))
)</f>
        <v>#VALUE!</v>
      </c>
      <c r="N118" s="16" t="str" cm="1">
        <f t="array" ref="N118">_xlfn.IFS(
   --MacReports!M118&lt;55,"Battery Defect",
  -- MacReports!M118&lt;=69,"Battery D",
  --MacReports!M118&lt;=80,"Battery C",
 --MacReports!M118&gt;80,""
)</f>
        <v>Battery Defect</v>
      </c>
      <c r="O118" s="16" t="str">
        <f>IF(MacReports!I118="Service","Battery Service","")</f>
        <v/>
      </c>
      <c r="P118" s="13">
        <f>MacReports!P118</f>
        <v>0</v>
      </c>
      <c r="Q118" s="13" t="str">
        <f>IF(MacReports!J118="Enabled","Apple ID Lock","")</f>
        <v/>
      </c>
      <c r="R118" s="13" t="str">
        <f>IF(MacReports!L118="y","Remote Locked","")</f>
        <v/>
      </c>
      <c r="S118" t="str">
        <f t="shared" si="5"/>
        <v>Battery Defect, 0</v>
      </c>
      <c r="T118" t="str">
        <f>_xlfn.XLOOKUP(B118,Disk_Pivot!G:G,Disk_Pivot!I:I)</f>
        <v>Yes</v>
      </c>
      <c r="U118" t="str">
        <f>_xlfn.XLOOKUP(B118,Disk_Pivot!G:G,Disk_Pivot!N:N)</f>
        <v>Fail</v>
      </c>
      <c r="V118">
        <f>IF(U118="Fail",MacReports!N118,"")</f>
        <v>0</v>
      </c>
      <c r="AB118" t="str">
        <f t="shared" si="6"/>
        <v/>
      </c>
    </row>
    <row r="119" spans="1:28">
      <c r="A119" t="str">
        <f>MacReports!A119</f>
        <v/>
      </c>
      <c r="B119">
        <f>MacReports!B119</f>
        <v>0</v>
      </c>
      <c r="C119">
        <f>MacReports!C119</f>
        <v>0</v>
      </c>
      <c r="E119" t="e">
        <f>_xlfn.XLOOKUP(G119,Models!A:A,Models!F:F)</f>
        <v>#N/A</v>
      </c>
      <c r="F119" t="str">
        <f>_xlfn.XLOOKUP(B119,MacReports!B:B,MacReports!D:D,"")</f>
        <v/>
      </c>
      <c r="G119" s="13">
        <f>MacReports!E119</f>
        <v>0</v>
      </c>
      <c r="H119" t="e">
        <f>_xlfn.XLOOKUP(G119,Models!A:A,Models!B:B)</f>
        <v>#N/A</v>
      </c>
      <c r="I119" t="e">
        <f>_xlfn.XLOOKUP(G119,Models!A:A,Models!E:E)</f>
        <v>#N/A</v>
      </c>
      <c r="J119" t="e">
        <f>_xlfn.XLOOKUP(G119,Models!A:A,Models!D:D)</f>
        <v>#N/A</v>
      </c>
      <c r="K119">
        <f>MacReports!F119</f>
        <v>0</v>
      </c>
      <c r="L119">
        <f>MacReports!G119</f>
        <v>0</v>
      </c>
      <c r="M119" s="15" t="e" cm="1">
        <f t="array" ref="M119">--_xlfn.LET(
    _xlpm.txt, MacReports!H119,
    _xlpm.chars, MID(_xlpm.txt, _xlfn.SEQUENCE(LEN(_xlpm.txt)), 1),
    _xlfn.TEXTJOIN("", TRUE, IF(ISNUMBER(--_xlpm.chars), _xlpm.chars, ""))
)</f>
        <v>#VALUE!</v>
      </c>
      <c r="N119" s="16" t="str" cm="1">
        <f t="array" ref="N119">_xlfn.IFS(
   --MacReports!M119&lt;55,"Battery Defect",
  -- MacReports!M119&lt;=69,"Battery D",
  --MacReports!M119&lt;=80,"Battery C",
 --MacReports!M119&gt;80,""
)</f>
        <v>Battery Defect</v>
      </c>
      <c r="O119" s="16" t="str">
        <f>IF(MacReports!I119="Service","Battery Service","")</f>
        <v/>
      </c>
      <c r="P119" s="13">
        <f>MacReports!P119</f>
        <v>0</v>
      </c>
      <c r="Q119" s="13" t="str">
        <f>IF(MacReports!J119="Enabled","Apple ID Lock","")</f>
        <v/>
      </c>
      <c r="R119" s="13" t="str">
        <f>IF(MacReports!L119="y","Remote Locked","")</f>
        <v/>
      </c>
      <c r="S119" t="str">
        <f t="shared" si="5"/>
        <v>Battery Defect, 0</v>
      </c>
      <c r="T119" t="str">
        <f>_xlfn.XLOOKUP(B119,Disk_Pivot!G:G,Disk_Pivot!I:I)</f>
        <v>Yes</v>
      </c>
      <c r="U119" t="str">
        <f>_xlfn.XLOOKUP(B119,Disk_Pivot!G:G,Disk_Pivot!N:N)</f>
        <v>Fail</v>
      </c>
      <c r="V119">
        <f>IF(U119="Fail",MacReports!N119,"")</f>
        <v>0</v>
      </c>
      <c r="AB119" t="str">
        <f t="shared" si="6"/>
        <v/>
      </c>
    </row>
    <row r="120" spans="1:28">
      <c r="A120" t="str">
        <f>MacReports!A120</f>
        <v/>
      </c>
      <c r="B120">
        <f>MacReports!B120</f>
        <v>0</v>
      </c>
      <c r="C120">
        <f>MacReports!C120</f>
        <v>0</v>
      </c>
      <c r="E120" t="e">
        <f>_xlfn.XLOOKUP(G120,Models!A:A,Models!F:F)</f>
        <v>#N/A</v>
      </c>
      <c r="F120" t="str">
        <f>_xlfn.XLOOKUP(B120,MacReports!B:B,MacReports!D:D,"")</f>
        <v/>
      </c>
      <c r="G120" s="13">
        <f>MacReports!E120</f>
        <v>0</v>
      </c>
      <c r="H120" t="e">
        <f>_xlfn.XLOOKUP(G120,Models!A:A,Models!B:B)</f>
        <v>#N/A</v>
      </c>
      <c r="I120" t="e">
        <f>_xlfn.XLOOKUP(G120,Models!A:A,Models!E:E)</f>
        <v>#N/A</v>
      </c>
      <c r="J120" t="e">
        <f>_xlfn.XLOOKUP(G120,Models!A:A,Models!D:D)</f>
        <v>#N/A</v>
      </c>
      <c r="K120">
        <f>MacReports!F120</f>
        <v>0</v>
      </c>
      <c r="L120">
        <f>MacReports!G120</f>
        <v>0</v>
      </c>
      <c r="M120" s="15" t="e" cm="1">
        <f t="array" ref="M120">--_xlfn.LET(
    _xlpm.txt, MacReports!H120,
    _xlpm.chars, MID(_xlpm.txt, _xlfn.SEQUENCE(LEN(_xlpm.txt)), 1),
    _xlfn.TEXTJOIN("", TRUE, IF(ISNUMBER(--_xlpm.chars), _xlpm.chars, ""))
)</f>
        <v>#VALUE!</v>
      </c>
      <c r="N120" s="16" t="str" cm="1">
        <f t="array" ref="N120">_xlfn.IFS(
   --MacReports!M120&lt;55,"Battery Defect",
  -- MacReports!M120&lt;=69,"Battery D",
  --MacReports!M120&lt;=80,"Battery C",
 --MacReports!M120&gt;80,""
)</f>
        <v>Battery Defect</v>
      </c>
      <c r="O120" s="16" t="str">
        <f>IF(MacReports!I120="Service","Battery Service","")</f>
        <v/>
      </c>
      <c r="P120" s="13">
        <f>MacReports!P120</f>
        <v>0</v>
      </c>
      <c r="Q120" s="13" t="str">
        <f>IF(MacReports!J120="Enabled","Apple ID Lock","")</f>
        <v/>
      </c>
      <c r="R120" s="13" t="str">
        <f>IF(MacReports!L120="y","Remote Locked","")</f>
        <v/>
      </c>
      <c r="S120" t="str">
        <f t="shared" si="5"/>
        <v>Battery Defect, 0</v>
      </c>
      <c r="T120" t="str">
        <f>_xlfn.XLOOKUP(B120,Disk_Pivot!G:G,Disk_Pivot!I:I)</f>
        <v>Yes</v>
      </c>
      <c r="U120" t="str">
        <f>_xlfn.XLOOKUP(B120,Disk_Pivot!G:G,Disk_Pivot!N:N)</f>
        <v>Fail</v>
      </c>
      <c r="V120">
        <f>IF(U120="Fail",MacReports!N120,"")</f>
        <v>0</v>
      </c>
      <c r="AB120" t="str">
        <f t="shared" si="6"/>
        <v/>
      </c>
    </row>
    <row r="121" spans="1:28">
      <c r="A121" t="str">
        <f>MacReports!A121</f>
        <v/>
      </c>
      <c r="B121">
        <f>MacReports!B121</f>
        <v>0</v>
      </c>
      <c r="C121">
        <f>MacReports!C121</f>
        <v>0</v>
      </c>
      <c r="E121" t="e">
        <f>_xlfn.XLOOKUP(G121,Models!A:A,Models!F:F)</f>
        <v>#N/A</v>
      </c>
      <c r="F121" t="str">
        <f>_xlfn.XLOOKUP(B121,MacReports!B:B,MacReports!D:D,"")</f>
        <v/>
      </c>
      <c r="G121" s="13">
        <f>MacReports!E121</f>
        <v>0</v>
      </c>
      <c r="H121" t="e">
        <f>_xlfn.XLOOKUP(G121,Models!A:A,Models!B:B)</f>
        <v>#N/A</v>
      </c>
      <c r="I121" t="e">
        <f>_xlfn.XLOOKUP(G121,Models!A:A,Models!E:E)</f>
        <v>#N/A</v>
      </c>
      <c r="J121" t="e">
        <f>_xlfn.XLOOKUP(G121,Models!A:A,Models!D:D)</f>
        <v>#N/A</v>
      </c>
      <c r="K121">
        <f>MacReports!F121</f>
        <v>0</v>
      </c>
      <c r="L121">
        <f>MacReports!G121</f>
        <v>0</v>
      </c>
      <c r="M121" s="15" t="e" cm="1">
        <f t="array" ref="M121">--_xlfn.LET(
    _xlpm.txt, MacReports!H121,
    _xlpm.chars, MID(_xlpm.txt, _xlfn.SEQUENCE(LEN(_xlpm.txt)), 1),
    _xlfn.TEXTJOIN("", TRUE, IF(ISNUMBER(--_xlpm.chars), _xlpm.chars, ""))
)</f>
        <v>#VALUE!</v>
      </c>
      <c r="N121" s="16" t="str" cm="1">
        <f t="array" ref="N121">_xlfn.IFS(
   --MacReports!M121&lt;55,"Battery Defect",
  -- MacReports!M121&lt;=69,"Battery D",
  --MacReports!M121&lt;=80,"Battery C",
 --MacReports!M121&gt;80,""
)</f>
        <v>Battery Defect</v>
      </c>
      <c r="O121" s="16" t="str">
        <f>IF(MacReports!I121="Service","Battery Service","")</f>
        <v/>
      </c>
      <c r="P121" s="13">
        <f>MacReports!P121</f>
        <v>0</v>
      </c>
      <c r="Q121" s="13" t="str">
        <f>IF(MacReports!J121="Enabled","Apple ID Lock","")</f>
        <v/>
      </c>
      <c r="R121" s="13" t="str">
        <f>IF(MacReports!L121="y","Remote Locked","")</f>
        <v/>
      </c>
      <c r="S121" t="str">
        <f t="shared" si="5"/>
        <v>Battery Defect, 0</v>
      </c>
      <c r="T121" t="str">
        <f>_xlfn.XLOOKUP(B121,Disk_Pivot!G:G,Disk_Pivot!I:I)</f>
        <v>Yes</v>
      </c>
      <c r="U121" t="str">
        <f>_xlfn.XLOOKUP(B121,Disk_Pivot!G:G,Disk_Pivot!N:N)</f>
        <v>Fail</v>
      </c>
      <c r="V121">
        <f>IF(U121="Fail",MacReports!N121,"")</f>
        <v>0</v>
      </c>
      <c r="AB121" t="str">
        <f t="shared" si="6"/>
        <v/>
      </c>
    </row>
    <row r="122" spans="1:28">
      <c r="A122" t="str">
        <f>MacReports!A122</f>
        <v/>
      </c>
      <c r="B122">
        <f>MacReports!B122</f>
        <v>0</v>
      </c>
      <c r="C122">
        <f>MacReports!C122</f>
        <v>0</v>
      </c>
      <c r="E122" t="e">
        <f>_xlfn.XLOOKUP(G122,Models!A:A,Models!F:F)</f>
        <v>#N/A</v>
      </c>
      <c r="F122" t="str">
        <f>_xlfn.XLOOKUP(B122,MacReports!B:B,MacReports!D:D,"")</f>
        <v/>
      </c>
      <c r="G122" s="13">
        <f>MacReports!E122</f>
        <v>0</v>
      </c>
      <c r="H122" t="e">
        <f>_xlfn.XLOOKUP(G122,Models!A:A,Models!B:B)</f>
        <v>#N/A</v>
      </c>
      <c r="I122" t="e">
        <f>_xlfn.XLOOKUP(G122,Models!A:A,Models!E:E)</f>
        <v>#N/A</v>
      </c>
      <c r="J122" t="e">
        <f>_xlfn.XLOOKUP(G122,Models!A:A,Models!D:D)</f>
        <v>#N/A</v>
      </c>
      <c r="K122">
        <f>MacReports!F122</f>
        <v>0</v>
      </c>
      <c r="L122">
        <f>MacReports!G122</f>
        <v>0</v>
      </c>
      <c r="M122" s="15" t="e" cm="1">
        <f t="array" ref="M122">--_xlfn.LET(
    _xlpm.txt, MacReports!H122,
    _xlpm.chars, MID(_xlpm.txt, _xlfn.SEQUENCE(LEN(_xlpm.txt)), 1),
    _xlfn.TEXTJOIN("", TRUE, IF(ISNUMBER(--_xlpm.chars), _xlpm.chars, ""))
)</f>
        <v>#VALUE!</v>
      </c>
      <c r="N122" s="16" t="str" cm="1">
        <f t="array" ref="N122">_xlfn.IFS(
   --MacReports!M122&lt;55,"Battery Defect",
  -- MacReports!M122&lt;=69,"Battery D",
  --MacReports!M122&lt;=80,"Battery C",
 --MacReports!M122&gt;80,""
)</f>
        <v>Battery Defect</v>
      </c>
      <c r="O122" s="16" t="str">
        <f>IF(MacReports!I122="Service","Battery Service","")</f>
        <v/>
      </c>
      <c r="P122" s="13">
        <f>MacReports!P122</f>
        <v>0</v>
      </c>
      <c r="Q122" s="13" t="str">
        <f>IF(MacReports!J122="Enabled","Apple ID Lock","")</f>
        <v/>
      </c>
      <c r="R122" s="13" t="str">
        <f>IF(MacReports!L122="y","Remote Locked","")</f>
        <v/>
      </c>
      <c r="S122" t="str">
        <f t="shared" si="5"/>
        <v>Battery Defect, 0</v>
      </c>
      <c r="T122" t="str">
        <f>_xlfn.XLOOKUP(B122,Disk_Pivot!G:G,Disk_Pivot!I:I)</f>
        <v>Yes</v>
      </c>
      <c r="U122" t="str">
        <f>_xlfn.XLOOKUP(B122,Disk_Pivot!G:G,Disk_Pivot!N:N)</f>
        <v>Fail</v>
      </c>
      <c r="V122">
        <f>IF(U122="Fail",MacReports!N122,"")</f>
        <v>0</v>
      </c>
      <c r="AB122" t="str">
        <f t="shared" si="6"/>
        <v/>
      </c>
    </row>
    <row r="123" spans="1:28">
      <c r="A123" t="str">
        <f>MacReports!A123</f>
        <v/>
      </c>
      <c r="B123">
        <f>MacReports!B123</f>
        <v>0</v>
      </c>
      <c r="C123">
        <f>MacReports!C123</f>
        <v>0</v>
      </c>
      <c r="E123" t="e">
        <f>_xlfn.XLOOKUP(G123,Models!A:A,Models!F:F)</f>
        <v>#N/A</v>
      </c>
      <c r="F123" t="str">
        <f>_xlfn.XLOOKUP(B123,MacReports!B:B,MacReports!D:D,"")</f>
        <v/>
      </c>
      <c r="G123" s="13">
        <f>MacReports!E123</f>
        <v>0</v>
      </c>
      <c r="H123" t="e">
        <f>_xlfn.XLOOKUP(G123,Models!A:A,Models!B:B)</f>
        <v>#N/A</v>
      </c>
      <c r="I123" t="e">
        <f>_xlfn.XLOOKUP(G123,Models!A:A,Models!E:E)</f>
        <v>#N/A</v>
      </c>
      <c r="J123" t="e">
        <f>_xlfn.XLOOKUP(G123,Models!A:A,Models!D:D)</f>
        <v>#N/A</v>
      </c>
      <c r="K123">
        <f>MacReports!F123</f>
        <v>0</v>
      </c>
      <c r="L123">
        <f>MacReports!G123</f>
        <v>0</v>
      </c>
      <c r="M123" s="15" t="e" cm="1">
        <f t="array" ref="M123">--_xlfn.LET(
    _xlpm.txt, MacReports!H123,
    _xlpm.chars, MID(_xlpm.txt, _xlfn.SEQUENCE(LEN(_xlpm.txt)), 1),
    _xlfn.TEXTJOIN("", TRUE, IF(ISNUMBER(--_xlpm.chars), _xlpm.chars, ""))
)</f>
        <v>#VALUE!</v>
      </c>
      <c r="N123" s="16" t="str" cm="1">
        <f t="array" ref="N123">_xlfn.IFS(
   --MacReports!M123&lt;55,"Battery Defect",
  -- MacReports!M123&lt;=69,"Battery D",
  --MacReports!M123&lt;=80,"Battery C",
 --MacReports!M123&gt;80,""
)</f>
        <v>Battery Defect</v>
      </c>
      <c r="O123" s="16" t="str">
        <f>IF(MacReports!I123="Service","Battery Service","")</f>
        <v/>
      </c>
      <c r="P123" s="13">
        <f>MacReports!P123</f>
        <v>0</v>
      </c>
      <c r="Q123" s="13" t="str">
        <f>IF(MacReports!J123="Enabled","Apple ID Lock","")</f>
        <v/>
      </c>
      <c r="R123" s="13" t="str">
        <f>IF(MacReports!L123="y","Remote Locked","")</f>
        <v/>
      </c>
      <c r="S123" t="str">
        <f t="shared" si="5"/>
        <v>Battery Defect, 0</v>
      </c>
      <c r="T123" t="str">
        <f>_xlfn.XLOOKUP(B123,Disk_Pivot!G:G,Disk_Pivot!I:I)</f>
        <v>Yes</v>
      </c>
      <c r="U123" t="str">
        <f>_xlfn.XLOOKUP(B123,Disk_Pivot!G:G,Disk_Pivot!N:N)</f>
        <v>Fail</v>
      </c>
      <c r="V123">
        <f>IF(U123="Fail",MacReports!N123,"")</f>
        <v>0</v>
      </c>
      <c r="AB123" t="str">
        <f t="shared" si="6"/>
        <v/>
      </c>
    </row>
    <row r="124" spans="1:28">
      <c r="A124" t="str">
        <f>MacReports!A124</f>
        <v/>
      </c>
      <c r="B124">
        <f>MacReports!B124</f>
        <v>0</v>
      </c>
      <c r="C124">
        <f>MacReports!C124</f>
        <v>0</v>
      </c>
      <c r="E124" t="e">
        <f>_xlfn.XLOOKUP(G124,Models!A:A,Models!F:F)</f>
        <v>#N/A</v>
      </c>
      <c r="F124" t="str">
        <f>_xlfn.XLOOKUP(B124,MacReports!B:B,MacReports!D:D,"")</f>
        <v/>
      </c>
      <c r="G124" s="13">
        <f>MacReports!E124</f>
        <v>0</v>
      </c>
      <c r="H124" t="e">
        <f>_xlfn.XLOOKUP(G124,Models!A:A,Models!B:B)</f>
        <v>#N/A</v>
      </c>
      <c r="I124" t="e">
        <f>_xlfn.XLOOKUP(G124,Models!A:A,Models!E:E)</f>
        <v>#N/A</v>
      </c>
      <c r="J124" t="e">
        <f>_xlfn.XLOOKUP(G124,Models!A:A,Models!D:D)</f>
        <v>#N/A</v>
      </c>
      <c r="K124">
        <f>MacReports!F124</f>
        <v>0</v>
      </c>
      <c r="L124">
        <f>MacReports!G124</f>
        <v>0</v>
      </c>
      <c r="M124" s="15" t="e" cm="1">
        <f t="array" ref="M124">--_xlfn.LET(
    _xlpm.txt, MacReports!H124,
    _xlpm.chars, MID(_xlpm.txt, _xlfn.SEQUENCE(LEN(_xlpm.txt)), 1),
    _xlfn.TEXTJOIN("", TRUE, IF(ISNUMBER(--_xlpm.chars), _xlpm.chars, ""))
)</f>
        <v>#VALUE!</v>
      </c>
      <c r="N124" s="16" t="str" cm="1">
        <f t="array" ref="N124">_xlfn.IFS(
   --MacReports!M124&lt;55,"Battery Defect",
  -- MacReports!M124&lt;=69,"Battery D",
  --MacReports!M124&lt;=80,"Battery C",
 --MacReports!M124&gt;80,""
)</f>
        <v>Battery Defect</v>
      </c>
      <c r="O124" s="16" t="str">
        <f>IF(MacReports!I124="Service","Battery Service","")</f>
        <v/>
      </c>
      <c r="P124" s="13">
        <f>MacReports!P124</f>
        <v>0</v>
      </c>
      <c r="Q124" s="13" t="str">
        <f>IF(MacReports!J124="Enabled","Apple ID Lock","")</f>
        <v/>
      </c>
      <c r="R124" s="13" t="str">
        <f>IF(MacReports!L124="y","Remote Locked","")</f>
        <v/>
      </c>
      <c r="S124" t="str">
        <f t="shared" si="5"/>
        <v>Battery Defect, 0</v>
      </c>
      <c r="T124" t="str">
        <f>_xlfn.XLOOKUP(B124,Disk_Pivot!G:G,Disk_Pivot!I:I)</f>
        <v>Yes</v>
      </c>
      <c r="U124" t="str">
        <f>_xlfn.XLOOKUP(B124,Disk_Pivot!G:G,Disk_Pivot!N:N)</f>
        <v>Fail</v>
      </c>
      <c r="V124">
        <f>IF(U124="Fail",MacReports!N124,"")</f>
        <v>0</v>
      </c>
      <c r="AB124" t="str">
        <f t="shared" si="6"/>
        <v/>
      </c>
    </row>
    <row r="125" spans="1:28">
      <c r="A125" t="str">
        <f>MacReports!A125</f>
        <v/>
      </c>
      <c r="B125">
        <f>MacReports!B125</f>
        <v>0</v>
      </c>
      <c r="C125">
        <f>MacReports!C125</f>
        <v>0</v>
      </c>
      <c r="E125" t="e">
        <f>_xlfn.XLOOKUP(G125,Models!A:A,Models!F:F)</f>
        <v>#N/A</v>
      </c>
      <c r="F125" t="str">
        <f>_xlfn.XLOOKUP(B125,MacReports!B:B,MacReports!D:D,"")</f>
        <v/>
      </c>
      <c r="G125" s="13">
        <f>MacReports!E125</f>
        <v>0</v>
      </c>
      <c r="H125" t="e">
        <f>_xlfn.XLOOKUP(G125,Models!A:A,Models!B:B)</f>
        <v>#N/A</v>
      </c>
      <c r="I125" t="e">
        <f>_xlfn.XLOOKUP(G125,Models!A:A,Models!E:E)</f>
        <v>#N/A</v>
      </c>
      <c r="J125" t="e">
        <f>_xlfn.XLOOKUP(G125,Models!A:A,Models!D:D)</f>
        <v>#N/A</v>
      </c>
      <c r="K125">
        <f>MacReports!F125</f>
        <v>0</v>
      </c>
      <c r="L125">
        <f>MacReports!G125</f>
        <v>0</v>
      </c>
      <c r="M125" s="15" t="e" cm="1">
        <f t="array" ref="M125">--_xlfn.LET(
    _xlpm.txt, MacReports!H125,
    _xlpm.chars, MID(_xlpm.txt, _xlfn.SEQUENCE(LEN(_xlpm.txt)), 1),
    _xlfn.TEXTJOIN("", TRUE, IF(ISNUMBER(--_xlpm.chars), _xlpm.chars, ""))
)</f>
        <v>#VALUE!</v>
      </c>
      <c r="N125" s="16" t="str" cm="1">
        <f t="array" ref="N125">_xlfn.IFS(
   --MacReports!M125&lt;55,"Battery Defect",
  -- MacReports!M125&lt;=69,"Battery D",
  --MacReports!M125&lt;=80,"Battery C",
 --MacReports!M125&gt;80,""
)</f>
        <v>Battery Defect</v>
      </c>
      <c r="O125" s="16" t="str">
        <f>IF(MacReports!I125="Service","Battery Service","")</f>
        <v/>
      </c>
      <c r="P125" s="13">
        <f>MacReports!P125</f>
        <v>0</v>
      </c>
      <c r="Q125" s="13" t="str">
        <f>IF(MacReports!J125="Enabled","Apple ID Lock","")</f>
        <v/>
      </c>
      <c r="R125" s="13" t="str">
        <f>IF(MacReports!L125="y","Remote Locked","")</f>
        <v/>
      </c>
      <c r="S125" t="str">
        <f t="shared" si="5"/>
        <v>Battery Defect, 0</v>
      </c>
      <c r="T125" t="str">
        <f>_xlfn.XLOOKUP(B125,Disk_Pivot!G:G,Disk_Pivot!I:I)</f>
        <v>Yes</v>
      </c>
      <c r="U125" t="str">
        <f>_xlfn.XLOOKUP(B125,Disk_Pivot!G:G,Disk_Pivot!N:N)</f>
        <v>Fail</v>
      </c>
      <c r="V125">
        <f>IF(U125="Fail",MacReports!N125,"")</f>
        <v>0</v>
      </c>
      <c r="AB125" t="str">
        <f t="shared" si="6"/>
        <v/>
      </c>
    </row>
    <row r="126" spans="1:28">
      <c r="A126" t="str">
        <f>MacReports!A126</f>
        <v/>
      </c>
      <c r="B126">
        <f>MacReports!B126</f>
        <v>0</v>
      </c>
      <c r="C126">
        <f>MacReports!C126</f>
        <v>0</v>
      </c>
      <c r="E126" t="e">
        <f>_xlfn.XLOOKUP(G126,Models!A:A,Models!F:F)</f>
        <v>#N/A</v>
      </c>
      <c r="F126" t="str">
        <f>_xlfn.XLOOKUP(B126,MacReports!B:B,MacReports!D:D,"")</f>
        <v/>
      </c>
      <c r="G126" s="13">
        <f>MacReports!E126</f>
        <v>0</v>
      </c>
      <c r="H126" t="e">
        <f>_xlfn.XLOOKUP(G126,Models!A:A,Models!B:B)</f>
        <v>#N/A</v>
      </c>
      <c r="I126" t="e">
        <f>_xlfn.XLOOKUP(G126,Models!A:A,Models!E:E)</f>
        <v>#N/A</v>
      </c>
      <c r="J126" t="e">
        <f>_xlfn.XLOOKUP(G126,Models!A:A,Models!D:D)</f>
        <v>#N/A</v>
      </c>
      <c r="K126">
        <f>MacReports!F126</f>
        <v>0</v>
      </c>
      <c r="L126">
        <f>MacReports!G126</f>
        <v>0</v>
      </c>
      <c r="M126" s="15" t="e" cm="1">
        <f t="array" ref="M126">--_xlfn.LET(
    _xlpm.txt, MacReports!H126,
    _xlpm.chars, MID(_xlpm.txt, _xlfn.SEQUENCE(LEN(_xlpm.txt)), 1),
    _xlfn.TEXTJOIN("", TRUE, IF(ISNUMBER(--_xlpm.chars), _xlpm.chars, ""))
)</f>
        <v>#VALUE!</v>
      </c>
      <c r="N126" s="16" t="str" cm="1">
        <f t="array" ref="N126">_xlfn.IFS(
   --MacReports!M126&lt;55,"Battery Defect",
  -- MacReports!M126&lt;=69,"Battery D",
  --MacReports!M126&lt;=80,"Battery C",
 --MacReports!M126&gt;80,""
)</f>
        <v>Battery Defect</v>
      </c>
      <c r="O126" s="16" t="str">
        <f>IF(MacReports!I126="Service","Battery Service","")</f>
        <v/>
      </c>
      <c r="P126" s="13">
        <f>MacReports!P126</f>
        <v>0</v>
      </c>
      <c r="Q126" s="13" t="str">
        <f>IF(MacReports!J126="Enabled","Apple ID Lock","")</f>
        <v/>
      </c>
      <c r="R126" s="13" t="str">
        <f>IF(MacReports!L126="y","Remote Locked","")</f>
        <v/>
      </c>
      <c r="S126" t="str">
        <f t="shared" si="5"/>
        <v>Battery Defect, 0</v>
      </c>
      <c r="T126" t="str">
        <f>_xlfn.XLOOKUP(B126,Disk_Pivot!G:G,Disk_Pivot!I:I)</f>
        <v>Yes</v>
      </c>
      <c r="U126" t="str">
        <f>_xlfn.XLOOKUP(B126,Disk_Pivot!G:G,Disk_Pivot!N:N)</f>
        <v>Fail</v>
      </c>
      <c r="V126">
        <f>IF(U126="Fail",MacReports!N126,"")</f>
        <v>0</v>
      </c>
      <c r="AB126" t="str">
        <f t="shared" si="6"/>
        <v/>
      </c>
    </row>
    <row r="127" spans="1:28">
      <c r="A127" t="str">
        <f>MacReports!A127</f>
        <v/>
      </c>
      <c r="B127">
        <f>MacReports!B127</f>
        <v>0</v>
      </c>
      <c r="C127">
        <f>MacReports!C127</f>
        <v>0</v>
      </c>
      <c r="E127" t="e">
        <f>_xlfn.XLOOKUP(G127,Models!A:A,Models!F:F)</f>
        <v>#N/A</v>
      </c>
      <c r="F127" t="str">
        <f>_xlfn.XLOOKUP(B127,MacReports!B:B,MacReports!D:D,"")</f>
        <v/>
      </c>
      <c r="G127" s="13">
        <f>MacReports!E127</f>
        <v>0</v>
      </c>
      <c r="H127" t="e">
        <f>_xlfn.XLOOKUP(G127,Models!A:A,Models!B:B)</f>
        <v>#N/A</v>
      </c>
      <c r="I127" t="e">
        <f>_xlfn.XLOOKUP(G127,Models!A:A,Models!E:E)</f>
        <v>#N/A</v>
      </c>
      <c r="J127" t="e">
        <f>_xlfn.XLOOKUP(G127,Models!A:A,Models!D:D)</f>
        <v>#N/A</v>
      </c>
      <c r="K127">
        <f>MacReports!F127</f>
        <v>0</v>
      </c>
      <c r="L127">
        <f>MacReports!G127</f>
        <v>0</v>
      </c>
      <c r="M127" s="15" t="e" cm="1">
        <f t="array" ref="M127">--_xlfn.LET(
    _xlpm.txt, MacReports!H127,
    _xlpm.chars, MID(_xlpm.txt, _xlfn.SEQUENCE(LEN(_xlpm.txt)), 1),
    _xlfn.TEXTJOIN("", TRUE, IF(ISNUMBER(--_xlpm.chars), _xlpm.chars, ""))
)</f>
        <v>#VALUE!</v>
      </c>
      <c r="N127" s="16" t="str" cm="1">
        <f t="array" ref="N127">_xlfn.IFS(
   --MacReports!M127&lt;55,"Battery Defect",
  -- MacReports!M127&lt;=69,"Battery D",
  --MacReports!M127&lt;=80,"Battery C",
 --MacReports!M127&gt;80,""
)</f>
        <v>Battery Defect</v>
      </c>
      <c r="O127" s="16" t="str">
        <f>IF(MacReports!I127="Service","Battery Service","")</f>
        <v/>
      </c>
      <c r="P127" s="13">
        <f>MacReports!P127</f>
        <v>0</v>
      </c>
      <c r="Q127" s="13" t="str">
        <f>IF(MacReports!J127="Enabled","Apple ID Lock","")</f>
        <v/>
      </c>
      <c r="R127" s="13" t="str">
        <f>IF(MacReports!L127="y","Remote Locked","")</f>
        <v/>
      </c>
      <c r="S127" t="str">
        <f t="shared" si="5"/>
        <v>Battery Defect, 0</v>
      </c>
      <c r="T127" t="str">
        <f>_xlfn.XLOOKUP(B127,Disk_Pivot!G:G,Disk_Pivot!I:I)</f>
        <v>Yes</v>
      </c>
      <c r="U127" t="str">
        <f>_xlfn.XLOOKUP(B127,Disk_Pivot!G:G,Disk_Pivot!N:N)</f>
        <v>Fail</v>
      </c>
      <c r="V127">
        <f>IF(U127="Fail",MacReports!N127,"")</f>
        <v>0</v>
      </c>
      <c r="AB127" t="str">
        <f t="shared" si="6"/>
        <v/>
      </c>
    </row>
    <row r="128" spans="1:28">
      <c r="A128" t="str">
        <f>MacReports!A128</f>
        <v/>
      </c>
      <c r="B128">
        <f>MacReports!B128</f>
        <v>0</v>
      </c>
      <c r="C128">
        <f>MacReports!C128</f>
        <v>0</v>
      </c>
      <c r="E128" t="e">
        <f>_xlfn.XLOOKUP(G128,Models!A:A,Models!F:F)</f>
        <v>#N/A</v>
      </c>
      <c r="F128" t="str">
        <f>_xlfn.XLOOKUP(B128,MacReports!B:B,MacReports!D:D,"")</f>
        <v/>
      </c>
      <c r="G128" s="13">
        <f>MacReports!E128</f>
        <v>0</v>
      </c>
      <c r="H128" t="e">
        <f>_xlfn.XLOOKUP(G128,Models!A:A,Models!B:B)</f>
        <v>#N/A</v>
      </c>
      <c r="I128" t="e">
        <f>_xlfn.XLOOKUP(G128,Models!A:A,Models!E:E)</f>
        <v>#N/A</v>
      </c>
      <c r="J128" t="e">
        <f>_xlfn.XLOOKUP(G128,Models!A:A,Models!D:D)</f>
        <v>#N/A</v>
      </c>
      <c r="K128">
        <f>MacReports!F128</f>
        <v>0</v>
      </c>
      <c r="L128">
        <f>MacReports!G128</f>
        <v>0</v>
      </c>
      <c r="M128" s="15" t="e" cm="1">
        <f t="array" ref="M128">--_xlfn.LET(
    _xlpm.txt, MacReports!H128,
    _xlpm.chars, MID(_xlpm.txt, _xlfn.SEQUENCE(LEN(_xlpm.txt)), 1),
    _xlfn.TEXTJOIN("", TRUE, IF(ISNUMBER(--_xlpm.chars), _xlpm.chars, ""))
)</f>
        <v>#VALUE!</v>
      </c>
      <c r="N128" s="16" t="str" cm="1">
        <f t="array" ref="N128">_xlfn.IFS(
   --MacReports!M128&lt;55,"Battery Defect",
  -- MacReports!M128&lt;=69,"Battery D",
  --MacReports!M128&lt;=80,"Battery C",
 --MacReports!M128&gt;80,""
)</f>
        <v>Battery Defect</v>
      </c>
      <c r="O128" s="16" t="str">
        <f>IF(MacReports!I128="Service","Battery Service","")</f>
        <v/>
      </c>
      <c r="P128" s="13">
        <f>MacReports!P128</f>
        <v>0</v>
      </c>
      <c r="Q128" s="13" t="str">
        <f>IF(MacReports!J128="Enabled","Apple ID Lock","")</f>
        <v/>
      </c>
      <c r="R128" s="13" t="str">
        <f>IF(MacReports!L128="y","Remote Locked","")</f>
        <v/>
      </c>
      <c r="S128" t="str">
        <f t="shared" si="5"/>
        <v>Battery Defect, 0</v>
      </c>
      <c r="T128" t="str">
        <f>_xlfn.XLOOKUP(B128,Disk_Pivot!G:G,Disk_Pivot!I:I)</f>
        <v>Yes</v>
      </c>
      <c r="U128" t="str">
        <f>_xlfn.XLOOKUP(B128,Disk_Pivot!G:G,Disk_Pivot!N:N)</f>
        <v>Fail</v>
      </c>
      <c r="V128">
        <f>IF(U128="Fail",MacReports!N128,"")</f>
        <v>0</v>
      </c>
      <c r="AB128" t="str">
        <f t="shared" si="6"/>
        <v/>
      </c>
    </row>
    <row r="129" spans="1:28">
      <c r="A129" t="str">
        <f>MacReports!A129</f>
        <v/>
      </c>
      <c r="B129">
        <f>MacReports!B129</f>
        <v>0</v>
      </c>
      <c r="C129">
        <f>MacReports!C129</f>
        <v>0</v>
      </c>
      <c r="E129" t="e">
        <f>_xlfn.XLOOKUP(G129,Models!A:A,Models!F:F)</f>
        <v>#N/A</v>
      </c>
      <c r="F129" t="str">
        <f>_xlfn.XLOOKUP(B129,MacReports!B:B,MacReports!D:D,"")</f>
        <v/>
      </c>
      <c r="G129" s="13">
        <f>MacReports!E129</f>
        <v>0</v>
      </c>
      <c r="H129" t="e">
        <f>_xlfn.XLOOKUP(G129,Models!A:A,Models!B:B)</f>
        <v>#N/A</v>
      </c>
      <c r="I129" t="e">
        <f>_xlfn.XLOOKUP(G129,Models!A:A,Models!E:E)</f>
        <v>#N/A</v>
      </c>
      <c r="J129" t="e">
        <f>_xlfn.XLOOKUP(G129,Models!A:A,Models!D:D)</f>
        <v>#N/A</v>
      </c>
      <c r="K129">
        <f>MacReports!F129</f>
        <v>0</v>
      </c>
      <c r="L129">
        <f>MacReports!G129</f>
        <v>0</v>
      </c>
      <c r="M129" s="15" t="e" cm="1">
        <f t="array" ref="M129">--_xlfn.LET(
    _xlpm.txt, MacReports!H129,
    _xlpm.chars, MID(_xlpm.txt, _xlfn.SEQUENCE(LEN(_xlpm.txt)), 1),
    _xlfn.TEXTJOIN("", TRUE, IF(ISNUMBER(--_xlpm.chars), _xlpm.chars, ""))
)</f>
        <v>#VALUE!</v>
      </c>
      <c r="N129" s="16" t="str" cm="1">
        <f t="array" ref="N129">_xlfn.IFS(
   --MacReports!M129&lt;55,"Battery Defect",
  -- MacReports!M129&lt;=69,"Battery D",
  --MacReports!M129&lt;=80,"Battery C",
 --MacReports!M129&gt;80,""
)</f>
        <v>Battery Defect</v>
      </c>
      <c r="O129" s="16" t="str">
        <f>IF(MacReports!I129="Service","Battery Service","")</f>
        <v/>
      </c>
      <c r="P129" s="13">
        <f>MacReports!P129</f>
        <v>0</v>
      </c>
      <c r="Q129" s="13" t="str">
        <f>IF(MacReports!J129="Enabled","Apple ID Lock","")</f>
        <v/>
      </c>
      <c r="R129" s="13" t="str">
        <f>IF(MacReports!L129="y","Remote Locked","")</f>
        <v/>
      </c>
      <c r="S129" t="str">
        <f t="shared" si="5"/>
        <v>Battery Defect, 0</v>
      </c>
      <c r="T129" t="str">
        <f>_xlfn.XLOOKUP(B129,Disk_Pivot!G:G,Disk_Pivot!I:I)</f>
        <v>Yes</v>
      </c>
      <c r="U129" t="str">
        <f>_xlfn.XLOOKUP(B129,Disk_Pivot!G:G,Disk_Pivot!N:N)</f>
        <v>Fail</v>
      </c>
      <c r="V129">
        <f>IF(U129="Fail",MacReports!N129,"")</f>
        <v>0</v>
      </c>
      <c r="AB129" t="str">
        <f t="shared" si="6"/>
        <v/>
      </c>
    </row>
    <row r="130" spans="1:28">
      <c r="A130" t="str">
        <f>MacReports!A130</f>
        <v/>
      </c>
      <c r="B130">
        <f>MacReports!B130</f>
        <v>0</v>
      </c>
      <c r="C130">
        <f>MacReports!C130</f>
        <v>0</v>
      </c>
      <c r="E130" t="e">
        <f>_xlfn.XLOOKUP(G130,Models!A:A,Models!F:F)</f>
        <v>#N/A</v>
      </c>
      <c r="F130" t="str">
        <f>_xlfn.XLOOKUP(B130,MacReports!B:B,MacReports!D:D,"")</f>
        <v/>
      </c>
      <c r="G130" s="13">
        <f>MacReports!E130</f>
        <v>0</v>
      </c>
      <c r="H130" t="e">
        <f>_xlfn.XLOOKUP(G130,Models!A:A,Models!B:B)</f>
        <v>#N/A</v>
      </c>
      <c r="I130" t="e">
        <f>_xlfn.XLOOKUP(G130,Models!A:A,Models!E:E)</f>
        <v>#N/A</v>
      </c>
      <c r="J130" t="e">
        <f>_xlfn.XLOOKUP(G130,Models!A:A,Models!D:D)</f>
        <v>#N/A</v>
      </c>
      <c r="K130">
        <f>MacReports!F130</f>
        <v>0</v>
      </c>
      <c r="L130">
        <f>MacReports!G130</f>
        <v>0</v>
      </c>
      <c r="M130" s="15" t="e" cm="1">
        <f t="array" ref="M130">--_xlfn.LET(
    _xlpm.txt, MacReports!H130,
    _xlpm.chars, MID(_xlpm.txt, _xlfn.SEQUENCE(LEN(_xlpm.txt)), 1),
    _xlfn.TEXTJOIN("", TRUE, IF(ISNUMBER(--_xlpm.chars), _xlpm.chars, ""))
)</f>
        <v>#VALUE!</v>
      </c>
      <c r="N130" s="16" t="str" cm="1">
        <f t="array" ref="N130">_xlfn.IFS(
   --MacReports!M130&lt;55,"Battery Defect",
  -- MacReports!M130&lt;=69,"Battery D",
  --MacReports!M130&lt;=80,"Battery C",
 --MacReports!M130&gt;80,""
)</f>
        <v>Battery Defect</v>
      </c>
      <c r="O130" s="16" t="str">
        <f>IF(MacReports!I130="Service","Battery Service","")</f>
        <v/>
      </c>
      <c r="P130" s="13">
        <f>MacReports!P130</f>
        <v>0</v>
      </c>
      <c r="Q130" s="13" t="str">
        <f>IF(MacReports!J130="Enabled","Apple ID Lock","")</f>
        <v/>
      </c>
      <c r="R130" s="13" t="str">
        <f>IF(MacReports!L130="y","Remote Locked","")</f>
        <v/>
      </c>
      <c r="S130" t="str">
        <f t="shared" si="5"/>
        <v>Battery Defect, 0</v>
      </c>
      <c r="T130" t="str">
        <f>_xlfn.XLOOKUP(B130,Disk_Pivot!G:G,Disk_Pivot!I:I)</f>
        <v>Yes</v>
      </c>
      <c r="U130" t="str">
        <f>_xlfn.XLOOKUP(B130,Disk_Pivot!G:G,Disk_Pivot!N:N)</f>
        <v>Fail</v>
      </c>
      <c r="V130">
        <f>IF(U130="Fail",MacReports!N130,"")</f>
        <v>0</v>
      </c>
      <c r="AB130" t="str">
        <f t="shared" si="6"/>
        <v/>
      </c>
    </row>
    <row r="131" spans="1:28">
      <c r="A131" t="str">
        <f>MacReports!A131</f>
        <v/>
      </c>
      <c r="B131">
        <f>MacReports!B131</f>
        <v>0</v>
      </c>
      <c r="C131">
        <f>MacReports!C131</f>
        <v>0</v>
      </c>
      <c r="E131" t="e">
        <f>_xlfn.XLOOKUP(G131,Models!A:A,Models!F:F)</f>
        <v>#N/A</v>
      </c>
      <c r="F131" t="str">
        <f>_xlfn.XLOOKUP(B131,MacReports!B:B,MacReports!D:D,"")</f>
        <v/>
      </c>
      <c r="G131" s="13">
        <f>MacReports!E131</f>
        <v>0</v>
      </c>
      <c r="H131" t="e">
        <f>_xlfn.XLOOKUP(G131,Models!A:A,Models!B:B)</f>
        <v>#N/A</v>
      </c>
      <c r="I131" t="e">
        <f>_xlfn.XLOOKUP(G131,Models!A:A,Models!E:E)</f>
        <v>#N/A</v>
      </c>
      <c r="J131" t="e">
        <f>_xlfn.XLOOKUP(G131,Models!A:A,Models!D:D)</f>
        <v>#N/A</v>
      </c>
      <c r="K131">
        <f>MacReports!F131</f>
        <v>0</v>
      </c>
      <c r="L131">
        <f>MacReports!G131</f>
        <v>0</v>
      </c>
      <c r="M131" s="15" t="e" cm="1">
        <f t="array" ref="M131">--_xlfn.LET(
    _xlpm.txt, MacReports!H131,
    _xlpm.chars, MID(_xlpm.txt, _xlfn.SEQUENCE(LEN(_xlpm.txt)), 1),
    _xlfn.TEXTJOIN("", TRUE, IF(ISNUMBER(--_xlpm.chars), _xlpm.chars, ""))
)</f>
        <v>#VALUE!</v>
      </c>
      <c r="N131" s="16" t="str" cm="1">
        <f t="array" ref="N131">_xlfn.IFS(
   --MacReports!M131&lt;55,"Battery Defect",
  -- MacReports!M131&lt;=69,"Battery D",
  --MacReports!M131&lt;=80,"Battery C",
 --MacReports!M131&gt;80,""
)</f>
        <v>Battery Defect</v>
      </c>
      <c r="O131" s="16" t="str">
        <f>IF(MacReports!I131="Service","Battery Service","")</f>
        <v/>
      </c>
      <c r="P131" s="13">
        <f>MacReports!P131</f>
        <v>0</v>
      </c>
      <c r="Q131" s="13" t="str">
        <f>IF(MacReports!J131="Enabled","Apple ID Lock","")</f>
        <v/>
      </c>
      <c r="R131" s="13" t="str">
        <f>IF(MacReports!L131="y","Remote Locked","")</f>
        <v/>
      </c>
      <c r="S131" t="str">
        <f t="shared" si="5"/>
        <v>Battery Defect, 0</v>
      </c>
      <c r="T131" t="str">
        <f>_xlfn.XLOOKUP(B131,Disk_Pivot!G:G,Disk_Pivot!I:I)</f>
        <v>Yes</v>
      </c>
      <c r="U131" t="str">
        <f>_xlfn.XLOOKUP(B131,Disk_Pivot!G:G,Disk_Pivot!N:N)</f>
        <v>Fail</v>
      </c>
      <c r="V131">
        <f>IF(U131="Fail",MacReports!N131,"")</f>
        <v>0</v>
      </c>
      <c r="AB131" t="str">
        <f t="shared" si="6"/>
        <v/>
      </c>
    </row>
    <row r="132" spans="1:28">
      <c r="A132" t="str">
        <f>MacReports!A132</f>
        <v/>
      </c>
      <c r="B132">
        <f>MacReports!B132</f>
        <v>0</v>
      </c>
      <c r="C132">
        <f>MacReports!C132</f>
        <v>0</v>
      </c>
      <c r="E132" t="e">
        <f>_xlfn.XLOOKUP(G132,Models!A:A,Models!F:F)</f>
        <v>#N/A</v>
      </c>
      <c r="F132" t="str">
        <f>_xlfn.XLOOKUP(B132,MacReports!B:B,MacReports!D:D,"")</f>
        <v/>
      </c>
      <c r="G132" s="13">
        <f>MacReports!E132</f>
        <v>0</v>
      </c>
      <c r="H132" t="e">
        <f>_xlfn.XLOOKUP(G132,Models!A:A,Models!B:B)</f>
        <v>#N/A</v>
      </c>
      <c r="I132" t="e">
        <f>_xlfn.XLOOKUP(G132,Models!A:A,Models!E:E)</f>
        <v>#N/A</v>
      </c>
      <c r="J132" t="e">
        <f>_xlfn.XLOOKUP(G132,Models!A:A,Models!D:D)</f>
        <v>#N/A</v>
      </c>
      <c r="K132">
        <f>MacReports!F132</f>
        <v>0</v>
      </c>
      <c r="L132">
        <f>MacReports!G132</f>
        <v>0</v>
      </c>
      <c r="M132" s="15" t="e" cm="1">
        <f t="array" ref="M132">--_xlfn.LET(
    _xlpm.txt, MacReports!H132,
    _xlpm.chars, MID(_xlpm.txt, _xlfn.SEQUENCE(LEN(_xlpm.txt)), 1),
    _xlfn.TEXTJOIN("", TRUE, IF(ISNUMBER(--_xlpm.chars), _xlpm.chars, ""))
)</f>
        <v>#VALUE!</v>
      </c>
      <c r="N132" s="16" t="str" cm="1">
        <f t="array" ref="N132">_xlfn.IFS(
   --MacReports!M132&lt;55,"Battery Defect",
  -- MacReports!M132&lt;=69,"Battery D",
  --MacReports!M132&lt;=80,"Battery C",
 --MacReports!M132&gt;80,""
)</f>
        <v>Battery Defect</v>
      </c>
      <c r="O132" s="16" t="str">
        <f>IF(MacReports!I132="Service","Battery Service","")</f>
        <v/>
      </c>
      <c r="P132" s="13">
        <f>MacReports!P132</f>
        <v>0</v>
      </c>
      <c r="Q132" s="13" t="str">
        <f>IF(MacReports!J132="Enabled","Apple ID Lock","")</f>
        <v/>
      </c>
      <c r="R132" s="13" t="str">
        <f>IF(MacReports!L132="y","Remote Locked","")</f>
        <v/>
      </c>
      <c r="S132" t="str">
        <f t="shared" si="5"/>
        <v>Battery Defect, 0</v>
      </c>
      <c r="T132" t="str">
        <f>_xlfn.XLOOKUP(B132,Disk_Pivot!G:G,Disk_Pivot!I:I)</f>
        <v>Yes</v>
      </c>
      <c r="U132" t="str">
        <f>_xlfn.XLOOKUP(B132,Disk_Pivot!G:G,Disk_Pivot!N:N)</f>
        <v>Fail</v>
      </c>
      <c r="V132">
        <f>IF(U132="Fail",MacReports!N132,"")</f>
        <v>0</v>
      </c>
      <c r="AB132" t="str">
        <f t="shared" si="6"/>
        <v/>
      </c>
    </row>
    <row r="133" spans="1:28">
      <c r="A133" t="str">
        <f>MacReports!A133</f>
        <v/>
      </c>
      <c r="B133">
        <f>MacReports!B133</f>
        <v>0</v>
      </c>
      <c r="C133">
        <f>MacReports!C133</f>
        <v>0</v>
      </c>
      <c r="E133" t="e">
        <f>_xlfn.XLOOKUP(G133,Models!A:A,Models!F:F)</f>
        <v>#N/A</v>
      </c>
      <c r="F133" t="str">
        <f>_xlfn.XLOOKUP(B133,MacReports!B:B,MacReports!D:D,"")</f>
        <v/>
      </c>
      <c r="G133" s="13">
        <f>MacReports!E133</f>
        <v>0</v>
      </c>
      <c r="H133" t="e">
        <f>_xlfn.XLOOKUP(G133,Models!A:A,Models!B:B)</f>
        <v>#N/A</v>
      </c>
      <c r="I133" t="e">
        <f>_xlfn.XLOOKUP(G133,Models!A:A,Models!E:E)</f>
        <v>#N/A</v>
      </c>
      <c r="J133" t="e">
        <f>_xlfn.XLOOKUP(G133,Models!A:A,Models!D:D)</f>
        <v>#N/A</v>
      </c>
      <c r="K133">
        <f>MacReports!F133</f>
        <v>0</v>
      </c>
      <c r="L133">
        <f>MacReports!G133</f>
        <v>0</v>
      </c>
      <c r="M133" s="15" t="e" cm="1">
        <f t="array" ref="M133">--_xlfn.LET(
    _xlpm.txt, MacReports!H133,
    _xlpm.chars, MID(_xlpm.txt, _xlfn.SEQUENCE(LEN(_xlpm.txt)), 1),
    _xlfn.TEXTJOIN("", TRUE, IF(ISNUMBER(--_xlpm.chars), _xlpm.chars, ""))
)</f>
        <v>#VALUE!</v>
      </c>
      <c r="N133" s="16" t="str" cm="1">
        <f t="array" ref="N133">_xlfn.IFS(
   --MacReports!M133&lt;55,"Battery Defect",
  -- MacReports!M133&lt;=69,"Battery D",
  --MacReports!M133&lt;=80,"Battery C",
 --MacReports!M133&gt;80,""
)</f>
        <v>Battery Defect</v>
      </c>
      <c r="O133" s="16" t="str">
        <f>IF(MacReports!I133="Service","Battery Service","")</f>
        <v/>
      </c>
      <c r="P133" s="13">
        <f>MacReports!P133</f>
        <v>0</v>
      </c>
      <c r="Q133" s="13" t="str">
        <f>IF(MacReports!J133="Enabled","Apple ID Lock","")</f>
        <v/>
      </c>
      <c r="R133" s="13" t="str">
        <f>IF(MacReports!L133="y","Remote Locked","")</f>
        <v/>
      </c>
      <c r="S133" t="str">
        <f t="shared" si="5"/>
        <v>Battery Defect, 0</v>
      </c>
      <c r="T133" t="str">
        <f>_xlfn.XLOOKUP(B133,Disk_Pivot!G:G,Disk_Pivot!I:I)</f>
        <v>Yes</v>
      </c>
      <c r="U133" t="str">
        <f>_xlfn.XLOOKUP(B133,Disk_Pivot!G:G,Disk_Pivot!N:N)</f>
        <v>Fail</v>
      </c>
      <c r="V133">
        <f>IF(U133="Fail",MacReports!N133,"")</f>
        <v>0</v>
      </c>
      <c r="AB133" t="str">
        <f t="shared" si="6"/>
        <v/>
      </c>
    </row>
    <row r="134" spans="1:28">
      <c r="A134" t="str">
        <f>MacReports!A134</f>
        <v/>
      </c>
      <c r="B134">
        <f>MacReports!B134</f>
        <v>0</v>
      </c>
      <c r="C134">
        <f>MacReports!C134</f>
        <v>0</v>
      </c>
      <c r="E134" t="e">
        <f>_xlfn.XLOOKUP(G134,Models!A:A,Models!F:F)</f>
        <v>#N/A</v>
      </c>
      <c r="F134" t="str">
        <f>_xlfn.XLOOKUP(B134,MacReports!B:B,MacReports!D:D,"")</f>
        <v/>
      </c>
      <c r="G134" s="13">
        <f>MacReports!E134</f>
        <v>0</v>
      </c>
      <c r="H134" t="e">
        <f>_xlfn.XLOOKUP(G134,Models!A:A,Models!B:B)</f>
        <v>#N/A</v>
      </c>
      <c r="I134" t="e">
        <f>_xlfn.XLOOKUP(G134,Models!A:A,Models!E:E)</f>
        <v>#N/A</v>
      </c>
      <c r="J134" t="e">
        <f>_xlfn.XLOOKUP(G134,Models!A:A,Models!D:D)</f>
        <v>#N/A</v>
      </c>
      <c r="K134">
        <f>MacReports!F134</f>
        <v>0</v>
      </c>
      <c r="L134">
        <f>MacReports!G134</f>
        <v>0</v>
      </c>
      <c r="M134" s="15" t="e" cm="1">
        <f t="array" ref="M134">--_xlfn.LET(
    _xlpm.txt, MacReports!H134,
    _xlpm.chars, MID(_xlpm.txt, _xlfn.SEQUENCE(LEN(_xlpm.txt)), 1),
    _xlfn.TEXTJOIN("", TRUE, IF(ISNUMBER(--_xlpm.chars), _xlpm.chars, ""))
)</f>
        <v>#VALUE!</v>
      </c>
      <c r="N134" s="16" t="str" cm="1">
        <f t="array" ref="N134">_xlfn.IFS(
   --MacReports!M134&lt;55,"Battery Defect",
  -- MacReports!M134&lt;=69,"Battery D",
  --MacReports!M134&lt;=80,"Battery C",
 --MacReports!M134&gt;80,""
)</f>
        <v>Battery Defect</v>
      </c>
      <c r="O134" s="16" t="str">
        <f>IF(MacReports!I134="Service","Battery Service","")</f>
        <v/>
      </c>
      <c r="P134" s="13">
        <f>MacReports!P134</f>
        <v>0</v>
      </c>
      <c r="Q134" s="13" t="str">
        <f>IF(MacReports!J134="Enabled","Apple ID Lock","")</f>
        <v/>
      </c>
      <c r="R134" s="13" t="str">
        <f>IF(MacReports!L134="y","Remote Locked","")</f>
        <v/>
      </c>
      <c r="S134" t="str">
        <f t="shared" si="5"/>
        <v>Battery Defect, 0</v>
      </c>
      <c r="T134" t="str">
        <f>_xlfn.XLOOKUP(B134,Disk_Pivot!G:G,Disk_Pivot!I:I)</f>
        <v>Yes</v>
      </c>
      <c r="U134" t="str">
        <f>_xlfn.XLOOKUP(B134,Disk_Pivot!G:G,Disk_Pivot!N:N)</f>
        <v>Fail</v>
      </c>
      <c r="V134">
        <f>IF(U134="Fail",MacReports!N134,"")</f>
        <v>0</v>
      </c>
      <c r="AB134" t="str">
        <f t="shared" si="6"/>
        <v/>
      </c>
    </row>
    <row r="135" spans="1:28">
      <c r="A135" t="str">
        <f>MacReports!A135</f>
        <v/>
      </c>
      <c r="B135">
        <f>MacReports!B135</f>
        <v>0</v>
      </c>
      <c r="C135">
        <f>MacReports!C135</f>
        <v>0</v>
      </c>
      <c r="E135" t="e">
        <f>_xlfn.XLOOKUP(G135,Models!A:A,Models!F:F)</f>
        <v>#N/A</v>
      </c>
      <c r="F135" t="str">
        <f>_xlfn.XLOOKUP(B135,MacReports!B:B,MacReports!D:D,"")</f>
        <v/>
      </c>
      <c r="G135" s="13">
        <f>MacReports!E135</f>
        <v>0</v>
      </c>
      <c r="H135" t="e">
        <f>_xlfn.XLOOKUP(G135,Models!A:A,Models!B:B)</f>
        <v>#N/A</v>
      </c>
      <c r="I135" t="e">
        <f>_xlfn.XLOOKUP(G135,Models!A:A,Models!E:E)</f>
        <v>#N/A</v>
      </c>
      <c r="J135" t="e">
        <f>_xlfn.XLOOKUP(G135,Models!A:A,Models!D:D)</f>
        <v>#N/A</v>
      </c>
      <c r="K135">
        <f>MacReports!F135</f>
        <v>0</v>
      </c>
      <c r="L135">
        <f>MacReports!G135</f>
        <v>0</v>
      </c>
      <c r="M135" s="15" t="e" cm="1">
        <f t="array" ref="M135">--_xlfn.LET(
    _xlpm.txt, MacReports!H135,
    _xlpm.chars, MID(_xlpm.txt, _xlfn.SEQUENCE(LEN(_xlpm.txt)), 1),
    _xlfn.TEXTJOIN("", TRUE, IF(ISNUMBER(--_xlpm.chars), _xlpm.chars, ""))
)</f>
        <v>#VALUE!</v>
      </c>
      <c r="N135" s="16" t="str" cm="1">
        <f t="array" ref="N135">_xlfn.IFS(
   --MacReports!M135&lt;55,"Battery Defect",
  -- MacReports!M135&lt;=69,"Battery D",
  --MacReports!M135&lt;=80,"Battery C",
 --MacReports!M135&gt;80,""
)</f>
        <v>Battery Defect</v>
      </c>
      <c r="O135" s="16" t="str">
        <f>IF(MacReports!I135="Service","Battery Service","")</f>
        <v/>
      </c>
      <c r="P135" s="13">
        <f>MacReports!P135</f>
        <v>0</v>
      </c>
      <c r="Q135" s="13" t="str">
        <f>IF(MacReports!J135="Enabled","Apple ID Lock","")</f>
        <v/>
      </c>
      <c r="R135" s="13" t="str">
        <f>IF(MacReports!L135="y","Remote Locked","")</f>
        <v/>
      </c>
      <c r="S135" t="str">
        <f t="shared" si="5"/>
        <v>Battery Defect, 0</v>
      </c>
      <c r="T135" t="str">
        <f>_xlfn.XLOOKUP(B135,Disk_Pivot!G:G,Disk_Pivot!I:I)</f>
        <v>Yes</v>
      </c>
      <c r="U135" t="str">
        <f>_xlfn.XLOOKUP(B135,Disk_Pivot!G:G,Disk_Pivot!N:N)</f>
        <v>Fail</v>
      </c>
      <c r="V135">
        <f>IF(U135="Fail",MacReports!N135,"")</f>
        <v>0</v>
      </c>
      <c r="AB135" t="str">
        <f t="shared" si="6"/>
        <v/>
      </c>
    </row>
    <row r="136" spans="1:28">
      <c r="A136" t="str">
        <f>MacReports!A136</f>
        <v/>
      </c>
      <c r="B136">
        <f>MacReports!B136</f>
        <v>0</v>
      </c>
      <c r="C136">
        <f>MacReports!C136</f>
        <v>0</v>
      </c>
      <c r="E136" t="e">
        <f>_xlfn.XLOOKUP(G136,Models!A:A,Models!F:F)</f>
        <v>#N/A</v>
      </c>
      <c r="F136" t="str">
        <f>_xlfn.XLOOKUP(B136,MacReports!B:B,MacReports!D:D,"")</f>
        <v/>
      </c>
      <c r="G136" s="13">
        <f>MacReports!E136</f>
        <v>0</v>
      </c>
      <c r="H136" t="e">
        <f>_xlfn.XLOOKUP(G136,Models!A:A,Models!B:B)</f>
        <v>#N/A</v>
      </c>
      <c r="I136" t="e">
        <f>_xlfn.XLOOKUP(G136,Models!A:A,Models!E:E)</f>
        <v>#N/A</v>
      </c>
      <c r="J136" t="e">
        <f>_xlfn.XLOOKUP(G136,Models!A:A,Models!D:D)</f>
        <v>#N/A</v>
      </c>
      <c r="K136">
        <f>MacReports!F136</f>
        <v>0</v>
      </c>
      <c r="L136">
        <f>MacReports!G136</f>
        <v>0</v>
      </c>
      <c r="M136" s="15" t="e" cm="1">
        <f t="array" ref="M136">--_xlfn.LET(
    _xlpm.txt, MacReports!H136,
    _xlpm.chars, MID(_xlpm.txt, _xlfn.SEQUENCE(LEN(_xlpm.txt)), 1),
    _xlfn.TEXTJOIN("", TRUE, IF(ISNUMBER(--_xlpm.chars), _xlpm.chars, ""))
)</f>
        <v>#VALUE!</v>
      </c>
      <c r="N136" s="16" t="str" cm="1">
        <f t="array" ref="N136">_xlfn.IFS(
   --MacReports!M136&lt;55,"Battery Defect",
  -- MacReports!M136&lt;=69,"Battery D",
  --MacReports!M136&lt;=80,"Battery C",
 --MacReports!M136&gt;80,""
)</f>
        <v>Battery Defect</v>
      </c>
      <c r="O136" s="16" t="str">
        <f>IF(MacReports!I136="Service","Battery Service","")</f>
        <v/>
      </c>
      <c r="P136" s="13">
        <f>MacReports!P136</f>
        <v>0</v>
      </c>
      <c r="Q136" s="13" t="str">
        <f>IF(MacReports!J136="Enabled","Apple ID Lock","")</f>
        <v/>
      </c>
      <c r="R136" s="13" t="str">
        <f>IF(MacReports!L136="y","Remote Locked","")</f>
        <v/>
      </c>
      <c r="S136" t="str">
        <f t="shared" si="5"/>
        <v>Battery Defect, 0</v>
      </c>
      <c r="T136" t="str">
        <f>_xlfn.XLOOKUP(B136,Disk_Pivot!G:G,Disk_Pivot!I:I)</f>
        <v>Yes</v>
      </c>
      <c r="U136" t="str">
        <f>_xlfn.XLOOKUP(B136,Disk_Pivot!G:G,Disk_Pivot!N:N)</f>
        <v>Fail</v>
      </c>
      <c r="V136">
        <f>IF(U136="Fail",MacReports!N136,"")</f>
        <v>0</v>
      </c>
      <c r="AB136" t="str">
        <f t="shared" si="6"/>
        <v/>
      </c>
    </row>
    <row r="137" spans="1:28">
      <c r="A137" t="str">
        <f>MacReports!A137</f>
        <v/>
      </c>
      <c r="B137">
        <f>MacReports!B137</f>
        <v>0</v>
      </c>
      <c r="C137">
        <f>MacReports!C137</f>
        <v>0</v>
      </c>
      <c r="E137" t="e">
        <f>_xlfn.XLOOKUP(G137,Models!A:A,Models!F:F)</f>
        <v>#N/A</v>
      </c>
      <c r="F137" t="str">
        <f>_xlfn.XLOOKUP(B137,MacReports!B:B,MacReports!D:D,"")</f>
        <v/>
      </c>
      <c r="G137" s="13">
        <f>MacReports!E137</f>
        <v>0</v>
      </c>
      <c r="H137" t="e">
        <f>_xlfn.XLOOKUP(G137,Models!A:A,Models!B:B)</f>
        <v>#N/A</v>
      </c>
      <c r="I137" t="e">
        <f>_xlfn.XLOOKUP(G137,Models!A:A,Models!E:E)</f>
        <v>#N/A</v>
      </c>
      <c r="J137" t="e">
        <f>_xlfn.XLOOKUP(G137,Models!A:A,Models!D:D)</f>
        <v>#N/A</v>
      </c>
      <c r="K137">
        <f>MacReports!F137</f>
        <v>0</v>
      </c>
      <c r="L137">
        <f>MacReports!G137</f>
        <v>0</v>
      </c>
      <c r="M137" s="15" t="e" cm="1">
        <f t="array" ref="M137">--_xlfn.LET(
    _xlpm.txt, MacReports!H137,
    _xlpm.chars, MID(_xlpm.txt, _xlfn.SEQUENCE(LEN(_xlpm.txt)), 1),
    _xlfn.TEXTJOIN("", TRUE, IF(ISNUMBER(--_xlpm.chars), _xlpm.chars, ""))
)</f>
        <v>#VALUE!</v>
      </c>
      <c r="N137" s="16" t="str" cm="1">
        <f t="array" ref="N137">_xlfn.IFS(
   --MacReports!M137&lt;55,"Battery Defect",
  -- MacReports!M137&lt;=69,"Battery D",
  --MacReports!M137&lt;=80,"Battery C",
 --MacReports!M137&gt;80,""
)</f>
        <v>Battery Defect</v>
      </c>
      <c r="O137" s="16" t="str">
        <f>IF(MacReports!I137="Service","Battery Service","")</f>
        <v/>
      </c>
      <c r="P137" s="13">
        <f>MacReports!P137</f>
        <v>0</v>
      </c>
      <c r="Q137" s="13" t="str">
        <f>IF(MacReports!J137="Enabled","Apple ID Lock","")</f>
        <v/>
      </c>
      <c r="R137" s="13" t="str">
        <f>IF(MacReports!L137="y","Remote Locked","")</f>
        <v/>
      </c>
      <c r="S137" t="str">
        <f t="shared" si="5"/>
        <v>Battery Defect, 0</v>
      </c>
      <c r="T137" t="str">
        <f>_xlfn.XLOOKUP(B137,Disk_Pivot!G:G,Disk_Pivot!I:I)</f>
        <v>Yes</v>
      </c>
      <c r="U137" t="str">
        <f>_xlfn.XLOOKUP(B137,Disk_Pivot!G:G,Disk_Pivot!N:N)</f>
        <v>Fail</v>
      </c>
      <c r="V137">
        <f>IF(U137="Fail",MacReports!N137,"")</f>
        <v>0</v>
      </c>
      <c r="AB137" t="str">
        <f t="shared" si="6"/>
        <v/>
      </c>
    </row>
    <row r="138" spans="1:28">
      <c r="A138" t="str">
        <f>MacReports!A138</f>
        <v/>
      </c>
      <c r="B138">
        <f>MacReports!B138</f>
        <v>0</v>
      </c>
      <c r="C138">
        <f>MacReports!C138</f>
        <v>0</v>
      </c>
      <c r="E138" t="e">
        <f>_xlfn.XLOOKUP(G138,Models!A:A,Models!F:F)</f>
        <v>#N/A</v>
      </c>
      <c r="F138" t="str">
        <f>_xlfn.XLOOKUP(B138,MacReports!B:B,MacReports!D:D,"")</f>
        <v/>
      </c>
      <c r="G138" s="13">
        <f>MacReports!E138</f>
        <v>0</v>
      </c>
      <c r="H138" t="e">
        <f>_xlfn.XLOOKUP(G138,Models!A:A,Models!B:B)</f>
        <v>#N/A</v>
      </c>
      <c r="I138" t="e">
        <f>_xlfn.XLOOKUP(G138,Models!A:A,Models!E:E)</f>
        <v>#N/A</v>
      </c>
      <c r="J138" t="e">
        <f>_xlfn.XLOOKUP(G138,Models!A:A,Models!D:D)</f>
        <v>#N/A</v>
      </c>
      <c r="K138">
        <f>MacReports!F138</f>
        <v>0</v>
      </c>
      <c r="L138">
        <f>MacReports!G138</f>
        <v>0</v>
      </c>
      <c r="M138" s="15" t="e" cm="1">
        <f t="array" ref="M138">--_xlfn.LET(
    _xlpm.txt, MacReports!H138,
    _xlpm.chars, MID(_xlpm.txt, _xlfn.SEQUENCE(LEN(_xlpm.txt)), 1),
    _xlfn.TEXTJOIN("", TRUE, IF(ISNUMBER(--_xlpm.chars), _xlpm.chars, ""))
)</f>
        <v>#VALUE!</v>
      </c>
      <c r="N138" s="16" t="str" cm="1">
        <f t="array" ref="N138">_xlfn.IFS(
   --MacReports!M138&lt;55,"Battery Defect",
  -- MacReports!M138&lt;=69,"Battery D",
  --MacReports!M138&lt;=80,"Battery C",
 --MacReports!M138&gt;80,""
)</f>
        <v>Battery Defect</v>
      </c>
      <c r="O138" s="16" t="str">
        <f>IF(MacReports!I138="Service","Battery Service","")</f>
        <v/>
      </c>
      <c r="P138" s="13">
        <f>MacReports!P138</f>
        <v>0</v>
      </c>
      <c r="Q138" s="13" t="str">
        <f>IF(MacReports!J138="Enabled","Apple ID Lock","")</f>
        <v/>
      </c>
      <c r="R138" s="13" t="str">
        <f>IF(MacReports!L138="y","Remote Locked","")</f>
        <v/>
      </c>
      <c r="S138" t="str">
        <f t="shared" si="5"/>
        <v>Battery Defect, 0</v>
      </c>
      <c r="T138" t="str">
        <f>_xlfn.XLOOKUP(B138,Disk_Pivot!G:G,Disk_Pivot!I:I)</f>
        <v>Yes</v>
      </c>
      <c r="U138" t="str">
        <f>_xlfn.XLOOKUP(B138,Disk_Pivot!G:G,Disk_Pivot!N:N)</f>
        <v>Fail</v>
      </c>
      <c r="V138">
        <f>IF(U138="Fail",MacReports!N138,"")</f>
        <v>0</v>
      </c>
      <c r="AB138" t="str">
        <f t="shared" si="6"/>
        <v/>
      </c>
    </row>
    <row r="139" spans="1:28">
      <c r="A139" t="str">
        <f>MacReports!A139</f>
        <v/>
      </c>
      <c r="B139">
        <f>MacReports!B139</f>
        <v>0</v>
      </c>
      <c r="C139">
        <f>MacReports!C139</f>
        <v>0</v>
      </c>
      <c r="E139" t="e">
        <f>_xlfn.XLOOKUP(G139,Models!A:A,Models!F:F)</f>
        <v>#N/A</v>
      </c>
      <c r="F139" t="str">
        <f>_xlfn.XLOOKUP(B139,MacReports!B:B,MacReports!D:D,"")</f>
        <v/>
      </c>
      <c r="G139" s="13">
        <f>MacReports!E139</f>
        <v>0</v>
      </c>
      <c r="H139" t="e">
        <f>_xlfn.XLOOKUP(G139,Models!A:A,Models!B:B)</f>
        <v>#N/A</v>
      </c>
      <c r="I139" t="e">
        <f>_xlfn.XLOOKUP(G139,Models!A:A,Models!E:E)</f>
        <v>#N/A</v>
      </c>
      <c r="J139" t="e">
        <f>_xlfn.XLOOKUP(G139,Models!A:A,Models!D:D)</f>
        <v>#N/A</v>
      </c>
      <c r="K139">
        <f>MacReports!F139</f>
        <v>0</v>
      </c>
      <c r="L139">
        <f>MacReports!G139</f>
        <v>0</v>
      </c>
      <c r="M139" s="15" t="e" cm="1">
        <f t="array" ref="M139">--_xlfn.LET(
    _xlpm.txt, MacReports!H139,
    _xlpm.chars, MID(_xlpm.txt, _xlfn.SEQUENCE(LEN(_xlpm.txt)), 1),
    _xlfn.TEXTJOIN("", TRUE, IF(ISNUMBER(--_xlpm.chars), _xlpm.chars, ""))
)</f>
        <v>#VALUE!</v>
      </c>
      <c r="N139" s="16" t="str" cm="1">
        <f t="array" ref="N139">_xlfn.IFS(
   --MacReports!M139&lt;55,"Battery Defect",
  -- MacReports!M139&lt;=69,"Battery D",
  --MacReports!M139&lt;=80,"Battery C",
 --MacReports!M139&gt;80,""
)</f>
        <v>Battery Defect</v>
      </c>
      <c r="O139" s="16" t="str">
        <f>IF(MacReports!I139="Service","Battery Service","")</f>
        <v/>
      </c>
      <c r="P139" s="13">
        <f>MacReports!P139</f>
        <v>0</v>
      </c>
      <c r="Q139" s="13" t="str">
        <f>IF(MacReports!J139="Enabled","Apple ID Lock","")</f>
        <v/>
      </c>
      <c r="R139" s="13" t="str">
        <f>IF(MacReports!L139="y","Remote Locked","")</f>
        <v/>
      </c>
      <c r="S139" t="str">
        <f t="shared" si="5"/>
        <v>Battery Defect, 0</v>
      </c>
      <c r="T139" t="str">
        <f>_xlfn.XLOOKUP(B139,Disk_Pivot!G:G,Disk_Pivot!I:I)</f>
        <v>Yes</v>
      </c>
      <c r="U139" t="str">
        <f>_xlfn.XLOOKUP(B139,Disk_Pivot!G:G,Disk_Pivot!N:N)</f>
        <v>Fail</v>
      </c>
      <c r="V139">
        <f>IF(U139="Fail",MacReports!N139,"")</f>
        <v>0</v>
      </c>
      <c r="AB139" t="str">
        <f t="shared" si="6"/>
        <v/>
      </c>
    </row>
    <row r="140" spans="1:28">
      <c r="A140" t="str">
        <f>MacReports!A140</f>
        <v/>
      </c>
      <c r="B140">
        <f>MacReports!B140</f>
        <v>0</v>
      </c>
      <c r="C140">
        <f>MacReports!C140</f>
        <v>0</v>
      </c>
      <c r="E140" t="e">
        <f>_xlfn.XLOOKUP(G140,Models!A:A,Models!F:F)</f>
        <v>#N/A</v>
      </c>
      <c r="F140" t="str">
        <f>_xlfn.XLOOKUP(B140,MacReports!B:B,MacReports!D:D,"")</f>
        <v/>
      </c>
      <c r="G140" s="13">
        <f>MacReports!E140</f>
        <v>0</v>
      </c>
      <c r="H140" t="e">
        <f>_xlfn.XLOOKUP(G140,Models!A:A,Models!B:B)</f>
        <v>#N/A</v>
      </c>
      <c r="I140" t="e">
        <f>_xlfn.XLOOKUP(G140,Models!A:A,Models!E:E)</f>
        <v>#N/A</v>
      </c>
      <c r="J140" t="e">
        <f>_xlfn.XLOOKUP(G140,Models!A:A,Models!D:D)</f>
        <v>#N/A</v>
      </c>
      <c r="K140">
        <f>MacReports!F140</f>
        <v>0</v>
      </c>
      <c r="L140">
        <f>MacReports!G140</f>
        <v>0</v>
      </c>
      <c r="M140" s="15" t="e" cm="1">
        <f t="array" ref="M140">--_xlfn.LET(
    _xlpm.txt, MacReports!H140,
    _xlpm.chars, MID(_xlpm.txt, _xlfn.SEQUENCE(LEN(_xlpm.txt)), 1),
    _xlfn.TEXTJOIN("", TRUE, IF(ISNUMBER(--_xlpm.chars), _xlpm.chars, ""))
)</f>
        <v>#VALUE!</v>
      </c>
      <c r="N140" s="16" t="str" cm="1">
        <f t="array" ref="N140">_xlfn.IFS(
   --MacReports!M140&lt;55,"Battery Defect",
  -- MacReports!M140&lt;=69,"Battery D",
  --MacReports!M140&lt;=80,"Battery C",
 --MacReports!M140&gt;80,""
)</f>
        <v>Battery Defect</v>
      </c>
      <c r="O140" s="16" t="str">
        <f>IF(MacReports!I140="Service","Battery Service","")</f>
        <v/>
      </c>
      <c r="P140" s="13">
        <f>MacReports!P140</f>
        <v>0</v>
      </c>
      <c r="Q140" s="13" t="str">
        <f>IF(MacReports!J140="Enabled","Apple ID Lock","")</f>
        <v/>
      </c>
      <c r="R140" s="13" t="str">
        <f>IF(MacReports!L140="y","Remote Locked","")</f>
        <v/>
      </c>
      <c r="S140" t="str">
        <f t="shared" si="5"/>
        <v>Battery Defect, 0</v>
      </c>
      <c r="T140" t="str">
        <f>_xlfn.XLOOKUP(B140,Disk_Pivot!G:G,Disk_Pivot!I:I)</f>
        <v>Yes</v>
      </c>
      <c r="U140" t="str">
        <f>_xlfn.XLOOKUP(B140,Disk_Pivot!G:G,Disk_Pivot!N:N)</f>
        <v>Fail</v>
      </c>
      <c r="V140">
        <f>IF(U140="Fail",MacReports!N140,"")</f>
        <v>0</v>
      </c>
      <c r="AB140" t="str">
        <f t="shared" si="6"/>
        <v/>
      </c>
    </row>
    <row r="141" spans="1:28">
      <c r="A141" t="str">
        <f>MacReports!A141</f>
        <v/>
      </c>
      <c r="B141">
        <f>MacReports!B141</f>
        <v>0</v>
      </c>
      <c r="C141">
        <f>MacReports!C141</f>
        <v>0</v>
      </c>
      <c r="E141" t="e">
        <f>_xlfn.XLOOKUP(G141,Models!A:A,Models!F:F)</f>
        <v>#N/A</v>
      </c>
      <c r="F141" t="str">
        <f>_xlfn.XLOOKUP(B141,MacReports!B:B,MacReports!D:D,"")</f>
        <v/>
      </c>
      <c r="G141" s="13">
        <f>MacReports!E141</f>
        <v>0</v>
      </c>
      <c r="H141" t="e">
        <f>_xlfn.XLOOKUP(G141,Models!A:A,Models!B:B)</f>
        <v>#N/A</v>
      </c>
      <c r="I141" t="e">
        <f>_xlfn.XLOOKUP(G141,Models!A:A,Models!E:E)</f>
        <v>#N/A</v>
      </c>
      <c r="J141" t="e">
        <f>_xlfn.XLOOKUP(G141,Models!A:A,Models!D:D)</f>
        <v>#N/A</v>
      </c>
      <c r="K141">
        <f>MacReports!F141</f>
        <v>0</v>
      </c>
      <c r="L141">
        <f>MacReports!G141</f>
        <v>0</v>
      </c>
      <c r="M141" s="15" t="e" cm="1">
        <f t="array" ref="M141">--_xlfn.LET(
    _xlpm.txt, MacReports!H141,
    _xlpm.chars, MID(_xlpm.txt, _xlfn.SEQUENCE(LEN(_xlpm.txt)), 1),
    _xlfn.TEXTJOIN("", TRUE, IF(ISNUMBER(--_xlpm.chars), _xlpm.chars, ""))
)</f>
        <v>#VALUE!</v>
      </c>
      <c r="N141" s="16" t="str" cm="1">
        <f t="array" ref="N141">_xlfn.IFS(
   --MacReports!M141&lt;55,"Battery Defect",
  -- MacReports!M141&lt;=69,"Battery D",
  --MacReports!M141&lt;=80,"Battery C",
 --MacReports!M141&gt;80,""
)</f>
        <v>Battery Defect</v>
      </c>
      <c r="O141" s="16" t="str">
        <f>IF(MacReports!I141="Service","Battery Service","")</f>
        <v/>
      </c>
      <c r="P141" s="13">
        <f>MacReports!P141</f>
        <v>0</v>
      </c>
      <c r="Q141" s="13" t="str">
        <f>IF(MacReports!J141="Enabled","Apple ID Lock","")</f>
        <v/>
      </c>
      <c r="R141" s="13" t="str">
        <f>IF(MacReports!L141="y","Remote Locked","")</f>
        <v/>
      </c>
      <c r="S141" t="str">
        <f t="shared" si="5"/>
        <v>Battery Defect, 0</v>
      </c>
      <c r="T141" t="str">
        <f>_xlfn.XLOOKUP(B141,Disk_Pivot!G:G,Disk_Pivot!I:I)</f>
        <v>Yes</v>
      </c>
      <c r="U141" t="str">
        <f>_xlfn.XLOOKUP(B141,Disk_Pivot!G:G,Disk_Pivot!N:N)</f>
        <v>Fail</v>
      </c>
      <c r="V141">
        <f>IF(U141="Fail",MacReports!N141,"")</f>
        <v>0</v>
      </c>
      <c r="AB141" t="str">
        <f t="shared" si="6"/>
        <v/>
      </c>
    </row>
    <row r="142" spans="1:28">
      <c r="A142" t="str">
        <f>MacReports!A142</f>
        <v/>
      </c>
      <c r="B142">
        <f>MacReports!B142</f>
        <v>0</v>
      </c>
      <c r="C142">
        <f>MacReports!C142</f>
        <v>0</v>
      </c>
      <c r="E142" t="e">
        <f>_xlfn.XLOOKUP(G142,Models!A:A,Models!F:F)</f>
        <v>#N/A</v>
      </c>
      <c r="F142" t="str">
        <f>_xlfn.XLOOKUP(B142,MacReports!B:B,MacReports!D:D,"")</f>
        <v/>
      </c>
      <c r="G142" s="13">
        <f>MacReports!E142</f>
        <v>0</v>
      </c>
      <c r="H142" t="e">
        <f>_xlfn.XLOOKUP(G142,Models!A:A,Models!B:B)</f>
        <v>#N/A</v>
      </c>
      <c r="I142" t="e">
        <f>_xlfn.XLOOKUP(G142,Models!A:A,Models!E:E)</f>
        <v>#N/A</v>
      </c>
      <c r="J142" t="e">
        <f>_xlfn.XLOOKUP(G142,Models!A:A,Models!D:D)</f>
        <v>#N/A</v>
      </c>
      <c r="K142">
        <f>MacReports!F142</f>
        <v>0</v>
      </c>
      <c r="L142">
        <f>MacReports!G142</f>
        <v>0</v>
      </c>
      <c r="M142" s="15" t="e" cm="1">
        <f t="array" ref="M142">--_xlfn.LET(
    _xlpm.txt, MacReports!H142,
    _xlpm.chars, MID(_xlpm.txt, _xlfn.SEQUENCE(LEN(_xlpm.txt)), 1),
    _xlfn.TEXTJOIN("", TRUE, IF(ISNUMBER(--_xlpm.chars), _xlpm.chars, ""))
)</f>
        <v>#VALUE!</v>
      </c>
      <c r="N142" s="16" t="str" cm="1">
        <f t="array" ref="N142">_xlfn.IFS(
   --MacReports!M142&lt;55,"Battery Defect",
  -- MacReports!M142&lt;=69,"Battery D",
  --MacReports!M142&lt;=80,"Battery C",
 --MacReports!M142&gt;80,""
)</f>
        <v>Battery Defect</v>
      </c>
      <c r="O142" s="16" t="str">
        <f>IF(MacReports!I142="Service","Battery Service","")</f>
        <v/>
      </c>
      <c r="P142" s="13">
        <f>MacReports!P142</f>
        <v>0</v>
      </c>
      <c r="Q142" s="13" t="str">
        <f>IF(MacReports!J142="Enabled","Apple ID Lock","")</f>
        <v/>
      </c>
      <c r="R142" s="13" t="str">
        <f>IF(MacReports!L142="y","Remote Locked","")</f>
        <v/>
      </c>
      <c r="S142" t="str">
        <f t="shared" si="5"/>
        <v>Battery Defect, 0</v>
      </c>
      <c r="T142" t="str">
        <f>_xlfn.XLOOKUP(B142,Disk_Pivot!G:G,Disk_Pivot!I:I)</f>
        <v>Yes</v>
      </c>
      <c r="U142" t="str">
        <f>_xlfn.XLOOKUP(B142,Disk_Pivot!G:G,Disk_Pivot!N:N)</f>
        <v>Fail</v>
      </c>
      <c r="V142">
        <f>IF(U142="Fail",MacReports!N142,"")</f>
        <v>0</v>
      </c>
      <c r="AB142" t="str">
        <f t="shared" si="6"/>
        <v/>
      </c>
    </row>
    <row r="143" spans="1:28">
      <c r="A143" t="str">
        <f>MacReports!A143</f>
        <v/>
      </c>
      <c r="B143">
        <f>MacReports!B143</f>
        <v>0</v>
      </c>
      <c r="C143">
        <f>MacReports!C143</f>
        <v>0</v>
      </c>
      <c r="E143" t="e">
        <f>_xlfn.XLOOKUP(G143,Models!A:A,Models!F:F)</f>
        <v>#N/A</v>
      </c>
      <c r="F143" t="str">
        <f>_xlfn.XLOOKUP(B143,MacReports!B:B,MacReports!D:D,"")</f>
        <v/>
      </c>
      <c r="G143" s="13">
        <f>MacReports!E143</f>
        <v>0</v>
      </c>
      <c r="H143" t="e">
        <f>_xlfn.XLOOKUP(G143,Models!A:A,Models!B:B)</f>
        <v>#N/A</v>
      </c>
      <c r="I143" t="e">
        <f>_xlfn.XLOOKUP(G143,Models!A:A,Models!E:E)</f>
        <v>#N/A</v>
      </c>
      <c r="J143" t="e">
        <f>_xlfn.XLOOKUP(G143,Models!A:A,Models!D:D)</f>
        <v>#N/A</v>
      </c>
      <c r="K143">
        <f>MacReports!F143</f>
        <v>0</v>
      </c>
      <c r="L143">
        <f>MacReports!G143</f>
        <v>0</v>
      </c>
      <c r="M143" s="15" t="e" cm="1">
        <f t="array" ref="M143">--_xlfn.LET(
    _xlpm.txt, MacReports!H143,
    _xlpm.chars, MID(_xlpm.txt, _xlfn.SEQUENCE(LEN(_xlpm.txt)), 1),
    _xlfn.TEXTJOIN("", TRUE, IF(ISNUMBER(--_xlpm.chars), _xlpm.chars, ""))
)</f>
        <v>#VALUE!</v>
      </c>
      <c r="N143" s="16" t="str" cm="1">
        <f t="array" ref="N143">_xlfn.IFS(
   --MacReports!M143&lt;55,"Battery Defect",
  -- MacReports!M143&lt;=69,"Battery D",
  --MacReports!M143&lt;=80,"Battery C",
 --MacReports!M143&gt;80,""
)</f>
        <v>Battery Defect</v>
      </c>
      <c r="O143" s="16" t="str">
        <f>IF(MacReports!I143="Service","Battery Service","")</f>
        <v/>
      </c>
      <c r="P143" s="13">
        <f>MacReports!P143</f>
        <v>0</v>
      </c>
      <c r="Q143" s="13" t="str">
        <f>IF(MacReports!J143="Enabled","Apple ID Lock","")</f>
        <v/>
      </c>
      <c r="R143" s="13" t="str">
        <f>IF(MacReports!L143="y","Remote Locked","")</f>
        <v/>
      </c>
      <c r="S143" t="str">
        <f t="shared" si="5"/>
        <v>Battery Defect, 0</v>
      </c>
      <c r="T143" t="str">
        <f>_xlfn.XLOOKUP(B143,Disk_Pivot!G:G,Disk_Pivot!I:I)</f>
        <v>Yes</v>
      </c>
      <c r="U143" t="str">
        <f>_xlfn.XLOOKUP(B143,Disk_Pivot!G:G,Disk_Pivot!N:N)</f>
        <v>Fail</v>
      </c>
      <c r="V143">
        <f>IF(U143="Fail",MacReports!N143,"")</f>
        <v>0</v>
      </c>
      <c r="AB143" t="str">
        <f t="shared" si="6"/>
        <v/>
      </c>
    </row>
    <row r="144" spans="1:28">
      <c r="A144" t="str">
        <f>MacReports!A144</f>
        <v/>
      </c>
      <c r="B144">
        <f>MacReports!B144</f>
        <v>0</v>
      </c>
      <c r="C144">
        <f>MacReports!C144</f>
        <v>0</v>
      </c>
      <c r="E144" t="e">
        <f>_xlfn.XLOOKUP(G144,Models!A:A,Models!F:F)</f>
        <v>#N/A</v>
      </c>
      <c r="F144" t="str">
        <f>_xlfn.XLOOKUP(B144,MacReports!B:B,MacReports!D:D,"")</f>
        <v/>
      </c>
      <c r="G144" s="13">
        <f>MacReports!E144</f>
        <v>0</v>
      </c>
      <c r="H144" t="e">
        <f>_xlfn.XLOOKUP(G144,Models!A:A,Models!B:B)</f>
        <v>#N/A</v>
      </c>
      <c r="I144" t="e">
        <f>_xlfn.XLOOKUP(G144,Models!A:A,Models!E:E)</f>
        <v>#N/A</v>
      </c>
      <c r="J144" t="e">
        <f>_xlfn.XLOOKUP(G144,Models!A:A,Models!D:D)</f>
        <v>#N/A</v>
      </c>
      <c r="K144">
        <f>MacReports!F144</f>
        <v>0</v>
      </c>
      <c r="L144">
        <f>MacReports!G144</f>
        <v>0</v>
      </c>
      <c r="M144" s="15" t="e" cm="1">
        <f t="array" ref="M144">--_xlfn.LET(
    _xlpm.txt, MacReports!H144,
    _xlpm.chars, MID(_xlpm.txt, _xlfn.SEQUENCE(LEN(_xlpm.txt)), 1),
    _xlfn.TEXTJOIN("", TRUE, IF(ISNUMBER(--_xlpm.chars), _xlpm.chars, ""))
)</f>
        <v>#VALUE!</v>
      </c>
      <c r="N144" s="16" t="str" cm="1">
        <f t="array" ref="N144">_xlfn.IFS(
   --MacReports!M144&lt;55,"Battery Defect",
  -- MacReports!M144&lt;=69,"Battery D",
  --MacReports!M144&lt;=80,"Battery C",
 --MacReports!M144&gt;80,""
)</f>
        <v>Battery Defect</v>
      </c>
      <c r="O144" s="16" t="str">
        <f>IF(MacReports!I144="Service","Battery Service","")</f>
        <v/>
      </c>
      <c r="P144" s="13">
        <f>MacReports!P144</f>
        <v>0</v>
      </c>
      <c r="Q144" s="13" t="str">
        <f>IF(MacReports!J144="Enabled","Apple ID Lock","")</f>
        <v/>
      </c>
      <c r="R144" s="13" t="str">
        <f>IF(MacReports!L144="y","Remote Locked","")</f>
        <v/>
      </c>
      <c r="S144" t="str">
        <f t="shared" si="5"/>
        <v>Battery Defect, 0</v>
      </c>
      <c r="T144" t="str">
        <f>_xlfn.XLOOKUP(B144,Disk_Pivot!G:G,Disk_Pivot!I:I)</f>
        <v>Yes</v>
      </c>
      <c r="U144" t="str">
        <f>_xlfn.XLOOKUP(B144,Disk_Pivot!G:G,Disk_Pivot!N:N)</f>
        <v>Fail</v>
      </c>
      <c r="V144">
        <f>IF(U144="Fail",MacReports!N144,"")</f>
        <v>0</v>
      </c>
      <c r="AB144" t="str">
        <f t="shared" si="6"/>
        <v/>
      </c>
    </row>
    <row r="145" spans="1:28">
      <c r="A145" t="str">
        <f>MacReports!A145</f>
        <v/>
      </c>
      <c r="B145">
        <f>MacReports!B145</f>
        <v>0</v>
      </c>
      <c r="C145">
        <f>MacReports!C145</f>
        <v>0</v>
      </c>
      <c r="E145" t="e">
        <f>_xlfn.XLOOKUP(G145,Models!A:A,Models!F:F)</f>
        <v>#N/A</v>
      </c>
      <c r="F145" t="str">
        <f>_xlfn.XLOOKUP(B145,MacReports!B:B,MacReports!D:D,"")</f>
        <v/>
      </c>
      <c r="G145" s="13">
        <f>MacReports!E145</f>
        <v>0</v>
      </c>
      <c r="H145" t="e">
        <f>_xlfn.XLOOKUP(G145,Models!A:A,Models!B:B)</f>
        <v>#N/A</v>
      </c>
      <c r="I145" t="e">
        <f>_xlfn.XLOOKUP(G145,Models!A:A,Models!E:E)</f>
        <v>#N/A</v>
      </c>
      <c r="J145" t="e">
        <f>_xlfn.XLOOKUP(G145,Models!A:A,Models!D:D)</f>
        <v>#N/A</v>
      </c>
      <c r="K145">
        <f>MacReports!F145</f>
        <v>0</v>
      </c>
      <c r="L145">
        <f>MacReports!G145</f>
        <v>0</v>
      </c>
      <c r="M145" s="15" t="e" cm="1">
        <f t="array" ref="M145">--_xlfn.LET(
    _xlpm.txt, MacReports!H145,
    _xlpm.chars, MID(_xlpm.txt, _xlfn.SEQUENCE(LEN(_xlpm.txt)), 1),
    _xlfn.TEXTJOIN("", TRUE, IF(ISNUMBER(--_xlpm.chars), _xlpm.chars, ""))
)</f>
        <v>#VALUE!</v>
      </c>
      <c r="N145" s="16" t="str" cm="1">
        <f t="array" ref="N145">_xlfn.IFS(
   --MacReports!M145&lt;55,"Battery Defect",
  -- MacReports!M145&lt;=69,"Battery D",
  --MacReports!M145&lt;=80,"Battery C",
 --MacReports!M145&gt;80,""
)</f>
        <v>Battery Defect</v>
      </c>
      <c r="O145" s="16" t="str">
        <f>IF(MacReports!I145="Service","Battery Service","")</f>
        <v/>
      </c>
      <c r="P145" s="13">
        <f>MacReports!P145</f>
        <v>0</v>
      </c>
      <c r="Q145" s="13" t="str">
        <f>IF(MacReports!J145="Enabled","Apple ID Lock","")</f>
        <v/>
      </c>
      <c r="R145" s="13" t="str">
        <f>IF(MacReports!L145="y","Remote Locked","")</f>
        <v/>
      </c>
      <c r="S145" t="str">
        <f t="shared" si="5"/>
        <v>Battery Defect, 0</v>
      </c>
      <c r="T145" t="str">
        <f>_xlfn.XLOOKUP(B145,Disk_Pivot!G:G,Disk_Pivot!I:I)</f>
        <v>Yes</v>
      </c>
      <c r="U145" t="str">
        <f>_xlfn.XLOOKUP(B145,Disk_Pivot!G:G,Disk_Pivot!N:N)</f>
        <v>Fail</v>
      </c>
      <c r="V145">
        <f>IF(U145="Fail",MacReports!N145,"")</f>
        <v>0</v>
      </c>
      <c r="AB145" t="str">
        <f t="shared" si="6"/>
        <v/>
      </c>
    </row>
    <row r="146" spans="1:28">
      <c r="A146" t="str">
        <f>MacReports!A146</f>
        <v/>
      </c>
      <c r="B146">
        <f>MacReports!B146</f>
        <v>0</v>
      </c>
      <c r="C146">
        <f>MacReports!C146</f>
        <v>0</v>
      </c>
      <c r="E146" t="e">
        <f>_xlfn.XLOOKUP(G146,Models!A:A,Models!F:F)</f>
        <v>#N/A</v>
      </c>
      <c r="F146" t="str">
        <f>_xlfn.XLOOKUP(B146,MacReports!B:B,MacReports!D:D,"")</f>
        <v/>
      </c>
      <c r="G146" s="13">
        <f>MacReports!E146</f>
        <v>0</v>
      </c>
      <c r="H146" t="e">
        <f>_xlfn.XLOOKUP(G146,Models!A:A,Models!B:B)</f>
        <v>#N/A</v>
      </c>
      <c r="I146" t="e">
        <f>_xlfn.XLOOKUP(G146,Models!A:A,Models!E:E)</f>
        <v>#N/A</v>
      </c>
      <c r="J146" t="e">
        <f>_xlfn.XLOOKUP(G146,Models!A:A,Models!D:D)</f>
        <v>#N/A</v>
      </c>
      <c r="K146">
        <f>MacReports!F146</f>
        <v>0</v>
      </c>
      <c r="L146">
        <f>MacReports!G146</f>
        <v>0</v>
      </c>
      <c r="M146" s="15" t="e" cm="1">
        <f t="array" ref="M146">--_xlfn.LET(
    _xlpm.txt, MacReports!H146,
    _xlpm.chars, MID(_xlpm.txt, _xlfn.SEQUENCE(LEN(_xlpm.txt)), 1),
    _xlfn.TEXTJOIN("", TRUE, IF(ISNUMBER(--_xlpm.chars), _xlpm.chars, ""))
)</f>
        <v>#VALUE!</v>
      </c>
      <c r="N146" s="16" t="str" cm="1">
        <f t="array" ref="N146">_xlfn.IFS(
   --MacReports!M146&lt;55,"Battery Defect",
  -- MacReports!M146&lt;=69,"Battery D",
  --MacReports!M146&lt;=80,"Battery C",
 --MacReports!M146&gt;80,""
)</f>
        <v>Battery Defect</v>
      </c>
      <c r="O146" s="16" t="str">
        <f>IF(MacReports!I146="Service","Battery Service","")</f>
        <v/>
      </c>
      <c r="P146" s="13">
        <f>MacReports!P146</f>
        <v>0</v>
      </c>
      <c r="Q146" s="13" t="str">
        <f>IF(MacReports!J146="Enabled","Apple ID Lock","")</f>
        <v/>
      </c>
      <c r="R146" s="13" t="str">
        <f>IF(MacReports!L146="y","Remote Locked","")</f>
        <v/>
      </c>
      <c r="S146" t="str">
        <f t="shared" si="5"/>
        <v>Battery Defect, 0</v>
      </c>
      <c r="T146" t="str">
        <f>_xlfn.XLOOKUP(B146,Disk_Pivot!G:G,Disk_Pivot!I:I)</f>
        <v>Yes</v>
      </c>
      <c r="U146" t="str">
        <f>_xlfn.XLOOKUP(B146,Disk_Pivot!G:G,Disk_Pivot!N:N)</f>
        <v>Fail</v>
      </c>
      <c r="V146">
        <f>IF(U146="Fail",MacReports!N146,"")</f>
        <v>0</v>
      </c>
      <c r="AB146" t="str">
        <f t="shared" si="6"/>
        <v/>
      </c>
    </row>
    <row r="147" spans="1:28">
      <c r="A147" t="str">
        <f>MacReports!A147</f>
        <v/>
      </c>
      <c r="B147">
        <f>MacReports!B147</f>
        <v>0</v>
      </c>
      <c r="C147">
        <f>MacReports!C147</f>
        <v>0</v>
      </c>
      <c r="E147" t="e">
        <f>_xlfn.XLOOKUP(G147,Models!A:A,Models!F:F)</f>
        <v>#N/A</v>
      </c>
      <c r="F147" t="str">
        <f>_xlfn.XLOOKUP(B147,MacReports!B:B,MacReports!D:D,"")</f>
        <v/>
      </c>
      <c r="G147" s="13">
        <f>MacReports!E147</f>
        <v>0</v>
      </c>
      <c r="H147" t="e">
        <f>_xlfn.XLOOKUP(G147,Models!A:A,Models!B:B)</f>
        <v>#N/A</v>
      </c>
      <c r="I147" t="e">
        <f>_xlfn.XLOOKUP(G147,Models!A:A,Models!E:E)</f>
        <v>#N/A</v>
      </c>
      <c r="J147" t="e">
        <f>_xlfn.XLOOKUP(G147,Models!A:A,Models!D:D)</f>
        <v>#N/A</v>
      </c>
      <c r="K147">
        <f>MacReports!F147</f>
        <v>0</v>
      </c>
      <c r="L147">
        <f>MacReports!G147</f>
        <v>0</v>
      </c>
      <c r="M147" s="15" t="e" cm="1">
        <f t="array" ref="M147">--_xlfn.LET(
    _xlpm.txt, MacReports!H147,
    _xlpm.chars, MID(_xlpm.txt, _xlfn.SEQUENCE(LEN(_xlpm.txt)), 1),
    _xlfn.TEXTJOIN("", TRUE, IF(ISNUMBER(--_xlpm.chars), _xlpm.chars, ""))
)</f>
        <v>#VALUE!</v>
      </c>
      <c r="N147" s="16" t="str" cm="1">
        <f t="array" ref="N147">_xlfn.IFS(
   --MacReports!M147&lt;55,"Battery Defect",
  -- MacReports!M147&lt;=69,"Battery D",
  --MacReports!M147&lt;=80,"Battery C",
 --MacReports!M147&gt;80,""
)</f>
        <v>Battery Defect</v>
      </c>
      <c r="O147" s="16" t="str">
        <f>IF(MacReports!I147="Service","Battery Service","")</f>
        <v/>
      </c>
      <c r="P147" s="13">
        <f>MacReports!P147</f>
        <v>0</v>
      </c>
      <c r="Q147" s="13" t="str">
        <f>IF(MacReports!J147="Enabled","Apple ID Lock","")</f>
        <v/>
      </c>
      <c r="R147" s="13" t="str">
        <f>IF(MacReports!L147="y","Remote Locked","")</f>
        <v/>
      </c>
      <c r="S147" t="str">
        <f t="shared" si="5"/>
        <v>Battery Defect, 0</v>
      </c>
      <c r="T147" t="str">
        <f>_xlfn.XLOOKUP(B147,Disk_Pivot!G:G,Disk_Pivot!I:I)</f>
        <v>Yes</v>
      </c>
      <c r="U147" t="str">
        <f>_xlfn.XLOOKUP(B147,Disk_Pivot!G:G,Disk_Pivot!N:N)</f>
        <v>Fail</v>
      </c>
      <c r="V147">
        <f>IF(U147="Fail",MacReports!N147,"")</f>
        <v>0</v>
      </c>
      <c r="AB147" t="str">
        <f t="shared" si="6"/>
        <v/>
      </c>
    </row>
    <row r="148" spans="1:28">
      <c r="A148" t="str">
        <f>MacReports!A148</f>
        <v/>
      </c>
      <c r="B148">
        <f>MacReports!B148</f>
        <v>0</v>
      </c>
      <c r="C148">
        <f>MacReports!C148</f>
        <v>0</v>
      </c>
      <c r="E148" t="e">
        <f>_xlfn.XLOOKUP(G148,Models!A:A,Models!F:F)</f>
        <v>#N/A</v>
      </c>
      <c r="F148" t="str">
        <f>_xlfn.XLOOKUP(B148,MacReports!B:B,MacReports!D:D,"")</f>
        <v/>
      </c>
      <c r="G148" s="13">
        <f>MacReports!E148</f>
        <v>0</v>
      </c>
      <c r="H148" t="e">
        <f>_xlfn.XLOOKUP(G148,Models!A:A,Models!B:B)</f>
        <v>#N/A</v>
      </c>
      <c r="I148" t="e">
        <f>_xlfn.XLOOKUP(G148,Models!A:A,Models!E:E)</f>
        <v>#N/A</v>
      </c>
      <c r="J148" t="e">
        <f>_xlfn.XLOOKUP(G148,Models!A:A,Models!D:D)</f>
        <v>#N/A</v>
      </c>
      <c r="K148">
        <f>MacReports!F148</f>
        <v>0</v>
      </c>
      <c r="L148">
        <f>MacReports!G148</f>
        <v>0</v>
      </c>
      <c r="M148" s="15" t="e" cm="1">
        <f t="array" ref="M148">--_xlfn.LET(
    _xlpm.txt, MacReports!H148,
    _xlpm.chars, MID(_xlpm.txt, _xlfn.SEQUENCE(LEN(_xlpm.txt)), 1),
    _xlfn.TEXTJOIN("", TRUE, IF(ISNUMBER(--_xlpm.chars), _xlpm.chars, ""))
)</f>
        <v>#VALUE!</v>
      </c>
      <c r="N148" s="16" t="str" cm="1">
        <f t="array" ref="N148">_xlfn.IFS(
   --MacReports!M148&lt;55,"Battery Defect",
  -- MacReports!M148&lt;=69,"Battery D",
  --MacReports!M148&lt;=80,"Battery C",
 --MacReports!M148&gt;80,""
)</f>
        <v>Battery Defect</v>
      </c>
      <c r="O148" s="16" t="str">
        <f>IF(MacReports!I148="Service","Battery Service","")</f>
        <v/>
      </c>
      <c r="P148" s="13">
        <f>MacReports!P148</f>
        <v>0</v>
      </c>
      <c r="Q148" s="13" t="str">
        <f>IF(MacReports!J148="Enabled","Apple ID Lock","")</f>
        <v/>
      </c>
      <c r="R148" s="13" t="str">
        <f>IF(MacReports!L148="y","Remote Locked","")</f>
        <v/>
      </c>
      <c r="S148" t="str">
        <f t="shared" si="5"/>
        <v>Battery Defect, 0</v>
      </c>
      <c r="T148" t="str">
        <f>_xlfn.XLOOKUP(B148,Disk_Pivot!G:G,Disk_Pivot!I:I)</f>
        <v>Yes</v>
      </c>
      <c r="U148" t="str">
        <f>_xlfn.XLOOKUP(B148,Disk_Pivot!G:G,Disk_Pivot!N:N)</f>
        <v>Fail</v>
      </c>
      <c r="V148">
        <f>IF(U148="Fail",MacReports!N148,"")</f>
        <v>0</v>
      </c>
      <c r="AB148" t="str">
        <f t="shared" si="6"/>
        <v/>
      </c>
    </row>
    <row r="149" spans="1:28">
      <c r="A149" t="str">
        <f>MacReports!A149</f>
        <v/>
      </c>
      <c r="B149">
        <f>MacReports!B149</f>
        <v>0</v>
      </c>
      <c r="C149">
        <f>MacReports!C149</f>
        <v>0</v>
      </c>
      <c r="E149" t="e">
        <f>_xlfn.XLOOKUP(G149,Models!A:A,Models!F:F)</f>
        <v>#N/A</v>
      </c>
      <c r="F149" t="str">
        <f>_xlfn.XLOOKUP(B149,MacReports!B:B,MacReports!D:D,"")</f>
        <v/>
      </c>
      <c r="G149" s="13">
        <f>MacReports!E149</f>
        <v>0</v>
      </c>
      <c r="H149" t="e">
        <f>_xlfn.XLOOKUP(G149,Models!A:A,Models!B:B)</f>
        <v>#N/A</v>
      </c>
      <c r="I149" t="e">
        <f>_xlfn.XLOOKUP(G149,Models!A:A,Models!E:E)</f>
        <v>#N/A</v>
      </c>
      <c r="J149" t="e">
        <f>_xlfn.XLOOKUP(G149,Models!A:A,Models!D:D)</f>
        <v>#N/A</v>
      </c>
      <c r="K149">
        <f>MacReports!F149</f>
        <v>0</v>
      </c>
      <c r="L149">
        <f>MacReports!G149</f>
        <v>0</v>
      </c>
      <c r="M149" s="15" t="e" cm="1">
        <f t="array" ref="M149">--_xlfn.LET(
    _xlpm.txt, MacReports!H149,
    _xlpm.chars, MID(_xlpm.txt, _xlfn.SEQUENCE(LEN(_xlpm.txt)), 1),
    _xlfn.TEXTJOIN("", TRUE, IF(ISNUMBER(--_xlpm.chars), _xlpm.chars, ""))
)</f>
        <v>#VALUE!</v>
      </c>
      <c r="N149" s="16" t="str" cm="1">
        <f t="array" ref="N149">_xlfn.IFS(
   --MacReports!M149&lt;55,"Battery Defect",
  -- MacReports!M149&lt;=69,"Battery D",
  --MacReports!M149&lt;=80,"Battery C",
 --MacReports!M149&gt;80,""
)</f>
        <v>Battery Defect</v>
      </c>
      <c r="O149" s="16" t="str">
        <f>IF(MacReports!I149="Service","Battery Service","")</f>
        <v/>
      </c>
      <c r="P149" s="13">
        <f>MacReports!P149</f>
        <v>0</v>
      </c>
      <c r="Q149" s="13" t="str">
        <f>IF(MacReports!J149="Enabled","Apple ID Lock","")</f>
        <v/>
      </c>
      <c r="R149" s="13" t="str">
        <f>IF(MacReports!L149="y","Remote Locked","")</f>
        <v/>
      </c>
      <c r="S149" t="str">
        <f t="shared" si="5"/>
        <v>Battery Defect, 0</v>
      </c>
      <c r="T149" t="str">
        <f>_xlfn.XLOOKUP(B149,Disk_Pivot!G:G,Disk_Pivot!I:I)</f>
        <v>Yes</v>
      </c>
      <c r="U149" t="str">
        <f>_xlfn.XLOOKUP(B149,Disk_Pivot!G:G,Disk_Pivot!N:N)</f>
        <v>Fail</v>
      </c>
      <c r="V149">
        <f>IF(U149="Fail",MacReports!N149,"")</f>
        <v>0</v>
      </c>
      <c r="AB149" t="str">
        <f t="shared" si="6"/>
        <v/>
      </c>
    </row>
    <row r="150" spans="1:28">
      <c r="A150" t="str">
        <f>MacReports!A150</f>
        <v/>
      </c>
      <c r="B150">
        <f>MacReports!B150</f>
        <v>0</v>
      </c>
      <c r="C150">
        <f>MacReports!C150</f>
        <v>0</v>
      </c>
      <c r="E150" t="e">
        <f>_xlfn.XLOOKUP(G150,Models!A:A,Models!F:F)</f>
        <v>#N/A</v>
      </c>
      <c r="F150" t="str">
        <f>_xlfn.XLOOKUP(B150,MacReports!B:B,MacReports!D:D,"")</f>
        <v/>
      </c>
      <c r="G150" s="13">
        <f>MacReports!E150</f>
        <v>0</v>
      </c>
      <c r="H150" t="e">
        <f>_xlfn.XLOOKUP(G150,Models!A:A,Models!B:B)</f>
        <v>#N/A</v>
      </c>
      <c r="I150" t="e">
        <f>_xlfn.XLOOKUP(G150,Models!A:A,Models!E:E)</f>
        <v>#N/A</v>
      </c>
      <c r="J150" t="e">
        <f>_xlfn.XLOOKUP(G150,Models!A:A,Models!D:D)</f>
        <v>#N/A</v>
      </c>
      <c r="K150">
        <f>MacReports!F150</f>
        <v>0</v>
      </c>
      <c r="L150">
        <f>MacReports!G150</f>
        <v>0</v>
      </c>
      <c r="M150" s="15" t="e" cm="1">
        <f t="array" ref="M150">--_xlfn.LET(
    _xlpm.txt, MacReports!H150,
    _xlpm.chars, MID(_xlpm.txt, _xlfn.SEQUENCE(LEN(_xlpm.txt)), 1),
    _xlfn.TEXTJOIN("", TRUE, IF(ISNUMBER(--_xlpm.chars), _xlpm.chars, ""))
)</f>
        <v>#VALUE!</v>
      </c>
      <c r="N150" s="16" t="str" cm="1">
        <f t="array" ref="N150">_xlfn.IFS(
   --MacReports!M150&lt;55,"Battery Defect",
  -- MacReports!M150&lt;=69,"Battery D",
  --MacReports!M150&lt;=80,"Battery C",
 --MacReports!M150&gt;80,""
)</f>
        <v>Battery Defect</v>
      </c>
      <c r="O150" s="16" t="str">
        <f>IF(MacReports!I150="Service","Battery Service","")</f>
        <v/>
      </c>
      <c r="P150" s="13">
        <f>MacReports!P150</f>
        <v>0</v>
      </c>
      <c r="Q150" s="13" t="str">
        <f>IF(MacReports!J150="Enabled","Apple ID Lock","")</f>
        <v/>
      </c>
      <c r="R150" s="13" t="str">
        <f>IF(MacReports!L150="y","Remote Locked","")</f>
        <v/>
      </c>
      <c r="S150" t="str">
        <f t="shared" si="5"/>
        <v>Battery Defect, 0</v>
      </c>
      <c r="T150" t="str">
        <f>_xlfn.XLOOKUP(B150,Disk_Pivot!G:G,Disk_Pivot!I:I)</f>
        <v>Yes</v>
      </c>
      <c r="U150" t="str">
        <f>_xlfn.XLOOKUP(B150,Disk_Pivot!G:G,Disk_Pivot!N:N)</f>
        <v>Fail</v>
      </c>
      <c r="V150">
        <f>IF(U150="Fail",MacReports!N150,"")</f>
        <v>0</v>
      </c>
      <c r="AB150" t="str">
        <f t="shared" si="6"/>
        <v/>
      </c>
    </row>
    <row r="151" spans="1:28">
      <c r="A151" t="str">
        <f>MacReports!A151</f>
        <v/>
      </c>
      <c r="B151">
        <f>MacReports!B151</f>
        <v>0</v>
      </c>
      <c r="C151">
        <f>MacReports!C151</f>
        <v>0</v>
      </c>
      <c r="E151" t="e">
        <f>_xlfn.XLOOKUP(G151,Models!A:A,Models!F:F)</f>
        <v>#N/A</v>
      </c>
      <c r="F151" t="str">
        <f>_xlfn.XLOOKUP(B151,MacReports!B:B,MacReports!D:D,"")</f>
        <v/>
      </c>
      <c r="G151" s="13">
        <f>MacReports!E151</f>
        <v>0</v>
      </c>
      <c r="H151" t="e">
        <f>_xlfn.XLOOKUP(G151,Models!A:A,Models!B:B)</f>
        <v>#N/A</v>
      </c>
      <c r="I151" t="e">
        <f>_xlfn.XLOOKUP(G151,Models!A:A,Models!E:E)</f>
        <v>#N/A</v>
      </c>
      <c r="J151" t="e">
        <f>_xlfn.XLOOKUP(G151,Models!A:A,Models!D:D)</f>
        <v>#N/A</v>
      </c>
      <c r="K151">
        <f>MacReports!F151</f>
        <v>0</v>
      </c>
      <c r="L151">
        <f>MacReports!G151</f>
        <v>0</v>
      </c>
      <c r="M151" s="15" t="e" cm="1">
        <f t="array" ref="M151">--_xlfn.LET(
    _xlpm.txt, MacReports!H151,
    _xlpm.chars, MID(_xlpm.txt, _xlfn.SEQUENCE(LEN(_xlpm.txt)), 1),
    _xlfn.TEXTJOIN("", TRUE, IF(ISNUMBER(--_xlpm.chars), _xlpm.chars, ""))
)</f>
        <v>#VALUE!</v>
      </c>
      <c r="N151" s="16" t="str" cm="1">
        <f t="array" ref="N151">_xlfn.IFS(
   --MacReports!M151&lt;55,"Battery Defect",
  -- MacReports!M151&lt;=69,"Battery D",
  --MacReports!M151&lt;=80,"Battery C",
 --MacReports!M151&gt;80,""
)</f>
        <v>Battery Defect</v>
      </c>
      <c r="O151" s="16" t="str">
        <f>IF(MacReports!I151="Service","Battery Service","")</f>
        <v/>
      </c>
      <c r="P151" s="13">
        <f>MacReports!P151</f>
        <v>0</v>
      </c>
      <c r="Q151" s="13" t="str">
        <f>IF(MacReports!J151="Enabled","Apple ID Lock","")</f>
        <v/>
      </c>
      <c r="R151" s="13" t="str">
        <f>IF(MacReports!L151="y","Remote Locked","")</f>
        <v/>
      </c>
      <c r="S151" t="str">
        <f t="shared" si="5"/>
        <v>Battery Defect, 0</v>
      </c>
      <c r="T151" t="str">
        <f>_xlfn.XLOOKUP(B151,Disk_Pivot!G:G,Disk_Pivot!I:I)</f>
        <v>Yes</v>
      </c>
      <c r="U151" t="str">
        <f>_xlfn.XLOOKUP(B151,Disk_Pivot!G:G,Disk_Pivot!N:N)</f>
        <v>Fail</v>
      </c>
      <c r="V151">
        <f>IF(U151="Fail",MacReports!N151,"")</f>
        <v>0</v>
      </c>
      <c r="AB151" t="str">
        <f t="shared" si="6"/>
        <v/>
      </c>
    </row>
    <row r="152" spans="1:28">
      <c r="A152" t="str">
        <f>MacReports!A152</f>
        <v/>
      </c>
      <c r="B152">
        <f>MacReports!B152</f>
        <v>0</v>
      </c>
      <c r="C152">
        <f>MacReports!C152</f>
        <v>0</v>
      </c>
      <c r="E152" t="e">
        <f>_xlfn.XLOOKUP(G152,Models!A:A,Models!F:F)</f>
        <v>#N/A</v>
      </c>
      <c r="F152" t="str">
        <f>_xlfn.XLOOKUP(B152,MacReports!B:B,MacReports!D:D,"")</f>
        <v/>
      </c>
      <c r="G152" s="13">
        <f>MacReports!E152</f>
        <v>0</v>
      </c>
      <c r="H152" t="e">
        <f>_xlfn.XLOOKUP(G152,Models!A:A,Models!B:B)</f>
        <v>#N/A</v>
      </c>
      <c r="I152" t="e">
        <f>_xlfn.XLOOKUP(G152,Models!A:A,Models!E:E)</f>
        <v>#N/A</v>
      </c>
      <c r="J152" t="e">
        <f>_xlfn.XLOOKUP(G152,Models!A:A,Models!D:D)</f>
        <v>#N/A</v>
      </c>
      <c r="K152">
        <f>MacReports!F152</f>
        <v>0</v>
      </c>
      <c r="L152">
        <f>MacReports!G152</f>
        <v>0</v>
      </c>
      <c r="M152" s="15" t="e" cm="1">
        <f t="array" ref="M152">--_xlfn.LET(
    _xlpm.txt, MacReports!H152,
    _xlpm.chars, MID(_xlpm.txt, _xlfn.SEQUENCE(LEN(_xlpm.txt)), 1),
    _xlfn.TEXTJOIN("", TRUE, IF(ISNUMBER(--_xlpm.chars), _xlpm.chars, ""))
)</f>
        <v>#VALUE!</v>
      </c>
      <c r="N152" s="16" t="str" cm="1">
        <f t="array" ref="N152">_xlfn.IFS(
   --MacReports!M152&lt;55,"Battery Defect",
  -- MacReports!M152&lt;=69,"Battery D",
  --MacReports!M152&lt;=80,"Battery C",
 --MacReports!M152&gt;80,""
)</f>
        <v>Battery Defect</v>
      </c>
      <c r="O152" s="16" t="str">
        <f>IF(MacReports!I152="Service","Battery Service","")</f>
        <v/>
      </c>
      <c r="P152" s="13">
        <f>MacReports!P152</f>
        <v>0</v>
      </c>
      <c r="Q152" s="13" t="str">
        <f>IF(MacReports!J152="Enabled","Apple ID Lock","")</f>
        <v/>
      </c>
      <c r="R152" s="13" t="str">
        <f>IF(MacReports!L152="y","Remote Locked","")</f>
        <v/>
      </c>
      <c r="S152" t="str">
        <f t="shared" si="5"/>
        <v>Battery Defect, 0</v>
      </c>
      <c r="T152" t="str">
        <f>_xlfn.XLOOKUP(B152,Disk_Pivot!G:G,Disk_Pivot!I:I)</f>
        <v>Yes</v>
      </c>
      <c r="U152" t="str">
        <f>_xlfn.XLOOKUP(B152,Disk_Pivot!G:G,Disk_Pivot!N:N)</f>
        <v>Fail</v>
      </c>
      <c r="V152">
        <f>IF(U152="Fail",MacReports!N152,"")</f>
        <v>0</v>
      </c>
      <c r="AB152" t="str">
        <f t="shared" si="6"/>
        <v/>
      </c>
    </row>
    <row r="153" spans="1:28">
      <c r="A153" t="str">
        <f>MacReports!A153</f>
        <v/>
      </c>
      <c r="B153">
        <f>MacReports!B153</f>
        <v>0</v>
      </c>
      <c r="C153">
        <f>MacReports!C153</f>
        <v>0</v>
      </c>
      <c r="E153" t="e">
        <f>_xlfn.XLOOKUP(G153,Models!A:A,Models!F:F)</f>
        <v>#N/A</v>
      </c>
      <c r="F153" t="str">
        <f>_xlfn.XLOOKUP(B153,MacReports!B:B,MacReports!D:D,"")</f>
        <v/>
      </c>
      <c r="G153" s="13">
        <f>MacReports!E153</f>
        <v>0</v>
      </c>
      <c r="H153" t="e">
        <f>_xlfn.XLOOKUP(G153,Models!A:A,Models!B:B)</f>
        <v>#N/A</v>
      </c>
      <c r="I153" t="e">
        <f>_xlfn.XLOOKUP(G153,Models!A:A,Models!E:E)</f>
        <v>#N/A</v>
      </c>
      <c r="J153" t="e">
        <f>_xlfn.XLOOKUP(G153,Models!A:A,Models!D:D)</f>
        <v>#N/A</v>
      </c>
      <c r="K153">
        <f>MacReports!F153</f>
        <v>0</v>
      </c>
      <c r="L153">
        <f>MacReports!G153</f>
        <v>0</v>
      </c>
      <c r="M153" s="15" t="e" cm="1">
        <f t="array" ref="M153">--_xlfn.LET(
    _xlpm.txt, MacReports!H153,
    _xlpm.chars, MID(_xlpm.txt, _xlfn.SEQUENCE(LEN(_xlpm.txt)), 1),
    _xlfn.TEXTJOIN("", TRUE, IF(ISNUMBER(--_xlpm.chars), _xlpm.chars, ""))
)</f>
        <v>#VALUE!</v>
      </c>
      <c r="N153" s="16" t="str" cm="1">
        <f t="array" ref="N153">_xlfn.IFS(
   --MacReports!M153&lt;55,"Battery Defect",
  -- MacReports!M153&lt;=69,"Battery D",
  --MacReports!M153&lt;=80,"Battery C",
 --MacReports!M153&gt;80,""
)</f>
        <v>Battery Defect</v>
      </c>
      <c r="O153" s="16" t="str">
        <f>IF(MacReports!I153="Service","Battery Service","")</f>
        <v/>
      </c>
      <c r="P153" s="13">
        <f>MacReports!P153</f>
        <v>0</v>
      </c>
      <c r="Q153" s="13" t="str">
        <f>IF(MacReports!J153="Enabled","Apple ID Lock","")</f>
        <v/>
      </c>
      <c r="R153" s="13" t="str">
        <f>IF(MacReports!L153="y","Remote Locked","")</f>
        <v/>
      </c>
      <c r="S153" t="str">
        <f t="shared" si="5"/>
        <v>Battery Defect, 0</v>
      </c>
      <c r="T153" t="str">
        <f>_xlfn.XLOOKUP(B153,Disk_Pivot!G:G,Disk_Pivot!I:I)</f>
        <v>Yes</v>
      </c>
      <c r="U153" t="str">
        <f>_xlfn.XLOOKUP(B153,Disk_Pivot!G:G,Disk_Pivot!N:N)</f>
        <v>Fail</v>
      </c>
      <c r="V153">
        <f>IF(U153="Fail",MacReports!N153,"")</f>
        <v>0</v>
      </c>
      <c r="AB153" t="str">
        <f t="shared" si="6"/>
        <v/>
      </c>
    </row>
    <row r="154" spans="1:28">
      <c r="A154" t="str">
        <f>MacReports!A154</f>
        <v/>
      </c>
      <c r="B154">
        <f>MacReports!B154</f>
        <v>0</v>
      </c>
      <c r="C154">
        <f>MacReports!C154</f>
        <v>0</v>
      </c>
      <c r="E154" t="e">
        <f>_xlfn.XLOOKUP(G154,Models!A:A,Models!F:F)</f>
        <v>#N/A</v>
      </c>
      <c r="F154" t="str">
        <f>_xlfn.XLOOKUP(B154,MacReports!B:B,MacReports!D:D,"")</f>
        <v/>
      </c>
      <c r="G154" s="13">
        <f>MacReports!E154</f>
        <v>0</v>
      </c>
      <c r="H154" t="e">
        <f>_xlfn.XLOOKUP(G154,Models!A:A,Models!B:B)</f>
        <v>#N/A</v>
      </c>
      <c r="I154" t="e">
        <f>_xlfn.XLOOKUP(G154,Models!A:A,Models!E:E)</f>
        <v>#N/A</v>
      </c>
      <c r="J154" t="e">
        <f>_xlfn.XLOOKUP(G154,Models!A:A,Models!D:D)</f>
        <v>#N/A</v>
      </c>
      <c r="K154">
        <f>MacReports!F154</f>
        <v>0</v>
      </c>
      <c r="L154">
        <f>MacReports!G154</f>
        <v>0</v>
      </c>
      <c r="M154" s="15" t="e" cm="1">
        <f t="array" ref="M154">--_xlfn.LET(
    _xlpm.txt, MacReports!H154,
    _xlpm.chars, MID(_xlpm.txt, _xlfn.SEQUENCE(LEN(_xlpm.txt)), 1),
    _xlfn.TEXTJOIN("", TRUE, IF(ISNUMBER(--_xlpm.chars), _xlpm.chars, ""))
)</f>
        <v>#VALUE!</v>
      </c>
      <c r="N154" s="16" t="str" cm="1">
        <f t="array" ref="N154">_xlfn.IFS(
   --MacReports!M154&lt;55,"Battery Defect",
  -- MacReports!M154&lt;=69,"Battery D",
  --MacReports!M154&lt;=80,"Battery C",
 --MacReports!M154&gt;80,""
)</f>
        <v>Battery Defect</v>
      </c>
      <c r="O154" s="16" t="str">
        <f>IF(MacReports!I154="Service","Battery Service","")</f>
        <v/>
      </c>
      <c r="P154" s="13">
        <f>MacReports!P154</f>
        <v>0</v>
      </c>
      <c r="Q154" s="13" t="str">
        <f>IF(MacReports!J154="Enabled","Apple ID Lock","")</f>
        <v/>
      </c>
      <c r="R154" s="13" t="str">
        <f>IF(MacReports!L154="y","Remote Locked","")</f>
        <v/>
      </c>
      <c r="S154" t="str">
        <f t="shared" si="5"/>
        <v>Battery Defect, 0</v>
      </c>
      <c r="T154" t="str">
        <f>_xlfn.XLOOKUP(B154,Disk_Pivot!G:G,Disk_Pivot!I:I)</f>
        <v>Yes</v>
      </c>
      <c r="U154" t="str">
        <f>_xlfn.XLOOKUP(B154,Disk_Pivot!G:G,Disk_Pivot!N:N)</f>
        <v>Fail</v>
      </c>
      <c r="V154">
        <f>IF(U154="Fail",MacReports!N154,"")</f>
        <v>0</v>
      </c>
      <c r="AB154" t="str">
        <f t="shared" si="6"/>
        <v/>
      </c>
    </row>
    <row r="155" spans="1:28">
      <c r="A155" t="str">
        <f>MacReports!A155</f>
        <v/>
      </c>
      <c r="B155">
        <f>MacReports!B155</f>
        <v>0</v>
      </c>
      <c r="C155">
        <f>MacReports!C155</f>
        <v>0</v>
      </c>
      <c r="E155" t="e">
        <f>_xlfn.XLOOKUP(G155,Models!A:A,Models!F:F)</f>
        <v>#N/A</v>
      </c>
      <c r="F155" t="str">
        <f>_xlfn.XLOOKUP(B155,MacReports!B:B,MacReports!D:D,"")</f>
        <v/>
      </c>
      <c r="G155" s="13">
        <f>MacReports!E155</f>
        <v>0</v>
      </c>
      <c r="H155" t="e">
        <f>_xlfn.XLOOKUP(G155,Models!A:A,Models!B:B)</f>
        <v>#N/A</v>
      </c>
      <c r="I155" t="e">
        <f>_xlfn.XLOOKUP(G155,Models!A:A,Models!E:E)</f>
        <v>#N/A</v>
      </c>
      <c r="J155" t="e">
        <f>_xlfn.XLOOKUP(G155,Models!A:A,Models!D:D)</f>
        <v>#N/A</v>
      </c>
      <c r="K155">
        <f>MacReports!F155</f>
        <v>0</v>
      </c>
      <c r="L155">
        <f>MacReports!G155</f>
        <v>0</v>
      </c>
      <c r="M155" s="15" t="e" cm="1">
        <f t="array" ref="M155">--_xlfn.LET(
    _xlpm.txt, MacReports!H155,
    _xlpm.chars, MID(_xlpm.txt, _xlfn.SEQUENCE(LEN(_xlpm.txt)), 1),
    _xlfn.TEXTJOIN("", TRUE, IF(ISNUMBER(--_xlpm.chars), _xlpm.chars, ""))
)</f>
        <v>#VALUE!</v>
      </c>
      <c r="N155" s="16" t="str" cm="1">
        <f t="array" ref="N155">_xlfn.IFS(
   --MacReports!M155&lt;55,"Battery Defect",
  -- MacReports!M155&lt;=69,"Battery D",
  --MacReports!M155&lt;=80,"Battery C",
 --MacReports!M155&gt;80,""
)</f>
        <v>Battery Defect</v>
      </c>
      <c r="O155" s="16" t="str">
        <f>IF(MacReports!I155="Service","Battery Service","")</f>
        <v/>
      </c>
      <c r="P155" s="13">
        <f>MacReports!P155</f>
        <v>0</v>
      </c>
      <c r="Q155" s="13" t="str">
        <f>IF(MacReports!J155="Enabled","Apple ID Lock","")</f>
        <v/>
      </c>
      <c r="R155" s="13" t="str">
        <f>IF(MacReports!L155="y","Remote Locked","")</f>
        <v/>
      </c>
      <c r="S155" t="str">
        <f t="shared" si="5"/>
        <v>Battery Defect, 0</v>
      </c>
      <c r="T155" t="str">
        <f>_xlfn.XLOOKUP(B155,Disk_Pivot!G:G,Disk_Pivot!I:I)</f>
        <v>Yes</v>
      </c>
      <c r="U155" t="str">
        <f>_xlfn.XLOOKUP(B155,Disk_Pivot!G:G,Disk_Pivot!N:N)</f>
        <v>Fail</v>
      </c>
      <c r="V155">
        <f>IF(U155="Fail",MacReports!N155,"")</f>
        <v>0</v>
      </c>
      <c r="AB155" t="str">
        <f t="shared" si="6"/>
        <v/>
      </c>
    </row>
    <row r="156" spans="1:28">
      <c r="A156" t="str">
        <f>MacReports!A156</f>
        <v/>
      </c>
      <c r="B156">
        <f>MacReports!B156</f>
        <v>0</v>
      </c>
      <c r="C156">
        <f>MacReports!C156</f>
        <v>0</v>
      </c>
      <c r="E156" t="e">
        <f>_xlfn.XLOOKUP(G156,Models!A:A,Models!F:F)</f>
        <v>#N/A</v>
      </c>
      <c r="F156" t="str">
        <f>_xlfn.XLOOKUP(B156,MacReports!B:B,MacReports!D:D,"")</f>
        <v/>
      </c>
      <c r="G156" s="13">
        <f>MacReports!E156</f>
        <v>0</v>
      </c>
      <c r="H156" t="e">
        <f>_xlfn.XLOOKUP(G156,Models!A:A,Models!B:B)</f>
        <v>#N/A</v>
      </c>
      <c r="I156" t="e">
        <f>_xlfn.XLOOKUP(G156,Models!A:A,Models!E:E)</f>
        <v>#N/A</v>
      </c>
      <c r="J156" t="e">
        <f>_xlfn.XLOOKUP(G156,Models!A:A,Models!D:D)</f>
        <v>#N/A</v>
      </c>
      <c r="K156">
        <f>MacReports!F156</f>
        <v>0</v>
      </c>
      <c r="L156">
        <f>MacReports!G156</f>
        <v>0</v>
      </c>
      <c r="M156" s="15" t="e" cm="1">
        <f t="array" ref="M156">--_xlfn.LET(
    _xlpm.txt, MacReports!H156,
    _xlpm.chars, MID(_xlpm.txt, _xlfn.SEQUENCE(LEN(_xlpm.txt)), 1),
    _xlfn.TEXTJOIN("", TRUE, IF(ISNUMBER(--_xlpm.chars), _xlpm.chars, ""))
)</f>
        <v>#VALUE!</v>
      </c>
      <c r="N156" s="16" t="str" cm="1">
        <f t="array" ref="N156">_xlfn.IFS(
   --MacReports!M156&lt;55,"Battery Defect",
  -- MacReports!M156&lt;=69,"Battery D",
  --MacReports!M156&lt;=80,"Battery C",
 --MacReports!M156&gt;80,""
)</f>
        <v>Battery Defect</v>
      </c>
      <c r="O156" s="16" t="str">
        <f>IF(MacReports!I156="Service","Battery Service","")</f>
        <v/>
      </c>
      <c r="P156" s="13">
        <f>MacReports!P156</f>
        <v>0</v>
      </c>
      <c r="Q156" s="13" t="str">
        <f>IF(MacReports!J156="Enabled","Apple ID Lock","")</f>
        <v/>
      </c>
      <c r="R156" s="13" t="str">
        <f>IF(MacReports!L156="y","Remote Locked","")</f>
        <v/>
      </c>
      <c r="S156" t="str">
        <f t="shared" si="5"/>
        <v>Battery Defect, 0</v>
      </c>
      <c r="T156" t="str">
        <f>_xlfn.XLOOKUP(B156,Disk_Pivot!G:G,Disk_Pivot!I:I)</f>
        <v>Yes</v>
      </c>
      <c r="U156" t="str">
        <f>_xlfn.XLOOKUP(B156,Disk_Pivot!G:G,Disk_Pivot!N:N)</f>
        <v>Fail</v>
      </c>
      <c r="V156">
        <f>IF(U156="Fail",MacReports!N156,"")</f>
        <v>0</v>
      </c>
      <c r="AB156" t="str">
        <f t="shared" si="6"/>
        <v/>
      </c>
    </row>
    <row r="157" spans="1:28">
      <c r="A157" t="str">
        <f>MacReports!A157</f>
        <v/>
      </c>
      <c r="B157">
        <f>MacReports!B157</f>
        <v>0</v>
      </c>
      <c r="C157">
        <f>MacReports!C157</f>
        <v>0</v>
      </c>
      <c r="E157" t="e">
        <f>_xlfn.XLOOKUP(G157,Models!A:A,Models!F:F)</f>
        <v>#N/A</v>
      </c>
      <c r="F157" t="str">
        <f>_xlfn.XLOOKUP(B157,MacReports!B:B,MacReports!D:D,"")</f>
        <v/>
      </c>
      <c r="G157" s="13">
        <f>MacReports!E157</f>
        <v>0</v>
      </c>
      <c r="H157" t="e">
        <f>_xlfn.XLOOKUP(G157,Models!A:A,Models!B:B)</f>
        <v>#N/A</v>
      </c>
      <c r="I157" t="e">
        <f>_xlfn.XLOOKUP(G157,Models!A:A,Models!E:E)</f>
        <v>#N/A</v>
      </c>
      <c r="J157" t="e">
        <f>_xlfn.XLOOKUP(G157,Models!A:A,Models!D:D)</f>
        <v>#N/A</v>
      </c>
      <c r="K157">
        <f>MacReports!F157</f>
        <v>0</v>
      </c>
      <c r="L157">
        <f>MacReports!G157</f>
        <v>0</v>
      </c>
      <c r="M157" s="15" t="e" cm="1">
        <f t="array" ref="M157">--_xlfn.LET(
    _xlpm.txt, MacReports!H157,
    _xlpm.chars, MID(_xlpm.txt, _xlfn.SEQUENCE(LEN(_xlpm.txt)), 1),
    _xlfn.TEXTJOIN("", TRUE, IF(ISNUMBER(--_xlpm.chars), _xlpm.chars, ""))
)</f>
        <v>#VALUE!</v>
      </c>
      <c r="N157" s="16" t="str" cm="1">
        <f t="array" ref="N157">_xlfn.IFS(
   --MacReports!M157&lt;55,"Battery Defect",
  -- MacReports!M157&lt;=69,"Battery D",
  --MacReports!M157&lt;=80,"Battery C",
 --MacReports!M157&gt;80,""
)</f>
        <v>Battery Defect</v>
      </c>
      <c r="O157" s="16" t="str">
        <f>IF(MacReports!I157="Service","Battery Service","")</f>
        <v/>
      </c>
      <c r="P157" s="13">
        <f>MacReports!P157</f>
        <v>0</v>
      </c>
      <c r="Q157" s="13" t="str">
        <f>IF(MacReports!J157="Enabled","Apple ID Lock","")</f>
        <v/>
      </c>
      <c r="R157" s="13" t="str">
        <f>IF(MacReports!L157="y","Remote Locked","")</f>
        <v/>
      </c>
      <c r="S157" t="str">
        <f t="shared" si="5"/>
        <v>Battery Defect, 0</v>
      </c>
      <c r="T157" t="str">
        <f>_xlfn.XLOOKUP(B157,Disk_Pivot!G:G,Disk_Pivot!I:I)</f>
        <v>Yes</v>
      </c>
      <c r="U157" t="str">
        <f>_xlfn.XLOOKUP(B157,Disk_Pivot!G:G,Disk_Pivot!N:N)</f>
        <v>Fail</v>
      </c>
      <c r="V157">
        <f>IF(U157="Fail",MacReports!N157,"")</f>
        <v>0</v>
      </c>
      <c r="AB157" t="str">
        <f t="shared" si="6"/>
        <v/>
      </c>
    </row>
    <row r="158" spans="1:28">
      <c r="A158" t="str">
        <f>MacReports!A158</f>
        <v/>
      </c>
      <c r="B158">
        <f>MacReports!B158</f>
        <v>0</v>
      </c>
      <c r="C158">
        <f>MacReports!C158</f>
        <v>0</v>
      </c>
      <c r="E158" t="e">
        <f>_xlfn.XLOOKUP(G158,Models!A:A,Models!F:F)</f>
        <v>#N/A</v>
      </c>
      <c r="F158" t="str">
        <f>_xlfn.XLOOKUP(B158,MacReports!B:B,MacReports!D:D,"")</f>
        <v/>
      </c>
      <c r="G158" s="13">
        <f>MacReports!E158</f>
        <v>0</v>
      </c>
      <c r="H158" t="e">
        <f>_xlfn.XLOOKUP(G158,Models!A:A,Models!B:B)</f>
        <v>#N/A</v>
      </c>
      <c r="I158" t="e">
        <f>_xlfn.XLOOKUP(G158,Models!A:A,Models!E:E)</f>
        <v>#N/A</v>
      </c>
      <c r="J158" t="e">
        <f>_xlfn.XLOOKUP(G158,Models!A:A,Models!D:D)</f>
        <v>#N/A</v>
      </c>
      <c r="K158">
        <f>MacReports!F158</f>
        <v>0</v>
      </c>
      <c r="L158">
        <f>MacReports!G158</f>
        <v>0</v>
      </c>
      <c r="M158" s="15" t="e" cm="1">
        <f t="array" ref="M158">--_xlfn.LET(
    _xlpm.txt, MacReports!H158,
    _xlpm.chars, MID(_xlpm.txt, _xlfn.SEQUENCE(LEN(_xlpm.txt)), 1),
    _xlfn.TEXTJOIN("", TRUE, IF(ISNUMBER(--_xlpm.chars), _xlpm.chars, ""))
)</f>
        <v>#VALUE!</v>
      </c>
      <c r="N158" s="16" t="str" cm="1">
        <f t="array" ref="N158">_xlfn.IFS(
   --MacReports!M158&lt;55,"Battery Defect",
  -- MacReports!M158&lt;=69,"Battery D",
  --MacReports!M158&lt;=80,"Battery C",
 --MacReports!M158&gt;80,""
)</f>
        <v>Battery Defect</v>
      </c>
      <c r="O158" s="16" t="str">
        <f>IF(MacReports!I158="Service","Battery Service","")</f>
        <v/>
      </c>
      <c r="P158" s="13">
        <f>MacReports!P158</f>
        <v>0</v>
      </c>
      <c r="Q158" s="13" t="str">
        <f>IF(MacReports!J158="Enabled","Apple ID Lock","")</f>
        <v/>
      </c>
      <c r="R158" s="13" t="str">
        <f>IF(MacReports!L158="y","Remote Locked","")</f>
        <v/>
      </c>
      <c r="S158" t="str">
        <f t="shared" si="5"/>
        <v>Battery Defect, 0</v>
      </c>
      <c r="T158" t="str">
        <f>_xlfn.XLOOKUP(B158,Disk_Pivot!G:G,Disk_Pivot!I:I)</f>
        <v>Yes</v>
      </c>
      <c r="U158" t="str">
        <f>_xlfn.XLOOKUP(B158,Disk_Pivot!G:G,Disk_Pivot!N:N)</f>
        <v>Fail</v>
      </c>
      <c r="V158">
        <f>IF(U158="Fail",MacReports!N158,"")</f>
        <v>0</v>
      </c>
      <c r="AB158" t="str">
        <f t="shared" si="6"/>
        <v/>
      </c>
    </row>
    <row r="159" spans="1:28">
      <c r="A159" t="str">
        <f>MacReports!A159</f>
        <v/>
      </c>
      <c r="B159">
        <f>MacReports!B159</f>
        <v>0</v>
      </c>
      <c r="C159">
        <f>MacReports!C159</f>
        <v>0</v>
      </c>
      <c r="E159" t="e">
        <f>_xlfn.XLOOKUP(G159,Models!A:A,Models!F:F)</f>
        <v>#N/A</v>
      </c>
      <c r="F159" t="str">
        <f>_xlfn.XLOOKUP(B159,MacReports!B:B,MacReports!D:D,"")</f>
        <v/>
      </c>
      <c r="G159" s="13">
        <f>MacReports!E159</f>
        <v>0</v>
      </c>
      <c r="H159" t="e">
        <f>_xlfn.XLOOKUP(G159,Models!A:A,Models!B:B)</f>
        <v>#N/A</v>
      </c>
      <c r="I159" t="e">
        <f>_xlfn.XLOOKUP(G159,Models!A:A,Models!E:E)</f>
        <v>#N/A</v>
      </c>
      <c r="J159" t="e">
        <f>_xlfn.XLOOKUP(G159,Models!A:A,Models!D:D)</f>
        <v>#N/A</v>
      </c>
      <c r="K159">
        <f>MacReports!F159</f>
        <v>0</v>
      </c>
      <c r="L159">
        <f>MacReports!G159</f>
        <v>0</v>
      </c>
      <c r="M159" s="15" t="e" cm="1">
        <f t="array" ref="M159">--_xlfn.LET(
    _xlpm.txt, MacReports!H159,
    _xlpm.chars, MID(_xlpm.txt, _xlfn.SEQUENCE(LEN(_xlpm.txt)), 1),
    _xlfn.TEXTJOIN("", TRUE, IF(ISNUMBER(--_xlpm.chars), _xlpm.chars, ""))
)</f>
        <v>#VALUE!</v>
      </c>
      <c r="N159" s="16" t="str" cm="1">
        <f t="array" ref="N159">_xlfn.IFS(
   --MacReports!M159&lt;55,"Battery Defect",
  -- MacReports!M159&lt;=69,"Battery D",
  --MacReports!M159&lt;=80,"Battery C",
 --MacReports!M159&gt;80,""
)</f>
        <v>Battery Defect</v>
      </c>
      <c r="O159" s="16" t="str">
        <f>IF(MacReports!I159="Service","Battery Service","")</f>
        <v/>
      </c>
      <c r="P159" s="13">
        <f>MacReports!P159</f>
        <v>0</v>
      </c>
      <c r="Q159" s="13" t="str">
        <f>IF(MacReports!J159="Enabled","Apple ID Lock","")</f>
        <v/>
      </c>
      <c r="R159" s="13" t="str">
        <f>IF(MacReports!L159="y","Remote Locked","")</f>
        <v/>
      </c>
      <c r="S159" t="str">
        <f t="shared" si="5"/>
        <v>Battery Defect, 0</v>
      </c>
      <c r="T159" t="str">
        <f>_xlfn.XLOOKUP(B159,Disk_Pivot!G:G,Disk_Pivot!I:I)</f>
        <v>Yes</v>
      </c>
      <c r="U159" t="str">
        <f>_xlfn.XLOOKUP(B159,Disk_Pivot!G:G,Disk_Pivot!N:N)</f>
        <v>Fail</v>
      </c>
      <c r="V159">
        <f>IF(U159="Fail",MacReports!N159,"")</f>
        <v>0</v>
      </c>
      <c r="AB159" t="str">
        <f t="shared" si="6"/>
        <v/>
      </c>
    </row>
    <row r="160" spans="1:28">
      <c r="A160" t="str">
        <f>MacReports!A160</f>
        <v/>
      </c>
      <c r="B160">
        <f>MacReports!B160</f>
        <v>0</v>
      </c>
      <c r="C160">
        <f>MacReports!C160</f>
        <v>0</v>
      </c>
      <c r="E160" t="e">
        <f>_xlfn.XLOOKUP(G160,Models!A:A,Models!F:F)</f>
        <v>#N/A</v>
      </c>
      <c r="F160" t="str">
        <f>_xlfn.XLOOKUP(B160,MacReports!B:B,MacReports!D:D,"")</f>
        <v/>
      </c>
      <c r="G160" s="13">
        <f>MacReports!E160</f>
        <v>0</v>
      </c>
      <c r="H160" t="e">
        <f>_xlfn.XLOOKUP(G160,Models!A:A,Models!B:B)</f>
        <v>#N/A</v>
      </c>
      <c r="I160" t="e">
        <f>_xlfn.XLOOKUP(G160,Models!A:A,Models!E:E)</f>
        <v>#N/A</v>
      </c>
      <c r="J160" t="e">
        <f>_xlfn.XLOOKUP(G160,Models!A:A,Models!D:D)</f>
        <v>#N/A</v>
      </c>
      <c r="K160">
        <f>MacReports!F160</f>
        <v>0</v>
      </c>
      <c r="L160">
        <f>MacReports!G160</f>
        <v>0</v>
      </c>
      <c r="M160" s="15" t="e" cm="1">
        <f t="array" ref="M160">--_xlfn.LET(
    _xlpm.txt, MacReports!H160,
    _xlpm.chars, MID(_xlpm.txt, _xlfn.SEQUENCE(LEN(_xlpm.txt)), 1),
    _xlfn.TEXTJOIN("", TRUE, IF(ISNUMBER(--_xlpm.chars), _xlpm.chars, ""))
)</f>
        <v>#VALUE!</v>
      </c>
      <c r="N160" s="16" t="str" cm="1">
        <f t="array" ref="N160">_xlfn.IFS(
   --MacReports!M160&lt;55,"Battery Defect",
  -- MacReports!M160&lt;=69,"Battery D",
  --MacReports!M160&lt;=80,"Battery C",
 --MacReports!M160&gt;80,""
)</f>
        <v>Battery Defect</v>
      </c>
      <c r="O160" s="16" t="str">
        <f>IF(MacReports!I160="Service","Battery Service","")</f>
        <v/>
      </c>
      <c r="P160" s="13">
        <f>MacReports!P160</f>
        <v>0</v>
      </c>
      <c r="Q160" s="13" t="str">
        <f>IF(MacReports!J160="Enabled","Apple ID Lock","")</f>
        <v/>
      </c>
      <c r="R160" s="13" t="str">
        <f>IF(MacReports!L160="y","Remote Locked","")</f>
        <v/>
      </c>
      <c r="S160" t="str">
        <f t="shared" si="5"/>
        <v>Battery Defect, 0</v>
      </c>
      <c r="T160" t="str">
        <f>_xlfn.XLOOKUP(B160,Disk_Pivot!G:G,Disk_Pivot!I:I)</f>
        <v>Yes</v>
      </c>
      <c r="U160" t="str">
        <f>_xlfn.XLOOKUP(B160,Disk_Pivot!G:G,Disk_Pivot!N:N)</f>
        <v>Fail</v>
      </c>
      <c r="V160">
        <f>IF(U160="Fail",MacReports!N160,"")</f>
        <v>0</v>
      </c>
      <c r="AB160" t="str">
        <f t="shared" si="6"/>
        <v/>
      </c>
    </row>
    <row r="161" spans="1:28">
      <c r="A161" t="str">
        <f>MacReports!A161</f>
        <v/>
      </c>
      <c r="B161">
        <f>MacReports!B161</f>
        <v>0</v>
      </c>
      <c r="C161">
        <f>MacReports!C161</f>
        <v>0</v>
      </c>
      <c r="E161" t="e">
        <f>_xlfn.XLOOKUP(G161,Models!A:A,Models!F:F)</f>
        <v>#N/A</v>
      </c>
      <c r="F161" t="str">
        <f>_xlfn.XLOOKUP(B161,MacReports!B:B,MacReports!D:D,"")</f>
        <v/>
      </c>
      <c r="G161" s="13">
        <f>MacReports!E161</f>
        <v>0</v>
      </c>
      <c r="H161" t="e">
        <f>_xlfn.XLOOKUP(G161,Models!A:A,Models!B:B)</f>
        <v>#N/A</v>
      </c>
      <c r="I161" t="e">
        <f>_xlfn.XLOOKUP(G161,Models!A:A,Models!E:E)</f>
        <v>#N/A</v>
      </c>
      <c r="J161" t="e">
        <f>_xlfn.XLOOKUP(G161,Models!A:A,Models!D:D)</f>
        <v>#N/A</v>
      </c>
      <c r="K161">
        <f>MacReports!F161</f>
        <v>0</v>
      </c>
      <c r="L161">
        <f>MacReports!G161</f>
        <v>0</v>
      </c>
      <c r="M161" s="15" t="e" cm="1">
        <f t="array" ref="M161">--_xlfn.LET(
    _xlpm.txt, MacReports!H161,
    _xlpm.chars, MID(_xlpm.txt, _xlfn.SEQUENCE(LEN(_xlpm.txt)), 1),
    _xlfn.TEXTJOIN("", TRUE, IF(ISNUMBER(--_xlpm.chars), _xlpm.chars, ""))
)</f>
        <v>#VALUE!</v>
      </c>
      <c r="N161" s="16" t="str" cm="1">
        <f t="array" ref="N161">_xlfn.IFS(
   --MacReports!M161&lt;55,"Battery Defect",
  -- MacReports!M161&lt;=69,"Battery D",
  --MacReports!M161&lt;=80,"Battery C",
 --MacReports!M161&gt;80,""
)</f>
        <v>Battery Defect</v>
      </c>
      <c r="O161" s="16" t="str">
        <f>IF(MacReports!I161="Service","Battery Service","")</f>
        <v/>
      </c>
      <c r="P161" s="13">
        <f>MacReports!P161</f>
        <v>0</v>
      </c>
      <c r="Q161" s="13" t="str">
        <f>IF(MacReports!J161="Enabled","Apple ID Lock","")</f>
        <v/>
      </c>
      <c r="R161" s="13" t="str">
        <f>IF(MacReports!L161="y","Remote Locked","")</f>
        <v/>
      </c>
      <c r="S161" t="str">
        <f t="shared" si="5"/>
        <v>Battery Defect, 0</v>
      </c>
      <c r="T161" t="str">
        <f>_xlfn.XLOOKUP(B161,Disk_Pivot!G:G,Disk_Pivot!I:I)</f>
        <v>Yes</v>
      </c>
      <c r="U161" t="str">
        <f>_xlfn.XLOOKUP(B161,Disk_Pivot!G:G,Disk_Pivot!N:N)</f>
        <v>Fail</v>
      </c>
      <c r="V161">
        <f>IF(U161="Fail",MacReports!N161,"")</f>
        <v>0</v>
      </c>
      <c r="AB161" t="str">
        <f t="shared" si="6"/>
        <v/>
      </c>
    </row>
    <row r="162" spans="1:28">
      <c r="A162" t="str">
        <f>MacReports!A162</f>
        <v/>
      </c>
      <c r="B162">
        <f>MacReports!B162</f>
        <v>0</v>
      </c>
      <c r="C162">
        <f>MacReports!C162</f>
        <v>0</v>
      </c>
      <c r="E162" t="e">
        <f>_xlfn.XLOOKUP(G162,Models!A:A,Models!F:F)</f>
        <v>#N/A</v>
      </c>
      <c r="F162" t="str">
        <f>_xlfn.XLOOKUP(B162,MacReports!B:B,MacReports!D:D,"")</f>
        <v/>
      </c>
      <c r="G162" s="13">
        <f>MacReports!E162</f>
        <v>0</v>
      </c>
      <c r="H162" t="e">
        <f>_xlfn.XLOOKUP(G162,Models!A:A,Models!B:B)</f>
        <v>#N/A</v>
      </c>
      <c r="I162" t="e">
        <f>_xlfn.XLOOKUP(G162,Models!A:A,Models!E:E)</f>
        <v>#N/A</v>
      </c>
      <c r="J162" t="e">
        <f>_xlfn.XLOOKUP(G162,Models!A:A,Models!D:D)</f>
        <v>#N/A</v>
      </c>
      <c r="K162">
        <f>MacReports!F162</f>
        <v>0</v>
      </c>
      <c r="L162">
        <f>MacReports!G162</f>
        <v>0</v>
      </c>
      <c r="M162" s="15" t="e" cm="1">
        <f t="array" ref="M162">--_xlfn.LET(
    _xlpm.txt, MacReports!H162,
    _xlpm.chars, MID(_xlpm.txt, _xlfn.SEQUENCE(LEN(_xlpm.txt)), 1),
    _xlfn.TEXTJOIN("", TRUE, IF(ISNUMBER(--_xlpm.chars), _xlpm.chars, ""))
)</f>
        <v>#VALUE!</v>
      </c>
      <c r="N162" s="16" t="str" cm="1">
        <f t="array" ref="N162">_xlfn.IFS(
   --MacReports!M162&lt;55,"Battery Defect",
  -- MacReports!M162&lt;=69,"Battery D",
  --MacReports!M162&lt;=80,"Battery C",
 --MacReports!M162&gt;80,""
)</f>
        <v>Battery Defect</v>
      </c>
      <c r="O162" s="16" t="str">
        <f>IF(MacReports!I162="Service","Battery Service","")</f>
        <v/>
      </c>
      <c r="P162" s="13">
        <f>MacReports!P162</f>
        <v>0</v>
      </c>
      <c r="Q162" s="13" t="str">
        <f>IF(MacReports!J162="Enabled","Apple ID Lock","")</f>
        <v/>
      </c>
      <c r="R162" s="13" t="str">
        <f>IF(MacReports!L162="y","Remote Locked","")</f>
        <v/>
      </c>
      <c r="S162" t="str">
        <f t="shared" si="5"/>
        <v>Battery Defect, 0</v>
      </c>
      <c r="T162" t="str">
        <f>_xlfn.XLOOKUP(B162,Disk_Pivot!G:G,Disk_Pivot!I:I)</f>
        <v>Yes</v>
      </c>
      <c r="U162" t="str">
        <f>_xlfn.XLOOKUP(B162,Disk_Pivot!G:G,Disk_Pivot!N:N)</f>
        <v>Fail</v>
      </c>
      <c r="V162">
        <f>IF(U162="Fail",MacReports!N162,"")</f>
        <v>0</v>
      </c>
      <c r="AB162" t="str">
        <f t="shared" si="6"/>
        <v/>
      </c>
    </row>
    <row r="163" spans="1:28">
      <c r="A163" t="str">
        <f>MacReports!A163</f>
        <v/>
      </c>
      <c r="B163">
        <f>MacReports!B163</f>
        <v>0</v>
      </c>
      <c r="C163">
        <f>MacReports!C163</f>
        <v>0</v>
      </c>
      <c r="E163" t="e">
        <f>_xlfn.XLOOKUP(G163,Models!A:A,Models!F:F)</f>
        <v>#N/A</v>
      </c>
      <c r="F163" t="str">
        <f>_xlfn.XLOOKUP(B163,MacReports!B:B,MacReports!D:D,"")</f>
        <v/>
      </c>
      <c r="G163" s="13">
        <f>MacReports!E163</f>
        <v>0</v>
      </c>
      <c r="H163" t="e">
        <f>_xlfn.XLOOKUP(G163,Models!A:A,Models!B:B)</f>
        <v>#N/A</v>
      </c>
      <c r="I163" t="e">
        <f>_xlfn.XLOOKUP(G163,Models!A:A,Models!E:E)</f>
        <v>#N/A</v>
      </c>
      <c r="J163" t="e">
        <f>_xlfn.XLOOKUP(G163,Models!A:A,Models!D:D)</f>
        <v>#N/A</v>
      </c>
      <c r="K163">
        <f>MacReports!F163</f>
        <v>0</v>
      </c>
      <c r="L163">
        <f>MacReports!G163</f>
        <v>0</v>
      </c>
      <c r="M163" s="15" t="e" cm="1">
        <f t="array" ref="M163">--_xlfn.LET(
    _xlpm.txt, MacReports!H163,
    _xlpm.chars, MID(_xlpm.txt, _xlfn.SEQUENCE(LEN(_xlpm.txt)), 1),
    _xlfn.TEXTJOIN("", TRUE, IF(ISNUMBER(--_xlpm.chars), _xlpm.chars, ""))
)</f>
        <v>#VALUE!</v>
      </c>
      <c r="N163" s="16" t="str" cm="1">
        <f t="array" ref="N163">_xlfn.IFS(
   --MacReports!M163&lt;55,"Battery Defect",
  -- MacReports!M163&lt;=69,"Battery D",
  --MacReports!M163&lt;=80,"Battery C",
 --MacReports!M163&gt;80,""
)</f>
        <v>Battery Defect</v>
      </c>
      <c r="O163" s="16" t="str">
        <f>IF(MacReports!I163="Service","Battery Service","")</f>
        <v/>
      </c>
      <c r="P163" s="13">
        <f>MacReports!P163</f>
        <v>0</v>
      </c>
      <c r="Q163" s="13" t="str">
        <f>IF(MacReports!J163="Enabled","Apple ID Lock","")</f>
        <v/>
      </c>
      <c r="R163" s="13" t="str">
        <f>IF(MacReports!L163="y","Remote Locked","")</f>
        <v/>
      </c>
      <c r="S163" t="str">
        <f t="shared" ref="S163:S226" si="7">_xlfn.TEXTJOIN(", ",TRUE,Q163,R163,N163,O163,P163)</f>
        <v>Battery Defect, 0</v>
      </c>
      <c r="T163" t="str">
        <f>_xlfn.XLOOKUP(B163,Disk_Pivot!G:G,Disk_Pivot!I:I)</f>
        <v>Yes</v>
      </c>
      <c r="U163" t="str">
        <f>_xlfn.XLOOKUP(B163,Disk_Pivot!G:G,Disk_Pivot!N:N)</f>
        <v>Fail</v>
      </c>
      <c r="V163">
        <f>IF(U163="Fail",MacReports!N163,"")</f>
        <v>0</v>
      </c>
      <c r="AB163" t="str">
        <f t="shared" ref="AB163:AB226" si="8">_xlfn.TEXTJOIN(", ",TRUE,Q163,R163)</f>
        <v/>
      </c>
    </row>
    <row r="164" spans="1:28">
      <c r="A164" t="str">
        <f>MacReports!A164</f>
        <v/>
      </c>
      <c r="B164">
        <f>MacReports!B164</f>
        <v>0</v>
      </c>
      <c r="C164">
        <f>MacReports!C164</f>
        <v>0</v>
      </c>
      <c r="E164" t="e">
        <f>_xlfn.XLOOKUP(G164,Models!A:A,Models!F:F)</f>
        <v>#N/A</v>
      </c>
      <c r="F164" t="str">
        <f>_xlfn.XLOOKUP(B164,MacReports!B:B,MacReports!D:D,"")</f>
        <v/>
      </c>
      <c r="G164" s="13">
        <f>MacReports!E164</f>
        <v>0</v>
      </c>
      <c r="H164" t="e">
        <f>_xlfn.XLOOKUP(G164,Models!A:A,Models!B:B)</f>
        <v>#N/A</v>
      </c>
      <c r="I164" t="e">
        <f>_xlfn.XLOOKUP(G164,Models!A:A,Models!E:E)</f>
        <v>#N/A</v>
      </c>
      <c r="J164" t="e">
        <f>_xlfn.XLOOKUP(G164,Models!A:A,Models!D:D)</f>
        <v>#N/A</v>
      </c>
      <c r="K164">
        <f>MacReports!F164</f>
        <v>0</v>
      </c>
      <c r="L164">
        <f>MacReports!G164</f>
        <v>0</v>
      </c>
      <c r="M164" s="15" t="e" cm="1">
        <f t="array" ref="M164">--_xlfn.LET(
    _xlpm.txt, MacReports!H164,
    _xlpm.chars, MID(_xlpm.txt, _xlfn.SEQUENCE(LEN(_xlpm.txt)), 1),
    _xlfn.TEXTJOIN("", TRUE, IF(ISNUMBER(--_xlpm.chars), _xlpm.chars, ""))
)</f>
        <v>#VALUE!</v>
      </c>
      <c r="N164" s="16" t="str" cm="1">
        <f t="array" ref="N164">_xlfn.IFS(
   --MacReports!M164&lt;55,"Battery Defect",
  -- MacReports!M164&lt;=69,"Battery D",
  --MacReports!M164&lt;=80,"Battery C",
 --MacReports!M164&gt;80,""
)</f>
        <v>Battery Defect</v>
      </c>
      <c r="O164" s="16" t="str">
        <f>IF(MacReports!I164="Service","Battery Service","")</f>
        <v/>
      </c>
      <c r="P164" s="13">
        <f>MacReports!P164</f>
        <v>0</v>
      </c>
      <c r="Q164" s="13" t="str">
        <f>IF(MacReports!J164="Enabled","Apple ID Lock","")</f>
        <v/>
      </c>
      <c r="R164" s="13" t="str">
        <f>IF(MacReports!L164="y","Remote Locked","")</f>
        <v/>
      </c>
      <c r="S164" t="str">
        <f t="shared" si="7"/>
        <v>Battery Defect, 0</v>
      </c>
      <c r="T164" t="str">
        <f>_xlfn.XLOOKUP(B164,Disk_Pivot!G:G,Disk_Pivot!I:I)</f>
        <v>Yes</v>
      </c>
      <c r="U164" t="str">
        <f>_xlfn.XLOOKUP(B164,Disk_Pivot!G:G,Disk_Pivot!N:N)</f>
        <v>Fail</v>
      </c>
      <c r="V164">
        <f>IF(U164="Fail",MacReports!N164,"")</f>
        <v>0</v>
      </c>
      <c r="AB164" t="str">
        <f t="shared" si="8"/>
        <v/>
      </c>
    </row>
    <row r="165" spans="1:28">
      <c r="A165" t="str">
        <f>MacReports!A165</f>
        <v/>
      </c>
      <c r="B165">
        <f>MacReports!B165</f>
        <v>0</v>
      </c>
      <c r="C165">
        <f>MacReports!C165</f>
        <v>0</v>
      </c>
      <c r="E165" t="e">
        <f>_xlfn.XLOOKUP(G165,Models!A:A,Models!F:F)</f>
        <v>#N/A</v>
      </c>
      <c r="F165" t="str">
        <f>_xlfn.XLOOKUP(B165,MacReports!B:B,MacReports!D:D,"")</f>
        <v/>
      </c>
      <c r="G165" s="13">
        <f>MacReports!E165</f>
        <v>0</v>
      </c>
      <c r="H165" t="e">
        <f>_xlfn.XLOOKUP(G165,Models!A:A,Models!B:B)</f>
        <v>#N/A</v>
      </c>
      <c r="I165" t="e">
        <f>_xlfn.XLOOKUP(G165,Models!A:A,Models!E:E)</f>
        <v>#N/A</v>
      </c>
      <c r="J165" t="e">
        <f>_xlfn.XLOOKUP(G165,Models!A:A,Models!D:D)</f>
        <v>#N/A</v>
      </c>
      <c r="K165">
        <f>MacReports!F165</f>
        <v>0</v>
      </c>
      <c r="L165">
        <f>MacReports!G165</f>
        <v>0</v>
      </c>
      <c r="M165" s="15" t="e" cm="1">
        <f t="array" ref="M165">--_xlfn.LET(
    _xlpm.txt, MacReports!H165,
    _xlpm.chars, MID(_xlpm.txt, _xlfn.SEQUENCE(LEN(_xlpm.txt)), 1),
    _xlfn.TEXTJOIN("", TRUE, IF(ISNUMBER(--_xlpm.chars), _xlpm.chars, ""))
)</f>
        <v>#VALUE!</v>
      </c>
      <c r="N165" s="16" t="str" cm="1">
        <f t="array" ref="N165">_xlfn.IFS(
   --MacReports!M165&lt;55,"Battery Defect",
  -- MacReports!M165&lt;=69,"Battery D",
  --MacReports!M165&lt;=80,"Battery C",
 --MacReports!M165&gt;80,""
)</f>
        <v>Battery Defect</v>
      </c>
      <c r="O165" s="16" t="str">
        <f>IF(MacReports!I165="Service","Battery Service","")</f>
        <v/>
      </c>
      <c r="P165" s="13">
        <f>MacReports!P165</f>
        <v>0</v>
      </c>
      <c r="Q165" s="13" t="str">
        <f>IF(MacReports!J165="Enabled","Apple ID Lock","")</f>
        <v/>
      </c>
      <c r="R165" s="13" t="str">
        <f>IF(MacReports!L165="y","Remote Locked","")</f>
        <v/>
      </c>
      <c r="S165" t="str">
        <f t="shared" si="7"/>
        <v>Battery Defect, 0</v>
      </c>
      <c r="T165" t="str">
        <f>_xlfn.XLOOKUP(B165,Disk_Pivot!G:G,Disk_Pivot!I:I)</f>
        <v>Yes</v>
      </c>
      <c r="U165" t="str">
        <f>_xlfn.XLOOKUP(B165,Disk_Pivot!G:G,Disk_Pivot!N:N)</f>
        <v>Fail</v>
      </c>
      <c r="V165">
        <f>IF(U165="Fail",MacReports!N165,"")</f>
        <v>0</v>
      </c>
      <c r="AB165" t="str">
        <f t="shared" si="8"/>
        <v/>
      </c>
    </row>
    <row r="166" spans="1:28">
      <c r="A166" t="str">
        <f>MacReports!A166</f>
        <v/>
      </c>
      <c r="B166">
        <f>MacReports!B166</f>
        <v>0</v>
      </c>
      <c r="C166">
        <f>MacReports!C166</f>
        <v>0</v>
      </c>
      <c r="E166" t="e">
        <f>_xlfn.XLOOKUP(G166,Models!A:A,Models!F:F)</f>
        <v>#N/A</v>
      </c>
      <c r="F166" t="str">
        <f>_xlfn.XLOOKUP(B166,MacReports!B:B,MacReports!D:D,"")</f>
        <v/>
      </c>
      <c r="G166" s="13">
        <f>MacReports!E166</f>
        <v>0</v>
      </c>
      <c r="H166" t="e">
        <f>_xlfn.XLOOKUP(G166,Models!A:A,Models!B:B)</f>
        <v>#N/A</v>
      </c>
      <c r="I166" t="e">
        <f>_xlfn.XLOOKUP(G166,Models!A:A,Models!E:E)</f>
        <v>#N/A</v>
      </c>
      <c r="J166" t="e">
        <f>_xlfn.XLOOKUP(G166,Models!A:A,Models!D:D)</f>
        <v>#N/A</v>
      </c>
      <c r="K166">
        <f>MacReports!F166</f>
        <v>0</v>
      </c>
      <c r="L166">
        <f>MacReports!G166</f>
        <v>0</v>
      </c>
      <c r="M166" s="15" t="e" cm="1">
        <f t="array" ref="M166">--_xlfn.LET(
    _xlpm.txt, MacReports!H166,
    _xlpm.chars, MID(_xlpm.txt, _xlfn.SEQUENCE(LEN(_xlpm.txt)), 1),
    _xlfn.TEXTJOIN("", TRUE, IF(ISNUMBER(--_xlpm.chars), _xlpm.chars, ""))
)</f>
        <v>#VALUE!</v>
      </c>
      <c r="N166" s="16" t="str" cm="1">
        <f t="array" ref="N166">_xlfn.IFS(
   --MacReports!M166&lt;55,"Battery Defect",
  -- MacReports!M166&lt;=69,"Battery D",
  --MacReports!M166&lt;=80,"Battery C",
 --MacReports!M166&gt;80,""
)</f>
        <v>Battery Defect</v>
      </c>
      <c r="O166" s="16" t="str">
        <f>IF(MacReports!I166="Service","Battery Service","")</f>
        <v/>
      </c>
      <c r="P166" s="13">
        <f>MacReports!P166</f>
        <v>0</v>
      </c>
      <c r="Q166" s="13" t="str">
        <f>IF(MacReports!J166="Enabled","Apple ID Lock","")</f>
        <v/>
      </c>
      <c r="R166" s="13" t="str">
        <f>IF(MacReports!L166="y","Remote Locked","")</f>
        <v/>
      </c>
      <c r="S166" t="str">
        <f t="shared" si="7"/>
        <v>Battery Defect, 0</v>
      </c>
      <c r="T166" t="str">
        <f>_xlfn.XLOOKUP(B166,Disk_Pivot!G:G,Disk_Pivot!I:I)</f>
        <v>Yes</v>
      </c>
      <c r="U166" t="str">
        <f>_xlfn.XLOOKUP(B166,Disk_Pivot!G:G,Disk_Pivot!N:N)</f>
        <v>Fail</v>
      </c>
      <c r="V166">
        <f>IF(U166="Fail",MacReports!N166,"")</f>
        <v>0</v>
      </c>
      <c r="AB166" t="str">
        <f t="shared" si="8"/>
        <v/>
      </c>
    </row>
    <row r="167" spans="1:28">
      <c r="A167" t="str">
        <f>MacReports!A167</f>
        <v/>
      </c>
      <c r="B167">
        <f>MacReports!B167</f>
        <v>0</v>
      </c>
      <c r="C167">
        <f>MacReports!C167</f>
        <v>0</v>
      </c>
      <c r="E167" t="e">
        <f>_xlfn.XLOOKUP(G167,Models!A:A,Models!F:F)</f>
        <v>#N/A</v>
      </c>
      <c r="F167" t="str">
        <f>_xlfn.XLOOKUP(B167,MacReports!B:B,MacReports!D:D,"")</f>
        <v/>
      </c>
      <c r="G167" s="13">
        <f>MacReports!E167</f>
        <v>0</v>
      </c>
      <c r="H167" t="e">
        <f>_xlfn.XLOOKUP(G167,Models!A:A,Models!B:B)</f>
        <v>#N/A</v>
      </c>
      <c r="I167" t="e">
        <f>_xlfn.XLOOKUP(G167,Models!A:A,Models!E:E)</f>
        <v>#N/A</v>
      </c>
      <c r="J167" t="e">
        <f>_xlfn.XLOOKUP(G167,Models!A:A,Models!D:D)</f>
        <v>#N/A</v>
      </c>
      <c r="K167">
        <f>MacReports!F167</f>
        <v>0</v>
      </c>
      <c r="L167">
        <f>MacReports!G167</f>
        <v>0</v>
      </c>
      <c r="M167" s="15" t="e" cm="1">
        <f t="array" ref="M167">--_xlfn.LET(
    _xlpm.txt, MacReports!H167,
    _xlpm.chars, MID(_xlpm.txt, _xlfn.SEQUENCE(LEN(_xlpm.txt)), 1),
    _xlfn.TEXTJOIN("", TRUE, IF(ISNUMBER(--_xlpm.chars), _xlpm.chars, ""))
)</f>
        <v>#VALUE!</v>
      </c>
      <c r="N167" s="16" t="str" cm="1">
        <f t="array" ref="N167">_xlfn.IFS(
   --MacReports!M167&lt;55,"Battery Defect",
  -- MacReports!M167&lt;=69,"Battery D",
  --MacReports!M167&lt;=80,"Battery C",
 --MacReports!M167&gt;80,""
)</f>
        <v>Battery Defect</v>
      </c>
      <c r="O167" s="16" t="str">
        <f>IF(MacReports!I167="Service","Battery Service","")</f>
        <v/>
      </c>
      <c r="P167" s="13">
        <f>MacReports!P167</f>
        <v>0</v>
      </c>
      <c r="Q167" s="13" t="str">
        <f>IF(MacReports!J167="Enabled","Apple ID Lock","")</f>
        <v/>
      </c>
      <c r="R167" s="13" t="str">
        <f>IF(MacReports!L167="y","Remote Locked","")</f>
        <v/>
      </c>
      <c r="S167" t="str">
        <f t="shared" si="7"/>
        <v>Battery Defect, 0</v>
      </c>
      <c r="T167" t="str">
        <f>_xlfn.XLOOKUP(B167,Disk_Pivot!G:G,Disk_Pivot!I:I)</f>
        <v>Yes</v>
      </c>
      <c r="U167" t="str">
        <f>_xlfn.XLOOKUP(B167,Disk_Pivot!G:G,Disk_Pivot!N:N)</f>
        <v>Fail</v>
      </c>
      <c r="V167">
        <f>IF(U167="Fail",MacReports!N167,"")</f>
        <v>0</v>
      </c>
      <c r="AB167" t="str">
        <f t="shared" si="8"/>
        <v/>
      </c>
    </row>
    <row r="168" spans="1:28">
      <c r="A168" t="str">
        <f>MacReports!A168</f>
        <v/>
      </c>
      <c r="B168">
        <f>MacReports!B168</f>
        <v>0</v>
      </c>
      <c r="C168">
        <f>MacReports!C168</f>
        <v>0</v>
      </c>
      <c r="E168" t="e">
        <f>_xlfn.XLOOKUP(G168,Models!A:A,Models!F:F)</f>
        <v>#N/A</v>
      </c>
      <c r="F168" t="str">
        <f>_xlfn.XLOOKUP(B168,MacReports!B:B,MacReports!D:D,"")</f>
        <v/>
      </c>
      <c r="G168" s="13">
        <f>MacReports!E168</f>
        <v>0</v>
      </c>
      <c r="H168" t="e">
        <f>_xlfn.XLOOKUP(G168,Models!A:A,Models!B:B)</f>
        <v>#N/A</v>
      </c>
      <c r="I168" t="e">
        <f>_xlfn.XLOOKUP(G168,Models!A:A,Models!E:E)</f>
        <v>#N/A</v>
      </c>
      <c r="J168" t="e">
        <f>_xlfn.XLOOKUP(G168,Models!A:A,Models!D:D)</f>
        <v>#N/A</v>
      </c>
      <c r="K168">
        <f>MacReports!F168</f>
        <v>0</v>
      </c>
      <c r="L168">
        <f>MacReports!G168</f>
        <v>0</v>
      </c>
      <c r="M168" s="15" t="e" cm="1">
        <f t="array" ref="M168">--_xlfn.LET(
    _xlpm.txt, MacReports!H168,
    _xlpm.chars, MID(_xlpm.txt, _xlfn.SEQUENCE(LEN(_xlpm.txt)), 1),
    _xlfn.TEXTJOIN("", TRUE, IF(ISNUMBER(--_xlpm.chars), _xlpm.chars, ""))
)</f>
        <v>#VALUE!</v>
      </c>
      <c r="N168" s="16" t="str" cm="1">
        <f t="array" ref="N168">_xlfn.IFS(
   --MacReports!M168&lt;55,"Battery Defect",
  -- MacReports!M168&lt;=69,"Battery D",
  --MacReports!M168&lt;=80,"Battery C",
 --MacReports!M168&gt;80,""
)</f>
        <v>Battery Defect</v>
      </c>
      <c r="O168" s="16" t="str">
        <f>IF(MacReports!I168="Service","Battery Service","")</f>
        <v/>
      </c>
      <c r="P168" s="13">
        <f>MacReports!P168</f>
        <v>0</v>
      </c>
      <c r="Q168" s="13" t="str">
        <f>IF(MacReports!J168="Enabled","Apple ID Lock","")</f>
        <v/>
      </c>
      <c r="R168" s="13" t="str">
        <f>IF(MacReports!L168="y","Remote Locked","")</f>
        <v/>
      </c>
      <c r="S168" t="str">
        <f t="shared" si="7"/>
        <v>Battery Defect, 0</v>
      </c>
      <c r="T168" t="str">
        <f>_xlfn.XLOOKUP(B168,Disk_Pivot!G:G,Disk_Pivot!I:I)</f>
        <v>Yes</v>
      </c>
      <c r="U168" t="str">
        <f>_xlfn.XLOOKUP(B168,Disk_Pivot!G:G,Disk_Pivot!N:N)</f>
        <v>Fail</v>
      </c>
      <c r="V168">
        <f>IF(U168="Fail",MacReports!N168,"")</f>
        <v>0</v>
      </c>
      <c r="AB168" t="str">
        <f t="shared" si="8"/>
        <v/>
      </c>
    </row>
    <row r="169" spans="1:28">
      <c r="A169" t="str">
        <f>MacReports!A169</f>
        <v/>
      </c>
      <c r="B169">
        <f>MacReports!B169</f>
        <v>0</v>
      </c>
      <c r="C169">
        <f>MacReports!C169</f>
        <v>0</v>
      </c>
      <c r="E169" t="e">
        <f>_xlfn.XLOOKUP(G169,Models!A:A,Models!F:F)</f>
        <v>#N/A</v>
      </c>
      <c r="F169" t="str">
        <f>_xlfn.XLOOKUP(B169,MacReports!B:B,MacReports!D:D,"")</f>
        <v/>
      </c>
      <c r="G169" s="13">
        <f>MacReports!E169</f>
        <v>0</v>
      </c>
      <c r="H169" t="e">
        <f>_xlfn.XLOOKUP(G169,Models!A:A,Models!B:B)</f>
        <v>#N/A</v>
      </c>
      <c r="I169" t="e">
        <f>_xlfn.XLOOKUP(G169,Models!A:A,Models!E:E)</f>
        <v>#N/A</v>
      </c>
      <c r="J169" t="e">
        <f>_xlfn.XLOOKUP(G169,Models!A:A,Models!D:D)</f>
        <v>#N/A</v>
      </c>
      <c r="K169">
        <f>MacReports!F169</f>
        <v>0</v>
      </c>
      <c r="L169">
        <f>MacReports!G169</f>
        <v>0</v>
      </c>
      <c r="M169" s="15" t="e" cm="1">
        <f t="array" ref="M169">--_xlfn.LET(
    _xlpm.txt, MacReports!H169,
    _xlpm.chars, MID(_xlpm.txt, _xlfn.SEQUENCE(LEN(_xlpm.txt)), 1),
    _xlfn.TEXTJOIN("", TRUE, IF(ISNUMBER(--_xlpm.chars), _xlpm.chars, ""))
)</f>
        <v>#VALUE!</v>
      </c>
      <c r="N169" s="16" t="str" cm="1">
        <f t="array" ref="N169">_xlfn.IFS(
   --MacReports!M169&lt;55,"Battery Defect",
  -- MacReports!M169&lt;=69,"Battery D",
  --MacReports!M169&lt;=80,"Battery C",
 --MacReports!M169&gt;80,""
)</f>
        <v>Battery Defect</v>
      </c>
      <c r="O169" s="16" t="str">
        <f>IF(MacReports!I169="Service","Battery Service","")</f>
        <v/>
      </c>
      <c r="P169" s="13">
        <f>MacReports!P169</f>
        <v>0</v>
      </c>
      <c r="Q169" s="13" t="str">
        <f>IF(MacReports!J169="Enabled","Apple ID Lock","")</f>
        <v/>
      </c>
      <c r="R169" s="13" t="str">
        <f>IF(MacReports!L169="y","Remote Locked","")</f>
        <v/>
      </c>
      <c r="S169" t="str">
        <f t="shared" si="7"/>
        <v>Battery Defect, 0</v>
      </c>
      <c r="T169" t="str">
        <f>_xlfn.XLOOKUP(B169,Disk_Pivot!G:G,Disk_Pivot!I:I)</f>
        <v>Yes</v>
      </c>
      <c r="U169" t="str">
        <f>_xlfn.XLOOKUP(B169,Disk_Pivot!G:G,Disk_Pivot!N:N)</f>
        <v>Fail</v>
      </c>
      <c r="V169">
        <f>IF(U169="Fail",MacReports!N169,"")</f>
        <v>0</v>
      </c>
      <c r="AB169" t="str">
        <f t="shared" si="8"/>
        <v/>
      </c>
    </row>
    <row r="170" spans="1:28">
      <c r="A170" t="str">
        <f>MacReports!A170</f>
        <v/>
      </c>
      <c r="B170">
        <f>MacReports!B170</f>
        <v>0</v>
      </c>
      <c r="C170">
        <f>MacReports!C170</f>
        <v>0</v>
      </c>
      <c r="E170" t="e">
        <f>_xlfn.XLOOKUP(G170,Models!A:A,Models!F:F)</f>
        <v>#N/A</v>
      </c>
      <c r="F170" t="str">
        <f>_xlfn.XLOOKUP(B170,MacReports!B:B,MacReports!D:D,"")</f>
        <v/>
      </c>
      <c r="G170" s="13">
        <f>MacReports!E170</f>
        <v>0</v>
      </c>
      <c r="H170" t="e">
        <f>_xlfn.XLOOKUP(G170,Models!A:A,Models!B:B)</f>
        <v>#N/A</v>
      </c>
      <c r="I170" t="e">
        <f>_xlfn.XLOOKUP(G170,Models!A:A,Models!E:E)</f>
        <v>#N/A</v>
      </c>
      <c r="J170" t="e">
        <f>_xlfn.XLOOKUP(G170,Models!A:A,Models!D:D)</f>
        <v>#N/A</v>
      </c>
      <c r="K170">
        <f>MacReports!F170</f>
        <v>0</v>
      </c>
      <c r="L170">
        <f>MacReports!G170</f>
        <v>0</v>
      </c>
      <c r="M170" s="15" t="e" cm="1">
        <f t="array" ref="M170">--_xlfn.LET(
    _xlpm.txt, MacReports!H170,
    _xlpm.chars, MID(_xlpm.txt, _xlfn.SEQUENCE(LEN(_xlpm.txt)), 1),
    _xlfn.TEXTJOIN("", TRUE, IF(ISNUMBER(--_xlpm.chars), _xlpm.chars, ""))
)</f>
        <v>#VALUE!</v>
      </c>
      <c r="N170" s="16" t="str" cm="1">
        <f t="array" ref="N170">_xlfn.IFS(
   --MacReports!M170&lt;55,"Battery Defect",
  -- MacReports!M170&lt;=69,"Battery D",
  --MacReports!M170&lt;=80,"Battery C",
 --MacReports!M170&gt;80,""
)</f>
        <v>Battery Defect</v>
      </c>
      <c r="O170" s="16" t="str">
        <f>IF(MacReports!I170="Service","Battery Service","")</f>
        <v/>
      </c>
      <c r="P170" s="13">
        <f>MacReports!P170</f>
        <v>0</v>
      </c>
      <c r="Q170" s="13" t="str">
        <f>IF(MacReports!J170="Enabled","Apple ID Lock","")</f>
        <v/>
      </c>
      <c r="R170" s="13" t="str">
        <f>IF(MacReports!L170="y","Remote Locked","")</f>
        <v/>
      </c>
      <c r="S170" t="str">
        <f t="shared" si="7"/>
        <v>Battery Defect, 0</v>
      </c>
      <c r="T170" t="str">
        <f>_xlfn.XLOOKUP(B170,Disk_Pivot!G:G,Disk_Pivot!I:I)</f>
        <v>Yes</v>
      </c>
      <c r="U170" t="str">
        <f>_xlfn.XLOOKUP(B170,Disk_Pivot!G:G,Disk_Pivot!N:N)</f>
        <v>Fail</v>
      </c>
      <c r="V170">
        <f>IF(U170="Fail",MacReports!N170,"")</f>
        <v>0</v>
      </c>
      <c r="AB170" t="str">
        <f t="shared" si="8"/>
        <v/>
      </c>
    </row>
    <row r="171" spans="1:28">
      <c r="A171" t="str">
        <f>MacReports!A171</f>
        <v/>
      </c>
      <c r="B171">
        <f>MacReports!B171</f>
        <v>0</v>
      </c>
      <c r="C171">
        <f>MacReports!C171</f>
        <v>0</v>
      </c>
      <c r="E171" t="e">
        <f>_xlfn.XLOOKUP(G171,Models!A:A,Models!F:F)</f>
        <v>#N/A</v>
      </c>
      <c r="F171" t="str">
        <f>_xlfn.XLOOKUP(B171,MacReports!B:B,MacReports!D:D,"")</f>
        <v/>
      </c>
      <c r="G171" s="13">
        <f>MacReports!E171</f>
        <v>0</v>
      </c>
      <c r="H171" t="e">
        <f>_xlfn.XLOOKUP(G171,Models!A:A,Models!B:B)</f>
        <v>#N/A</v>
      </c>
      <c r="I171" t="e">
        <f>_xlfn.XLOOKUP(G171,Models!A:A,Models!E:E)</f>
        <v>#N/A</v>
      </c>
      <c r="J171" t="e">
        <f>_xlfn.XLOOKUP(G171,Models!A:A,Models!D:D)</f>
        <v>#N/A</v>
      </c>
      <c r="K171">
        <f>MacReports!F171</f>
        <v>0</v>
      </c>
      <c r="L171">
        <f>MacReports!G171</f>
        <v>0</v>
      </c>
      <c r="M171" s="15" t="e" cm="1">
        <f t="array" ref="M171">--_xlfn.LET(
    _xlpm.txt, MacReports!H171,
    _xlpm.chars, MID(_xlpm.txt, _xlfn.SEQUENCE(LEN(_xlpm.txt)), 1),
    _xlfn.TEXTJOIN("", TRUE, IF(ISNUMBER(--_xlpm.chars), _xlpm.chars, ""))
)</f>
        <v>#VALUE!</v>
      </c>
      <c r="N171" s="16" t="str" cm="1">
        <f t="array" ref="N171">_xlfn.IFS(
   --MacReports!M171&lt;55,"Battery Defect",
  -- MacReports!M171&lt;=69,"Battery D",
  --MacReports!M171&lt;=80,"Battery C",
 --MacReports!M171&gt;80,""
)</f>
        <v>Battery Defect</v>
      </c>
      <c r="O171" s="16" t="str">
        <f>IF(MacReports!I171="Service","Battery Service","")</f>
        <v/>
      </c>
      <c r="P171" s="13">
        <f>MacReports!P171</f>
        <v>0</v>
      </c>
      <c r="Q171" s="13" t="str">
        <f>IF(MacReports!J171="Enabled","Apple ID Lock","")</f>
        <v/>
      </c>
      <c r="R171" s="13" t="str">
        <f>IF(MacReports!L171="y","Remote Locked","")</f>
        <v/>
      </c>
      <c r="S171" t="str">
        <f t="shared" si="7"/>
        <v>Battery Defect, 0</v>
      </c>
      <c r="T171" t="str">
        <f>_xlfn.XLOOKUP(B171,Disk_Pivot!G:G,Disk_Pivot!I:I)</f>
        <v>Yes</v>
      </c>
      <c r="U171" t="str">
        <f>_xlfn.XLOOKUP(B171,Disk_Pivot!G:G,Disk_Pivot!N:N)</f>
        <v>Fail</v>
      </c>
      <c r="V171">
        <f>IF(U171="Fail",MacReports!N171,"")</f>
        <v>0</v>
      </c>
      <c r="AB171" t="str">
        <f t="shared" si="8"/>
        <v/>
      </c>
    </row>
    <row r="172" spans="1:28">
      <c r="A172" t="str">
        <f>MacReports!A172</f>
        <v/>
      </c>
      <c r="B172">
        <f>MacReports!B172</f>
        <v>0</v>
      </c>
      <c r="C172">
        <f>MacReports!C172</f>
        <v>0</v>
      </c>
      <c r="E172" t="e">
        <f>_xlfn.XLOOKUP(G172,Models!A:A,Models!F:F)</f>
        <v>#N/A</v>
      </c>
      <c r="F172" t="str">
        <f>_xlfn.XLOOKUP(B172,MacReports!B:B,MacReports!D:D,"")</f>
        <v/>
      </c>
      <c r="G172" s="13">
        <f>MacReports!E172</f>
        <v>0</v>
      </c>
      <c r="H172" t="e">
        <f>_xlfn.XLOOKUP(G172,Models!A:A,Models!B:B)</f>
        <v>#N/A</v>
      </c>
      <c r="I172" t="e">
        <f>_xlfn.XLOOKUP(G172,Models!A:A,Models!E:E)</f>
        <v>#N/A</v>
      </c>
      <c r="J172" t="e">
        <f>_xlfn.XLOOKUP(G172,Models!A:A,Models!D:D)</f>
        <v>#N/A</v>
      </c>
      <c r="K172">
        <f>MacReports!F172</f>
        <v>0</v>
      </c>
      <c r="L172">
        <f>MacReports!G172</f>
        <v>0</v>
      </c>
      <c r="M172" s="15" t="e" cm="1">
        <f t="array" ref="M172">--_xlfn.LET(
    _xlpm.txt, MacReports!H172,
    _xlpm.chars, MID(_xlpm.txt, _xlfn.SEQUENCE(LEN(_xlpm.txt)), 1),
    _xlfn.TEXTJOIN("", TRUE, IF(ISNUMBER(--_xlpm.chars), _xlpm.chars, ""))
)</f>
        <v>#VALUE!</v>
      </c>
      <c r="N172" s="16" t="str" cm="1">
        <f t="array" ref="N172">_xlfn.IFS(
   --MacReports!M172&lt;55,"Battery Defect",
  -- MacReports!M172&lt;=69,"Battery D",
  --MacReports!M172&lt;=80,"Battery C",
 --MacReports!M172&gt;80,""
)</f>
        <v>Battery Defect</v>
      </c>
      <c r="O172" s="16" t="str">
        <f>IF(MacReports!I172="Service","Battery Service","")</f>
        <v/>
      </c>
      <c r="P172" s="13">
        <f>MacReports!P172</f>
        <v>0</v>
      </c>
      <c r="Q172" s="13" t="str">
        <f>IF(MacReports!J172="Enabled","Apple ID Lock","")</f>
        <v/>
      </c>
      <c r="R172" s="13" t="str">
        <f>IF(MacReports!L172="y","Remote Locked","")</f>
        <v/>
      </c>
      <c r="S172" t="str">
        <f t="shared" si="7"/>
        <v>Battery Defect, 0</v>
      </c>
      <c r="T172" t="str">
        <f>_xlfn.XLOOKUP(B172,Disk_Pivot!G:G,Disk_Pivot!I:I)</f>
        <v>Yes</v>
      </c>
      <c r="U172" t="str">
        <f>_xlfn.XLOOKUP(B172,Disk_Pivot!G:G,Disk_Pivot!N:N)</f>
        <v>Fail</v>
      </c>
      <c r="V172">
        <f>IF(U172="Fail",MacReports!N172,"")</f>
        <v>0</v>
      </c>
      <c r="AB172" t="str">
        <f t="shared" si="8"/>
        <v/>
      </c>
    </row>
    <row r="173" spans="1:28">
      <c r="A173" t="str">
        <f>MacReports!A173</f>
        <v/>
      </c>
      <c r="B173">
        <f>MacReports!B173</f>
        <v>0</v>
      </c>
      <c r="C173">
        <f>MacReports!C173</f>
        <v>0</v>
      </c>
      <c r="E173" t="e">
        <f>_xlfn.XLOOKUP(G173,Models!A:A,Models!F:F)</f>
        <v>#N/A</v>
      </c>
      <c r="F173" t="str">
        <f>_xlfn.XLOOKUP(B173,MacReports!B:B,MacReports!D:D,"")</f>
        <v/>
      </c>
      <c r="G173" s="13">
        <f>MacReports!E173</f>
        <v>0</v>
      </c>
      <c r="H173" t="e">
        <f>_xlfn.XLOOKUP(G173,Models!A:A,Models!B:B)</f>
        <v>#N/A</v>
      </c>
      <c r="I173" t="e">
        <f>_xlfn.XLOOKUP(G173,Models!A:A,Models!E:E)</f>
        <v>#N/A</v>
      </c>
      <c r="J173" t="e">
        <f>_xlfn.XLOOKUP(G173,Models!A:A,Models!D:D)</f>
        <v>#N/A</v>
      </c>
      <c r="K173">
        <f>MacReports!F173</f>
        <v>0</v>
      </c>
      <c r="L173">
        <f>MacReports!G173</f>
        <v>0</v>
      </c>
      <c r="M173" s="15" t="e" cm="1">
        <f t="array" ref="M173">--_xlfn.LET(
    _xlpm.txt, MacReports!H173,
    _xlpm.chars, MID(_xlpm.txt, _xlfn.SEQUENCE(LEN(_xlpm.txt)), 1),
    _xlfn.TEXTJOIN("", TRUE, IF(ISNUMBER(--_xlpm.chars), _xlpm.chars, ""))
)</f>
        <v>#VALUE!</v>
      </c>
      <c r="N173" s="16" t="str" cm="1">
        <f t="array" ref="N173">_xlfn.IFS(
   --MacReports!M173&lt;55,"Battery Defect",
  -- MacReports!M173&lt;=69,"Battery D",
  --MacReports!M173&lt;=80,"Battery C",
 --MacReports!M173&gt;80,""
)</f>
        <v>Battery Defect</v>
      </c>
      <c r="O173" s="16" t="str">
        <f>IF(MacReports!I173="Service","Battery Service","")</f>
        <v/>
      </c>
      <c r="P173" s="13">
        <f>MacReports!P173</f>
        <v>0</v>
      </c>
      <c r="Q173" s="13" t="str">
        <f>IF(MacReports!J173="Enabled","Apple ID Lock","")</f>
        <v/>
      </c>
      <c r="R173" s="13" t="str">
        <f>IF(MacReports!L173="y","Remote Locked","")</f>
        <v/>
      </c>
      <c r="S173" t="str">
        <f t="shared" si="7"/>
        <v>Battery Defect, 0</v>
      </c>
      <c r="T173" t="str">
        <f>_xlfn.XLOOKUP(B173,Disk_Pivot!G:G,Disk_Pivot!I:I)</f>
        <v>Yes</v>
      </c>
      <c r="U173" t="str">
        <f>_xlfn.XLOOKUP(B173,Disk_Pivot!G:G,Disk_Pivot!N:N)</f>
        <v>Fail</v>
      </c>
      <c r="V173">
        <f>IF(U173="Fail",MacReports!N173,"")</f>
        <v>0</v>
      </c>
      <c r="AB173" t="str">
        <f t="shared" si="8"/>
        <v/>
      </c>
    </row>
    <row r="174" spans="1:28">
      <c r="A174" t="str">
        <f>MacReports!A174</f>
        <v/>
      </c>
      <c r="B174">
        <f>MacReports!B174</f>
        <v>0</v>
      </c>
      <c r="C174">
        <f>MacReports!C174</f>
        <v>0</v>
      </c>
      <c r="E174" t="e">
        <f>_xlfn.XLOOKUP(G174,Models!A:A,Models!F:F)</f>
        <v>#N/A</v>
      </c>
      <c r="F174" t="str">
        <f>_xlfn.XLOOKUP(B174,MacReports!B:B,MacReports!D:D,"")</f>
        <v/>
      </c>
      <c r="G174" s="13">
        <f>MacReports!E174</f>
        <v>0</v>
      </c>
      <c r="H174" t="e">
        <f>_xlfn.XLOOKUP(G174,Models!A:A,Models!B:B)</f>
        <v>#N/A</v>
      </c>
      <c r="I174" t="e">
        <f>_xlfn.XLOOKUP(G174,Models!A:A,Models!E:E)</f>
        <v>#N/A</v>
      </c>
      <c r="J174" t="e">
        <f>_xlfn.XLOOKUP(G174,Models!A:A,Models!D:D)</f>
        <v>#N/A</v>
      </c>
      <c r="K174">
        <f>MacReports!F174</f>
        <v>0</v>
      </c>
      <c r="L174">
        <f>MacReports!G174</f>
        <v>0</v>
      </c>
      <c r="M174" s="15" t="e" cm="1">
        <f t="array" ref="M174">--_xlfn.LET(
    _xlpm.txt, MacReports!H174,
    _xlpm.chars, MID(_xlpm.txt, _xlfn.SEQUENCE(LEN(_xlpm.txt)), 1),
    _xlfn.TEXTJOIN("", TRUE, IF(ISNUMBER(--_xlpm.chars), _xlpm.chars, ""))
)</f>
        <v>#VALUE!</v>
      </c>
      <c r="N174" s="16" t="str" cm="1">
        <f t="array" ref="N174">_xlfn.IFS(
   --MacReports!M174&lt;55,"Battery Defect",
  -- MacReports!M174&lt;=69,"Battery D",
  --MacReports!M174&lt;=80,"Battery C",
 --MacReports!M174&gt;80,""
)</f>
        <v>Battery Defect</v>
      </c>
      <c r="O174" s="16" t="str">
        <f>IF(MacReports!I174="Service","Battery Service","")</f>
        <v/>
      </c>
      <c r="P174" s="13">
        <f>MacReports!P174</f>
        <v>0</v>
      </c>
      <c r="Q174" s="13" t="str">
        <f>IF(MacReports!J174="Enabled","Apple ID Lock","")</f>
        <v/>
      </c>
      <c r="R174" s="13" t="str">
        <f>IF(MacReports!L174="y","Remote Locked","")</f>
        <v/>
      </c>
      <c r="S174" t="str">
        <f t="shared" si="7"/>
        <v>Battery Defect, 0</v>
      </c>
      <c r="T174" t="str">
        <f>_xlfn.XLOOKUP(B174,Disk_Pivot!G:G,Disk_Pivot!I:I)</f>
        <v>Yes</v>
      </c>
      <c r="U174" t="str">
        <f>_xlfn.XLOOKUP(B174,Disk_Pivot!G:G,Disk_Pivot!N:N)</f>
        <v>Fail</v>
      </c>
      <c r="V174">
        <f>IF(U174="Fail",MacReports!N174,"")</f>
        <v>0</v>
      </c>
      <c r="AB174" t="str">
        <f t="shared" si="8"/>
        <v/>
      </c>
    </row>
    <row r="175" spans="1:28">
      <c r="A175" t="str">
        <f>MacReports!A175</f>
        <v/>
      </c>
      <c r="B175">
        <f>MacReports!B175</f>
        <v>0</v>
      </c>
      <c r="C175">
        <f>MacReports!C175</f>
        <v>0</v>
      </c>
      <c r="E175" t="e">
        <f>_xlfn.XLOOKUP(G175,Models!A:A,Models!F:F)</f>
        <v>#N/A</v>
      </c>
      <c r="F175" t="str">
        <f>_xlfn.XLOOKUP(B175,MacReports!B:B,MacReports!D:D,"")</f>
        <v/>
      </c>
      <c r="G175" s="13">
        <f>MacReports!E175</f>
        <v>0</v>
      </c>
      <c r="H175" t="e">
        <f>_xlfn.XLOOKUP(G175,Models!A:A,Models!B:B)</f>
        <v>#N/A</v>
      </c>
      <c r="I175" t="e">
        <f>_xlfn.XLOOKUP(G175,Models!A:A,Models!E:E)</f>
        <v>#N/A</v>
      </c>
      <c r="J175" t="e">
        <f>_xlfn.XLOOKUP(G175,Models!A:A,Models!D:D)</f>
        <v>#N/A</v>
      </c>
      <c r="K175">
        <f>MacReports!F175</f>
        <v>0</v>
      </c>
      <c r="L175">
        <f>MacReports!G175</f>
        <v>0</v>
      </c>
      <c r="M175" s="15" t="e" cm="1">
        <f t="array" ref="M175">--_xlfn.LET(
    _xlpm.txt, MacReports!H175,
    _xlpm.chars, MID(_xlpm.txt, _xlfn.SEQUENCE(LEN(_xlpm.txt)), 1),
    _xlfn.TEXTJOIN("", TRUE, IF(ISNUMBER(--_xlpm.chars), _xlpm.chars, ""))
)</f>
        <v>#VALUE!</v>
      </c>
      <c r="N175" s="16" t="str" cm="1">
        <f t="array" ref="N175">_xlfn.IFS(
   --MacReports!M175&lt;55,"Battery Defect",
  -- MacReports!M175&lt;=69,"Battery D",
  --MacReports!M175&lt;=80,"Battery C",
 --MacReports!M175&gt;80,""
)</f>
        <v>Battery Defect</v>
      </c>
      <c r="O175" s="16" t="str">
        <f>IF(MacReports!I175="Service","Battery Service","")</f>
        <v/>
      </c>
      <c r="P175" s="13">
        <f>MacReports!P175</f>
        <v>0</v>
      </c>
      <c r="Q175" s="13" t="str">
        <f>IF(MacReports!J175="Enabled","Apple ID Lock","")</f>
        <v/>
      </c>
      <c r="R175" s="13" t="str">
        <f>IF(MacReports!L175="y","Remote Locked","")</f>
        <v/>
      </c>
      <c r="S175" t="str">
        <f t="shared" si="7"/>
        <v>Battery Defect, 0</v>
      </c>
      <c r="T175" t="str">
        <f>_xlfn.XLOOKUP(B175,Disk_Pivot!G:G,Disk_Pivot!I:I)</f>
        <v>Yes</v>
      </c>
      <c r="U175" t="str">
        <f>_xlfn.XLOOKUP(B175,Disk_Pivot!G:G,Disk_Pivot!N:N)</f>
        <v>Fail</v>
      </c>
      <c r="V175">
        <f>IF(U175="Fail",MacReports!N175,"")</f>
        <v>0</v>
      </c>
      <c r="AB175" t="str">
        <f t="shared" si="8"/>
        <v/>
      </c>
    </row>
    <row r="176" spans="1:28">
      <c r="A176" t="str">
        <f>MacReports!A176</f>
        <v/>
      </c>
      <c r="B176">
        <f>MacReports!B176</f>
        <v>0</v>
      </c>
      <c r="C176">
        <f>MacReports!C176</f>
        <v>0</v>
      </c>
      <c r="E176" t="e">
        <f>_xlfn.XLOOKUP(G176,Models!A:A,Models!F:F)</f>
        <v>#N/A</v>
      </c>
      <c r="F176" t="str">
        <f>_xlfn.XLOOKUP(B176,MacReports!B:B,MacReports!D:D,"")</f>
        <v/>
      </c>
      <c r="G176" s="13">
        <f>MacReports!E176</f>
        <v>0</v>
      </c>
      <c r="H176" t="e">
        <f>_xlfn.XLOOKUP(G176,Models!A:A,Models!B:B)</f>
        <v>#N/A</v>
      </c>
      <c r="I176" t="e">
        <f>_xlfn.XLOOKUP(G176,Models!A:A,Models!E:E)</f>
        <v>#N/A</v>
      </c>
      <c r="J176" t="e">
        <f>_xlfn.XLOOKUP(G176,Models!A:A,Models!D:D)</f>
        <v>#N/A</v>
      </c>
      <c r="K176">
        <f>MacReports!F176</f>
        <v>0</v>
      </c>
      <c r="L176">
        <f>MacReports!G176</f>
        <v>0</v>
      </c>
      <c r="M176" s="15" t="e" cm="1">
        <f t="array" ref="M176">--_xlfn.LET(
    _xlpm.txt, MacReports!H176,
    _xlpm.chars, MID(_xlpm.txt, _xlfn.SEQUENCE(LEN(_xlpm.txt)), 1),
    _xlfn.TEXTJOIN("", TRUE, IF(ISNUMBER(--_xlpm.chars), _xlpm.chars, ""))
)</f>
        <v>#VALUE!</v>
      </c>
      <c r="N176" s="16" t="str" cm="1">
        <f t="array" ref="N176">_xlfn.IFS(
   --MacReports!M176&lt;55,"Battery Defect",
  -- MacReports!M176&lt;=69,"Battery D",
  --MacReports!M176&lt;=80,"Battery C",
 --MacReports!M176&gt;80,""
)</f>
        <v>Battery Defect</v>
      </c>
      <c r="O176" s="16" t="str">
        <f>IF(MacReports!I176="Service","Battery Service","")</f>
        <v/>
      </c>
      <c r="P176" s="13">
        <f>MacReports!P176</f>
        <v>0</v>
      </c>
      <c r="Q176" s="13" t="str">
        <f>IF(MacReports!J176="Enabled","Apple ID Lock","")</f>
        <v/>
      </c>
      <c r="R176" s="13" t="str">
        <f>IF(MacReports!L176="y","Remote Locked","")</f>
        <v/>
      </c>
      <c r="S176" t="str">
        <f t="shared" si="7"/>
        <v>Battery Defect, 0</v>
      </c>
      <c r="T176" t="str">
        <f>_xlfn.XLOOKUP(B176,Disk_Pivot!G:G,Disk_Pivot!I:I)</f>
        <v>Yes</v>
      </c>
      <c r="U176" t="str">
        <f>_xlfn.XLOOKUP(B176,Disk_Pivot!G:G,Disk_Pivot!N:N)</f>
        <v>Fail</v>
      </c>
      <c r="V176">
        <f>IF(U176="Fail",MacReports!N176,"")</f>
        <v>0</v>
      </c>
      <c r="AB176" t="str">
        <f t="shared" si="8"/>
        <v/>
      </c>
    </row>
    <row r="177" spans="1:28">
      <c r="A177" t="str">
        <f>MacReports!A177</f>
        <v/>
      </c>
      <c r="B177">
        <f>MacReports!B177</f>
        <v>0</v>
      </c>
      <c r="C177">
        <f>MacReports!C177</f>
        <v>0</v>
      </c>
      <c r="E177" t="e">
        <f>_xlfn.XLOOKUP(G177,Models!A:A,Models!F:F)</f>
        <v>#N/A</v>
      </c>
      <c r="F177" t="str">
        <f>_xlfn.XLOOKUP(B177,MacReports!B:B,MacReports!D:D,"")</f>
        <v/>
      </c>
      <c r="G177" s="13">
        <f>MacReports!E177</f>
        <v>0</v>
      </c>
      <c r="H177" t="e">
        <f>_xlfn.XLOOKUP(G177,Models!A:A,Models!B:B)</f>
        <v>#N/A</v>
      </c>
      <c r="I177" t="e">
        <f>_xlfn.XLOOKUP(G177,Models!A:A,Models!E:E)</f>
        <v>#N/A</v>
      </c>
      <c r="J177" t="e">
        <f>_xlfn.XLOOKUP(G177,Models!A:A,Models!D:D)</f>
        <v>#N/A</v>
      </c>
      <c r="K177">
        <f>MacReports!F177</f>
        <v>0</v>
      </c>
      <c r="L177">
        <f>MacReports!G177</f>
        <v>0</v>
      </c>
      <c r="M177" s="15" t="e" cm="1">
        <f t="array" ref="M177">--_xlfn.LET(
    _xlpm.txt, MacReports!H177,
    _xlpm.chars, MID(_xlpm.txt, _xlfn.SEQUENCE(LEN(_xlpm.txt)), 1),
    _xlfn.TEXTJOIN("", TRUE, IF(ISNUMBER(--_xlpm.chars), _xlpm.chars, ""))
)</f>
        <v>#VALUE!</v>
      </c>
      <c r="N177" s="16" t="str" cm="1">
        <f t="array" ref="N177">_xlfn.IFS(
   --MacReports!M177&lt;55,"Battery Defect",
  -- MacReports!M177&lt;=69,"Battery D",
  --MacReports!M177&lt;=80,"Battery C",
 --MacReports!M177&gt;80,""
)</f>
        <v>Battery Defect</v>
      </c>
      <c r="O177" s="16" t="str">
        <f>IF(MacReports!I177="Service","Battery Service","")</f>
        <v/>
      </c>
      <c r="P177" s="13">
        <f>MacReports!P177</f>
        <v>0</v>
      </c>
      <c r="Q177" s="13" t="str">
        <f>IF(MacReports!J177="Enabled","Apple ID Lock","")</f>
        <v/>
      </c>
      <c r="R177" s="13" t="str">
        <f>IF(MacReports!L177="y","Remote Locked","")</f>
        <v/>
      </c>
      <c r="S177" t="str">
        <f t="shared" si="7"/>
        <v>Battery Defect, 0</v>
      </c>
      <c r="T177" t="str">
        <f>_xlfn.XLOOKUP(B177,Disk_Pivot!G:G,Disk_Pivot!I:I)</f>
        <v>Yes</v>
      </c>
      <c r="U177" t="str">
        <f>_xlfn.XLOOKUP(B177,Disk_Pivot!G:G,Disk_Pivot!N:N)</f>
        <v>Fail</v>
      </c>
      <c r="V177">
        <f>IF(U177="Fail",MacReports!N177,"")</f>
        <v>0</v>
      </c>
      <c r="AB177" t="str">
        <f t="shared" si="8"/>
        <v/>
      </c>
    </row>
    <row r="178" spans="1:28">
      <c r="A178" t="str">
        <f>MacReports!A178</f>
        <v/>
      </c>
      <c r="B178">
        <f>MacReports!B178</f>
        <v>0</v>
      </c>
      <c r="C178">
        <f>MacReports!C178</f>
        <v>0</v>
      </c>
      <c r="E178" t="e">
        <f>_xlfn.XLOOKUP(G178,Models!A:A,Models!F:F)</f>
        <v>#N/A</v>
      </c>
      <c r="F178" t="str">
        <f>_xlfn.XLOOKUP(B178,MacReports!B:B,MacReports!D:D,"")</f>
        <v/>
      </c>
      <c r="G178" s="13">
        <f>MacReports!E178</f>
        <v>0</v>
      </c>
      <c r="H178" t="e">
        <f>_xlfn.XLOOKUP(G178,Models!A:A,Models!B:B)</f>
        <v>#N/A</v>
      </c>
      <c r="I178" t="e">
        <f>_xlfn.XLOOKUP(G178,Models!A:A,Models!E:E)</f>
        <v>#N/A</v>
      </c>
      <c r="J178" t="e">
        <f>_xlfn.XLOOKUP(G178,Models!A:A,Models!D:D)</f>
        <v>#N/A</v>
      </c>
      <c r="K178">
        <f>MacReports!F178</f>
        <v>0</v>
      </c>
      <c r="L178">
        <f>MacReports!G178</f>
        <v>0</v>
      </c>
      <c r="M178" s="15" t="e" cm="1">
        <f t="array" ref="M178">--_xlfn.LET(
    _xlpm.txt, MacReports!H178,
    _xlpm.chars, MID(_xlpm.txt, _xlfn.SEQUENCE(LEN(_xlpm.txt)), 1),
    _xlfn.TEXTJOIN("", TRUE, IF(ISNUMBER(--_xlpm.chars), _xlpm.chars, ""))
)</f>
        <v>#VALUE!</v>
      </c>
      <c r="N178" s="16" t="str" cm="1">
        <f t="array" ref="N178">_xlfn.IFS(
   --MacReports!M178&lt;55,"Battery Defect",
  -- MacReports!M178&lt;=69,"Battery D",
  --MacReports!M178&lt;=80,"Battery C",
 --MacReports!M178&gt;80,""
)</f>
        <v>Battery Defect</v>
      </c>
      <c r="O178" s="16" t="str">
        <f>IF(MacReports!I178="Service","Battery Service","")</f>
        <v/>
      </c>
      <c r="P178" s="13">
        <f>MacReports!P178</f>
        <v>0</v>
      </c>
      <c r="Q178" s="13" t="str">
        <f>IF(MacReports!J178="Enabled","Apple ID Lock","")</f>
        <v/>
      </c>
      <c r="R178" s="13" t="str">
        <f>IF(MacReports!L178="y","Remote Locked","")</f>
        <v/>
      </c>
      <c r="S178" t="str">
        <f t="shared" si="7"/>
        <v>Battery Defect, 0</v>
      </c>
      <c r="T178" t="str">
        <f>_xlfn.XLOOKUP(B178,Disk_Pivot!G:G,Disk_Pivot!I:I)</f>
        <v>Yes</v>
      </c>
      <c r="U178" t="str">
        <f>_xlfn.XLOOKUP(B178,Disk_Pivot!G:G,Disk_Pivot!N:N)</f>
        <v>Fail</v>
      </c>
      <c r="V178">
        <f>IF(U178="Fail",MacReports!N178,"")</f>
        <v>0</v>
      </c>
      <c r="AB178" t="str">
        <f t="shared" si="8"/>
        <v/>
      </c>
    </row>
    <row r="179" spans="1:28">
      <c r="A179" t="str">
        <f>MacReports!A179</f>
        <v/>
      </c>
      <c r="B179">
        <f>MacReports!B179</f>
        <v>0</v>
      </c>
      <c r="C179">
        <f>MacReports!C179</f>
        <v>0</v>
      </c>
      <c r="E179" t="e">
        <f>_xlfn.XLOOKUP(G179,Models!A:A,Models!F:F)</f>
        <v>#N/A</v>
      </c>
      <c r="F179" t="str">
        <f>_xlfn.XLOOKUP(B179,MacReports!B:B,MacReports!D:D,"")</f>
        <v/>
      </c>
      <c r="G179" s="13">
        <f>MacReports!E179</f>
        <v>0</v>
      </c>
      <c r="H179" t="e">
        <f>_xlfn.XLOOKUP(G179,Models!A:A,Models!B:B)</f>
        <v>#N/A</v>
      </c>
      <c r="I179" t="e">
        <f>_xlfn.XLOOKUP(G179,Models!A:A,Models!E:E)</f>
        <v>#N/A</v>
      </c>
      <c r="J179" t="e">
        <f>_xlfn.XLOOKUP(G179,Models!A:A,Models!D:D)</f>
        <v>#N/A</v>
      </c>
      <c r="K179">
        <f>MacReports!F179</f>
        <v>0</v>
      </c>
      <c r="L179">
        <f>MacReports!G179</f>
        <v>0</v>
      </c>
      <c r="M179" s="15" t="e" cm="1">
        <f t="array" ref="M179">--_xlfn.LET(
    _xlpm.txt, MacReports!H179,
    _xlpm.chars, MID(_xlpm.txt, _xlfn.SEQUENCE(LEN(_xlpm.txt)), 1),
    _xlfn.TEXTJOIN("", TRUE, IF(ISNUMBER(--_xlpm.chars), _xlpm.chars, ""))
)</f>
        <v>#VALUE!</v>
      </c>
      <c r="N179" s="16" t="str" cm="1">
        <f t="array" ref="N179">_xlfn.IFS(
   --MacReports!M179&lt;55,"Battery Defect",
  -- MacReports!M179&lt;=69,"Battery D",
  --MacReports!M179&lt;=80,"Battery C",
 --MacReports!M179&gt;80,""
)</f>
        <v>Battery Defect</v>
      </c>
      <c r="O179" s="16" t="str">
        <f>IF(MacReports!I179="Service","Battery Service","")</f>
        <v/>
      </c>
      <c r="P179" s="13">
        <f>MacReports!P179</f>
        <v>0</v>
      </c>
      <c r="Q179" s="13" t="str">
        <f>IF(MacReports!J179="Enabled","Apple ID Lock","")</f>
        <v/>
      </c>
      <c r="R179" s="13" t="str">
        <f>IF(MacReports!L179="y","Remote Locked","")</f>
        <v/>
      </c>
      <c r="S179" t="str">
        <f t="shared" si="7"/>
        <v>Battery Defect, 0</v>
      </c>
      <c r="T179" t="str">
        <f>_xlfn.XLOOKUP(B179,Disk_Pivot!G:G,Disk_Pivot!I:I)</f>
        <v>Yes</v>
      </c>
      <c r="U179" t="str">
        <f>_xlfn.XLOOKUP(B179,Disk_Pivot!G:G,Disk_Pivot!N:N)</f>
        <v>Fail</v>
      </c>
      <c r="V179">
        <f>IF(U179="Fail",MacReports!N179,"")</f>
        <v>0</v>
      </c>
      <c r="AB179" t="str">
        <f t="shared" si="8"/>
        <v/>
      </c>
    </row>
    <row r="180" spans="1:28">
      <c r="A180" t="str">
        <f>MacReports!A180</f>
        <v/>
      </c>
      <c r="B180">
        <f>MacReports!B180</f>
        <v>0</v>
      </c>
      <c r="C180">
        <f>MacReports!C180</f>
        <v>0</v>
      </c>
      <c r="E180" t="e">
        <f>_xlfn.XLOOKUP(G180,Models!A:A,Models!F:F)</f>
        <v>#N/A</v>
      </c>
      <c r="F180" t="str">
        <f>_xlfn.XLOOKUP(B180,MacReports!B:B,MacReports!D:D,"")</f>
        <v/>
      </c>
      <c r="G180" s="13">
        <f>MacReports!E180</f>
        <v>0</v>
      </c>
      <c r="H180" t="e">
        <f>_xlfn.XLOOKUP(G180,Models!A:A,Models!B:B)</f>
        <v>#N/A</v>
      </c>
      <c r="I180" t="e">
        <f>_xlfn.XLOOKUP(G180,Models!A:A,Models!E:E)</f>
        <v>#N/A</v>
      </c>
      <c r="J180" t="e">
        <f>_xlfn.XLOOKUP(G180,Models!A:A,Models!D:D)</f>
        <v>#N/A</v>
      </c>
      <c r="K180">
        <f>MacReports!F180</f>
        <v>0</v>
      </c>
      <c r="L180">
        <f>MacReports!G180</f>
        <v>0</v>
      </c>
      <c r="M180" s="15" t="e" cm="1">
        <f t="array" ref="M180">--_xlfn.LET(
    _xlpm.txt, MacReports!H180,
    _xlpm.chars, MID(_xlpm.txt, _xlfn.SEQUENCE(LEN(_xlpm.txt)), 1),
    _xlfn.TEXTJOIN("", TRUE, IF(ISNUMBER(--_xlpm.chars), _xlpm.chars, ""))
)</f>
        <v>#VALUE!</v>
      </c>
      <c r="N180" s="16" t="str" cm="1">
        <f t="array" ref="N180">_xlfn.IFS(
   --MacReports!M180&lt;55,"Battery Defect",
  -- MacReports!M180&lt;=69,"Battery D",
  --MacReports!M180&lt;=80,"Battery C",
 --MacReports!M180&gt;80,""
)</f>
        <v>Battery Defect</v>
      </c>
      <c r="O180" s="16" t="str">
        <f>IF(MacReports!I180="Service","Battery Service","")</f>
        <v/>
      </c>
      <c r="P180" s="13">
        <f>MacReports!P180</f>
        <v>0</v>
      </c>
      <c r="Q180" s="13" t="str">
        <f>IF(MacReports!J180="Enabled","Apple ID Lock","")</f>
        <v/>
      </c>
      <c r="R180" s="13" t="str">
        <f>IF(MacReports!L180="y","Remote Locked","")</f>
        <v/>
      </c>
      <c r="S180" t="str">
        <f t="shared" si="7"/>
        <v>Battery Defect, 0</v>
      </c>
      <c r="T180" t="str">
        <f>_xlfn.XLOOKUP(B180,Disk_Pivot!G:G,Disk_Pivot!I:I)</f>
        <v>Yes</v>
      </c>
      <c r="U180" t="str">
        <f>_xlfn.XLOOKUP(B180,Disk_Pivot!G:G,Disk_Pivot!N:N)</f>
        <v>Fail</v>
      </c>
      <c r="V180">
        <f>IF(U180="Fail",MacReports!N180,"")</f>
        <v>0</v>
      </c>
      <c r="AB180" t="str">
        <f t="shared" si="8"/>
        <v/>
      </c>
    </row>
    <row r="181" spans="1:28">
      <c r="A181" t="str">
        <f>MacReports!A181</f>
        <v/>
      </c>
      <c r="B181">
        <f>MacReports!B181</f>
        <v>0</v>
      </c>
      <c r="C181">
        <f>MacReports!C181</f>
        <v>0</v>
      </c>
      <c r="E181" t="e">
        <f>_xlfn.XLOOKUP(G181,Models!A:A,Models!F:F)</f>
        <v>#N/A</v>
      </c>
      <c r="F181" t="str">
        <f>_xlfn.XLOOKUP(B181,MacReports!B:B,MacReports!D:D,"")</f>
        <v/>
      </c>
      <c r="G181" s="13">
        <f>MacReports!E181</f>
        <v>0</v>
      </c>
      <c r="H181" t="e">
        <f>_xlfn.XLOOKUP(G181,Models!A:A,Models!B:B)</f>
        <v>#N/A</v>
      </c>
      <c r="I181" t="e">
        <f>_xlfn.XLOOKUP(G181,Models!A:A,Models!E:E)</f>
        <v>#N/A</v>
      </c>
      <c r="J181" t="e">
        <f>_xlfn.XLOOKUP(G181,Models!A:A,Models!D:D)</f>
        <v>#N/A</v>
      </c>
      <c r="K181">
        <f>MacReports!F181</f>
        <v>0</v>
      </c>
      <c r="L181">
        <f>MacReports!G181</f>
        <v>0</v>
      </c>
      <c r="M181" s="15" t="e" cm="1">
        <f t="array" ref="M181">--_xlfn.LET(
    _xlpm.txt, MacReports!H181,
    _xlpm.chars, MID(_xlpm.txt, _xlfn.SEQUENCE(LEN(_xlpm.txt)), 1),
    _xlfn.TEXTJOIN("", TRUE, IF(ISNUMBER(--_xlpm.chars), _xlpm.chars, ""))
)</f>
        <v>#VALUE!</v>
      </c>
      <c r="N181" s="16" t="str" cm="1">
        <f t="array" ref="N181">_xlfn.IFS(
   --MacReports!M181&lt;55,"Battery Defect",
  -- MacReports!M181&lt;=69,"Battery D",
  --MacReports!M181&lt;=80,"Battery C",
 --MacReports!M181&gt;80,""
)</f>
        <v>Battery Defect</v>
      </c>
      <c r="O181" s="16" t="str">
        <f>IF(MacReports!I181="Service","Battery Service","")</f>
        <v/>
      </c>
      <c r="P181" s="13">
        <f>MacReports!P181</f>
        <v>0</v>
      </c>
      <c r="Q181" s="13" t="str">
        <f>IF(MacReports!J181="Enabled","Apple ID Lock","")</f>
        <v/>
      </c>
      <c r="R181" s="13" t="str">
        <f>IF(MacReports!L181="y","Remote Locked","")</f>
        <v/>
      </c>
      <c r="S181" t="str">
        <f t="shared" si="7"/>
        <v>Battery Defect, 0</v>
      </c>
      <c r="T181" t="str">
        <f>_xlfn.XLOOKUP(B181,Disk_Pivot!G:G,Disk_Pivot!I:I)</f>
        <v>Yes</v>
      </c>
      <c r="U181" t="str">
        <f>_xlfn.XLOOKUP(B181,Disk_Pivot!G:G,Disk_Pivot!N:N)</f>
        <v>Fail</v>
      </c>
      <c r="V181">
        <f>IF(U181="Fail",MacReports!N181,"")</f>
        <v>0</v>
      </c>
      <c r="AB181" t="str">
        <f t="shared" si="8"/>
        <v/>
      </c>
    </row>
    <row r="182" spans="1:28">
      <c r="A182" t="str">
        <f>MacReports!A182</f>
        <v/>
      </c>
      <c r="B182">
        <f>MacReports!B182</f>
        <v>0</v>
      </c>
      <c r="C182">
        <f>MacReports!C182</f>
        <v>0</v>
      </c>
      <c r="E182" t="e">
        <f>_xlfn.XLOOKUP(G182,Models!A:A,Models!F:F)</f>
        <v>#N/A</v>
      </c>
      <c r="F182" t="str">
        <f>_xlfn.XLOOKUP(B182,MacReports!B:B,MacReports!D:D,"")</f>
        <v/>
      </c>
      <c r="G182" s="13">
        <f>MacReports!E182</f>
        <v>0</v>
      </c>
      <c r="H182" t="e">
        <f>_xlfn.XLOOKUP(G182,Models!A:A,Models!B:B)</f>
        <v>#N/A</v>
      </c>
      <c r="I182" t="e">
        <f>_xlfn.XLOOKUP(G182,Models!A:A,Models!E:E)</f>
        <v>#N/A</v>
      </c>
      <c r="J182" t="e">
        <f>_xlfn.XLOOKUP(G182,Models!A:A,Models!D:D)</f>
        <v>#N/A</v>
      </c>
      <c r="K182">
        <f>MacReports!F182</f>
        <v>0</v>
      </c>
      <c r="L182">
        <f>MacReports!G182</f>
        <v>0</v>
      </c>
      <c r="M182" s="15" t="e" cm="1">
        <f t="array" ref="M182">--_xlfn.LET(
    _xlpm.txt, MacReports!H182,
    _xlpm.chars, MID(_xlpm.txt, _xlfn.SEQUENCE(LEN(_xlpm.txt)), 1),
    _xlfn.TEXTJOIN("", TRUE, IF(ISNUMBER(--_xlpm.chars), _xlpm.chars, ""))
)</f>
        <v>#VALUE!</v>
      </c>
      <c r="N182" s="16" t="str" cm="1">
        <f t="array" ref="N182">_xlfn.IFS(
   --MacReports!M182&lt;55,"Battery Defect",
  -- MacReports!M182&lt;=69,"Battery D",
  --MacReports!M182&lt;=80,"Battery C",
 --MacReports!M182&gt;80,""
)</f>
        <v>Battery Defect</v>
      </c>
      <c r="O182" s="16" t="str">
        <f>IF(MacReports!I182="Service","Battery Service","")</f>
        <v/>
      </c>
      <c r="P182" s="13">
        <f>MacReports!P182</f>
        <v>0</v>
      </c>
      <c r="Q182" s="13" t="str">
        <f>IF(MacReports!J182="Enabled","Apple ID Lock","")</f>
        <v/>
      </c>
      <c r="R182" s="13" t="str">
        <f>IF(MacReports!L182="y","Remote Locked","")</f>
        <v/>
      </c>
      <c r="S182" t="str">
        <f t="shared" si="7"/>
        <v>Battery Defect, 0</v>
      </c>
      <c r="T182" t="str">
        <f>_xlfn.XLOOKUP(B182,Disk_Pivot!G:G,Disk_Pivot!I:I)</f>
        <v>Yes</v>
      </c>
      <c r="U182" t="str">
        <f>_xlfn.XLOOKUP(B182,Disk_Pivot!G:G,Disk_Pivot!N:N)</f>
        <v>Fail</v>
      </c>
      <c r="V182">
        <f>IF(U182="Fail",MacReports!N182,"")</f>
        <v>0</v>
      </c>
      <c r="AB182" t="str">
        <f t="shared" si="8"/>
        <v/>
      </c>
    </row>
    <row r="183" spans="1:28">
      <c r="A183" t="str">
        <f>MacReports!A183</f>
        <v/>
      </c>
      <c r="B183">
        <f>MacReports!B183</f>
        <v>0</v>
      </c>
      <c r="C183">
        <f>MacReports!C183</f>
        <v>0</v>
      </c>
      <c r="E183" t="e">
        <f>_xlfn.XLOOKUP(G183,Models!A:A,Models!F:F)</f>
        <v>#N/A</v>
      </c>
      <c r="F183" t="str">
        <f>_xlfn.XLOOKUP(B183,MacReports!B:B,MacReports!D:D,"")</f>
        <v/>
      </c>
      <c r="G183" s="13">
        <f>MacReports!E183</f>
        <v>0</v>
      </c>
      <c r="H183" t="e">
        <f>_xlfn.XLOOKUP(G183,Models!A:A,Models!B:B)</f>
        <v>#N/A</v>
      </c>
      <c r="I183" t="e">
        <f>_xlfn.XLOOKUP(G183,Models!A:A,Models!E:E)</f>
        <v>#N/A</v>
      </c>
      <c r="J183" t="e">
        <f>_xlfn.XLOOKUP(G183,Models!A:A,Models!D:D)</f>
        <v>#N/A</v>
      </c>
      <c r="K183">
        <f>MacReports!F183</f>
        <v>0</v>
      </c>
      <c r="L183">
        <f>MacReports!G183</f>
        <v>0</v>
      </c>
      <c r="M183" s="15" t="e" cm="1">
        <f t="array" ref="M183">--_xlfn.LET(
    _xlpm.txt, MacReports!H183,
    _xlpm.chars, MID(_xlpm.txt, _xlfn.SEQUENCE(LEN(_xlpm.txt)), 1),
    _xlfn.TEXTJOIN("", TRUE, IF(ISNUMBER(--_xlpm.chars), _xlpm.chars, ""))
)</f>
        <v>#VALUE!</v>
      </c>
      <c r="N183" s="16" t="str" cm="1">
        <f t="array" ref="N183">_xlfn.IFS(
   --MacReports!M183&lt;55,"Battery Defect",
  -- MacReports!M183&lt;=69,"Battery D",
  --MacReports!M183&lt;=80,"Battery C",
 --MacReports!M183&gt;80,""
)</f>
        <v>Battery Defect</v>
      </c>
      <c r="O183" s="16" t="str">
        <f>IF(MacReports!I183="Service","Battery Service","")</f>
        <v/>
      </c>
      <c r="P183" s="13">
        <f>MacReports!P183</f>
        <v>0</v>
      </c>
      <c r="Q183" s="13" t="str">
        <f>IF(MacReports!J183="Enabled","Apple ID Lock","")</f>
        <v/>
      </c>
      <c r="R183" s="13" t="str">
        <f>IF(MacReports!L183="y","Remote Locked","")</f>
        <v/>
      </c>
      <c r="S183" t="str">
        <f t="shared" si="7"/>
        <v>Battery Defect, 0</v>
      </c>
      <c r="T183" t="str">
        <f>_xlfn.XLOOKUP(B183,Disk_Pivot!G:G,Disk_Pivot!I:I)</f>
        <v>Yes</v>
      </c>
      <c r="U183" t="str">
        <f>_xlfn.XLOOKUP(B183,Disk_Pivot!G:G,Disk_Pivot!N:N)</f>
        <v>Fail</v>
      </c>
      <c r="V183">
        <f>IF(U183="Fail",MacReports!N183,"")</f>
        <v>0</v>
      </c>
      <c r="AB183" t="str">
        <f t="shared" si="8"/>
        <v/>
      </c>
    </row>
    <row r="184" spans="1:28">
      <c r="A184" t="str">
        <f>MacReports!A184</f>
        <v/>
      </c>
      <c r="B184">
        <f>MacReports!B184</f>
        <v>0</v>
      </c>
      <c r="C184">
        <f>MacReports!C184</f>
        <v>0</v>
      </c>
      <c r="E184" t="e">
        <f>_xlfn.XLOOKUP(G184,Models!A:A,Models!F:F)</f>
        <v>#N/A</v>
      </c>
      <c r="F184" t="str">
        <f>_xlfn.XLOOKUP(B184,MacReports!B:B,MacReports!D:D,"")</f>
        <v/>
      </c>
      <c r="G184" s="13">
        <f>MacReports!E184</f>
        <v>0</v>
      </c>
      <c r="H184" t="e">
        <f>_xlfn.XLOOKUP(G184,Models!A:A,Models!B:B)</f>
        <v>#N/A</v>
      </c>
      <c r="I184" t="e">
        <f>_xlfn.XLOOKUP(G184,Models!A:A,Models!E:E)</f>
        <v>#N/A</v>
      </c>
      <c r="J184" t="e">
        <f>_xlfn.XLOOKUP(G184,Models!A:A,Models!D:D)</f>
        <v>#N/A</v>
      </c>
      <c r="K184">
        <f>MacReports!F184</f>
        <v>0</v>
      </c>
      <c r="L184">
        <f>MacReports!G184</f>
        <v>0</v>
      </c>
      <c r="M184" s="15" t="e" cm="1">
        <f t="array" ref="M184">--_xlfn.LET(
    _xlpm.txt, MacReports!H184,
    _xlpm.chars, MID(_xlpm.txt, _xlfn.SEQUENCE(LEN(_xlpm.txt)), 1),
    _xlfn.TEXTJOIN("", TRUE, IF(ISNUMBER(--_xlpm.chars), _xlpm.chars, ""))
)</f>
        <v>#VALUE!</v>
      </c>
      <c r="N184" s="16" t="str" cm="1">
        <f t="array" ref="N184">_xlfn.IFS(
   --MacReports!M184&lt;55,"Battery Defect",
  -- MacReports!M184&lt;=69,"Battery D",
  --MacReports!M184&lt;=80,"Battery C",
 --MacReports!M184&gt;80,""
)</f>
        <v>Battery Defect</v>
      </c>
      <c r="O184" s="16" t="str">
        <f>IF(MacReports!I184="Service","Battery Service","")</f>
        <v/>
      </c>
      <c r="P184" s="13">
        <f>MacReports!P184</f>
        <v>0</v>
      </c>
      <c r="Q184" s="13" t="str">
        <f>IF(MacReports!J184="Enabled","Apple ID Lock","")</f>
        <v/>
      </c>
      <c r="R184" s="13" t="str">
        <f>IF(MacReports!L184="y","Remote Locked","")</f>
        <v/>
      </c>
      <c r="S184" t="str">
        <f t="shared" si="7"/>
        <v>Battery Defect, 0</v>
      </c>
      <c r="T184" t="str">
        <f>_xlfn.XLOOKUP(B184,Disk_Pivot!G:G,Disk_Pivot!I:I)</f>
        <v>Yes</v>
      </c>
      <c r="U184" t="str">
        <f>_xlfn.XLOOKUP(B184,Disk_Pivot!G:G,Disk_Pivot!N:N)</f>
        <v>Fail</v>
      </c>
      <c r="V184">
        <f>IF(U184="Fail",MacReports!N184,"")</f>
        <v>0</v>
      </c>
      <c r="AB184" t="str">
        <f t="shared" si="8"/>
        <v/>
      </c>
    </row>
    <row r="185" spans="1:28">
      <c r="A185" t="str">
        <f>MacReports!A185</f>
        <v/>
      </c>
      <c r="B185">
        <f>MacReports!B185</f>
        <v>0</v>
      </c>
      <c r="C185">
        <f>MacReports!C185</f>
        <v>0</v>
      </c>
      <c r="E185" t="e">
        <f>_xlfn.XLOOKUP(G185,Models!A:A,Models!F:F)</f>
        <v>#N/A</v>
      </c>
      <c r="F185" t="str">
        <f>_xlfn.XLOOKUP(B185,MacReports!B:B,MacReports!D:D,"")</f>
        <v/>
      </c>
      <c r="G185" s="13">
        <f>MacReports!E185</f>
        <v>0</v>
      </c>
      <c r="H185" t="e">
        <f>_xlfn.XLOOKUP(G185,Models!A:A,Models!B:B)</f>
        <v>#N/A</v>
      </c>
      <c r="I185" t="e">
        <f>_xlfn.XLOOKUP(G185,Models!A:A,Models!E:E)</f>
        <v>#N/A</v>
      </c>
      <c r="J185" t="e">
        <f>_xlfn.XLOOKUP(G185,Models!A:A,Models!D:D)</f>
        <v>#N/A</v>
      </c>
      <c r="K185">
        <f>MacReports!F185</f>
        <v>0</v>
      </c>
      <c r="L185">
        <f>MacReports!G185</f>
        <v>0</v>
      </c>
      <c r="M185" s="15" t="e" cm="1">
        <f t="array" ref="M185">--_xlfn.LET(
    _xlpm.txt, MacReports!H185,
    _xlpm.chars, MID(_xlpm.txt, _xlfn.SEQUENCE(LEN(_xlpm.txt)), 1),
    _xlfn.TEXTJOIN("", TRUE, IF(ISNUMBER(--_xlpm.chars), _xlpm.chars, ""))
)</f>
        <v>#VALUE!</v>
      </c>
      <c r="N185" s="16" t="str" cm="1">
        <f t="array" ref="N185">_xlfn.IFS(
   --MacReports!M185&lt;55,"Battery Defect",
  -- MacReports!M185&lt;=69,"Battery D",
  --MacReports!M185&lt;=80,"Battery C",
 --MacReports!M185&gt;80,""
)</f>
        <v>Battery Defect</v>
      </c>
      <c r="O185" s="16" t="str">
        <f>IF(MacReports!I185="Service","Battery Service","")</f>
        <v/>
      </c>
      <c r="P185" s="13">
        <f>MacReports!P185</f>
        <v>0</v>
      </c>
      <c r="Q185" s="13" t="str">
        <f>IF(MacReports!J185="Enabled","Apple ID Lock","")</f>
        <v/>
      </c>
      <c r="R185" s="13" t="str">
        <f>IF(MacReports!L185="y","Remote Locked","")</f>
        <v/>
      </c>
      <c r="S185" t="str">
        <f t="shared" si="7"/>
        <v>Battery Defect, 0</v>
      </c>
      <c r="T185" t="str">
        <f>_xlfn.XLOOKUP(B185,Disk_Pivot!G:G,Disk_Pivot!I:I)</f>
        <v>Yes</v>
      </c>
      <c r="U185" t="str">
        <f>_xlfn.XLOOKUP(B185,Disk_Pivot!G:G,Disk_Pivot!N:N)</f>
        <v>Fail</v>
      </c>
      <c r="V185">
        <f>IF(U185="Fail",MacReports!N185,"")</f>
        <v>0</v>
      </c>
      <c r="AB185" t="str">
        <f t="shared" si="8"/>
        <v/>
      </c>
    </row>
    <row r="186" spans="1:28">
      <c r="A186" t="str">
        <f>MacReports!A186</f>
        <v/>
      </c>
      <c r="B186">
        <f>MacReports!B186</f>
        <v>0</v>
      </c>
      <c r="C186">
        <f>MacReports!C186</f>
        <v>0</v>
      </c>
      <c r="E186" t="e">
        <f>_xlfn.XLOOKUP(G186,Models!A:A,Models!F:F)</f>
        <v>#N/A</v>
      </c>
      <c r="F186" t="str">
        <f>_xlfn.XLOOKUP(B186,MacReports!B:B,MacReports!D:D,"")</f>
        <v/>
      </c>
      <c r="G186" s="13">
        <f>MacReports!E186</f>
        <v>0</v>
      </c>
      <c r="H186" t="e">
        <f>_xlfn.XLOOKUP(G186,Models!A:A,Models!B:B)</f>
        <v>#N/A</v>
      </c>
      <c r="I186" t="e">
        <f>_xlfn.XLOOKUP(G186,Models!A:A,Models!E:E)</f>
        <v>#N/A</v>
      </c>
      <c r="J186" t="e">
        <f>_xlfn.XLOOKUP(G186,Models!A:A,Models!D:D)</f>
        <v>#N/A</v>
      </c>
      <c r="K186">
        <f>MacReports!F186</f>
        <v>0</v>
      </c>
      <c r="L186">
        <f>MacReports!G186</f>
        <v>0</v>
      </c>
      <c r="M186" s="15" t="e" cm="1">
        <f t="array" ref="M186">--_xlfn.LET(
    _xlpm.txt, MacReports!H186,
    _xlpm.chars, MID(_xlpm.txt, _xlfn.SEQUENCE(LEN(_xlpm.txt)), 1),
    _xlfn.TEXTJOIN("", TRUE, IF(ISNUMBER(--_xlpm.chars), _xlpm.chars, ""))
)</f>
        <v>#VALUE!</v>
      </c>
      <c r="N186" s="16" t="str" cm="1">
        <f t="array" ref="N186">_xlfn.IFS(
   --MacReports!M186&lt;55,"Battery Defect",
  -- MacReports!M186&lt;=69,"Battery D",
  --MacReports!M186&lt;=80,"Battery C",
 --MacReports!M186&gt;80,""
)</f>
        <v>Battery Defect</v>
      </c>
      <c r="O186" s="16" t="str">
        <f>IF(MacReports!I186="Service","Battery Service","")</f>
        <v/>
      </c>
      <c r="P186" s="13">
        <f>MacReports!P186</f>
        <v>0</v>
      </c>
      <c r="Q186" s="13" t="str">
        <f>IF(MacReports!J186="Enabled","Apple ID Lock","")</f>
        <v/>
      </c>
      <c r="R186" s="13" t="str">
        <f>IF(MacReports!L186="y","Remote Locked","")</f>
        <v/>
      </c>
      <c r="S186" t="str">
        <f t="shared" si="7"/>
        <v>Battery Defect, 0</v>
      </c>
      <c r="T186" t="str">
        <f>_xlfn.XLOOKUP(B186,Disk_Pivot!G:G,Disk_Pivot!I:I)</f>
        <v>Yes</v>
      </c>
      <c r="U186" t="str">
        <f>_xlfn.XLOOKUP(B186,Disk_Pivot!G:G,Disk_Pivot!N:N)</f>
        <v>Fail</v>
      </c>
      <c r="V186">
        <f>IF(U186="Fail",MacReports!N186,"")</f>
        <v>0</v>
      </c>
      <c r="AB186" t="str">
        <f t="shared" si="8"/>
        <v/>
      </c>
    </row>
    <row r="187" spans="1:28">
      <c r="A187" t="str">
        <f>MacReports!A187</f>
        <v/>
      </c>
      <c r="B187">
        <f>MacReports!B187</f>
        <v>0</v>
      </c>
      <c r="C187">
        <f>MacReports!C187</f>
        <v>0</v>
      </c>
      <c r="E187" t="e">
        <f>_xlfn.XLOOKUP(G187,Models!A:A,Models!F:F)</f>
        <v>#N/A</v>
      </c>
      <c r="F187" t="str">
        <f>_xlfn.XLOOKUP(B187,MacReports!B:B,MacReports!D:D,"")</f>
        <v/>
      </c>
      <c r="G187" s="13">
        <f>MacReports!E187</f>
        <v>0</v>
      </c>
      <c r="H187" t="e">
        <f>_xlfn.XLOOKUP(G187,Models!A:A,Models!B:B)</f>
        <v>#N/A</v>
      </c>
      <c r="I187" t="e">
        <f>_xlfn.XLOOKUP(G187,Models!A:A,Models!E:E)</f>
        <v>#N/A</v>
      </c>
      <c r="J187" t="e">
        <f>_xlfn.XLOOKUP(G187,Models!A:A,Models!D:D)</f>
        <v>#N/A</v>
      </c>
      <c r="K187">
        <f>MacReports!F187</f>
        <v>0</v>
      </c>
      <c r="L187">
        <f>MacReports!G187</f>
        <v>0</v>
      </c>
      <c r="M187" s="15" t="e" cm="1">
        <f t="array" ref="M187">--_xlfn.LET(
    _xlpm.txt, MacReports!H187,
    _xlpm.chars, MID(_xlpm.txt, _xlfn.SEQUENCE(LEN(_xlpm.txt)), 1),
    _xlfn.TEXTJOIN("", TRUE, IF(ISNUMBER(--_xlpm.chars), _xlpm.chars, ""))
)</f>
        <v>#VALUE!</v>
      </c>
      <c r="N187" s="16" t="str" cm="1">
        <f t="array" ref="N187">_xlfn.IFS(
   --MacReports!M187&lt;55,"Battery Defect",
  -- MacReports!M187&lt;=69,"Battery D",
  --MacReports!M187&lt;=80,"Battery C",
 --MacReports!M187&gt;80,""
)</f>
        <v>Battery Defect</v>
      </c>
      <c r="O187" s="16" t="str">
        <f>IF(MacReports!I187="Service","Battery Service","")</f>
        <v/>
      </c>
      <c r="P187" s="13">
        <f>MacReports!P187</f>
        <v>0</v>
      </c>
      <c r="Q187" s="13" t="str">
        <f>IF(MacReports!J187="Enabled","Apple ID Lock","")</f>
        <v/>
      </c>
      <c r="R187" s="13" t="str">
        <f>IF(MacReports!L187="y","Remote Locked","")</f>
        <v/>
      </c>
      <c r="S187" t="str">
        <f t="shared" si="7"/>
        <v>Battery Defect, 0</v>
      </c>
      <c r="T187" t="str">
        <f>_xlfn.XLOOKUP(B187,Disk_Pivot!G:G,Disk_Pivot!I:I)</f>
        <v>Yes</v>
      </c>
      <c r="U187" t="str">
        <f>_xlfn.XLOOKUP(B187,Disk_Pivot!G:G,Disk_Pivot!N:N)</f>
        <v>Fail</v>
      </c>
      <c r="V187">
        <f>IF(U187="Fail",MacReports!N187,"")</f>
        <v>0</v>
      </c>
      <c r="AB187" t="str">
        <f t="shared" si="8"/>
        <v/>
      </c>
    </row>
    <row r="188" spans="1:28">
      <c r="A188" t="str">
        <f>MacReports!A188</f>
        <v/>
      </c>
      <c r="B188">
        <f>MacReports!B188</f>
        <v>0</v>
      </c>
      <c r="C188">
        <f>MacReports!C188</f>
        <v>0</v>
      </c>
      <c r="E188" t="e">
        <f>_xlfn.XLOOKUP(G188,Models!A:A,Models!F:F)</f>
        <v>#N/A</v>
      </c>
      <c r="F188" t="str">
        <f>_xlfn.XLOOKUP(B188,MacReports!B:B,MacReports!D:D,"")</f>
        <v/>
      </c>
      <c r="G188" s="13">
        <f>MacReports!E188</f>
        <v>0</v>
      </c>
      <c r="H188" t="e">
        <f>_xlfn.XLOOKUP(G188,Models!A:A,Models!B:B)</f>
        <v>#N/A</v>
      </c>
      <c r="I188" t="e">
        <f>_xlfn.XLOOKUP(G188,Models!A:A,Models!E:E)</f>
        <v>#N/A</v>
      </c>
      <c r="J188" t="e">
        <f>_xlfn.XLOOKUP(G188,Models!A:A,Models!D:D)</f>
        <v>#N/A</v>
      </c>
      <c r="K188">
        <f>MacReports!F188</f>
        <v>0</v>
      </c>
      <c r="L188">
        <f>MacReports!G188</f>
        <v>0</v>
      </c>
      <c r="M188" s="15" t="e" cm="1">
        <f t="array" ref="M188">--_xlfn.LET(
    _xlpm.txt, MacReports!H188,
    _xlpm.chars, MID(_xlpm.txt, _xlfn.SEQUENCE(LEN(_xlpm.txt)), 1),
    _xlfn.TEXTJOIN("", TRUE, IF(ISNUMBER(--_xlpm.chars), _xlpm.chars, ""))
)</f>
        <v>#VALUE!</v>
      </c>
      <c r="N188" s="16" t="str" cm="1">
        <f t="array" ref="N188">_xlfn.IFS(
   --MacReports!M188&lt;55,"Battery Defect",
  -- MacReports!M188&lt;=69,"Battery D",
  --MacReports!M188&lt;=80,"Battery C",
 --MacReports!M188&gt;80,""
)</f>
        <v>Battery Defect</v>
      </c>
      <c r="O188" s="16" t="str">
        <f>IF(MacReports!I188="Service","Battery Service","")</f>
        <v/>
      </c>
      <c r="P188" s="13">
        <f>MacReports!P188</f>
        <v>0</v>
      </c>
      <c r="Q188" s="13" t="str">
        <f>IF(MacReports!J188="Enabled","Apple ID Lock","")</f>
        <v/>
      </c>
      <c r="R188" s="13" t="str">
        <f>IF(MacReports!L188="y","Remote Locked","")</f>
        <v/>
      </c>
      <c r="S188" t="str">
        <f t="shared" si="7"/>
        <v>Battery Defect, 0</v>
      </c>
      <c r="T188" t="str">
        <f>_xlfn.XLOOKUP(B188,Disk_Pivot!G:G,Disk_Pivot!I:I)</f>
        <v>Yes</v>
      </c>
      <c r="U188" t="str">
        <f>_xlfn.XLOOKUP(B188,Disk_Pivot!G:G,Disk_Pivot!N:N)</f>
        <v>Fail</v>
      </c>
      <c r="V188">
        <f>IF(U188="Fail",MacReports!N188,"")</f>
        <v>0</v>
      </c>
      <c r="AB188" t="str">
        <f t="shared" si="8"/>
        <v/>
      </c>
    </row>
    <row r="189" spans="1:28">
      <c r="A189" t="str">
        <f>MacReports!A189</f>
        <v/>
      </c>
      <c r="B189">
        <f>MacReports!B189</f>
        <v>0</v>
      </c>
      <c r="C189">
        <f>MacReports!C189</f>
        <v>0</v>
      </c>
      <c r="E189" t="e">
        <f>_xlfn.XLOOKUP(G189,Models!A:A,Models!F:F)</f>
        <v>#N/A</v>
      </c>
      <c r="F189" t="str">
        <f>_xlfn.XLOOKUP(B189,MacReports!B:B,MacReports!D:D,"")</f>
        <v/>
      </c>
      <c r="G189" s="13">
        <f>MacReports!E189</f>
        <v>0</v>
      </c>
      <c r="H189" t="e">
        <f>_xlfn.XLOOKUP(G189,Models!A:A,Models!B:B)</f>
        <v>#N/A</v>
      </c>
      <c r="I189" t="e">
        <f>_xlfn.XLOOKUP(G189,Models!A:A,Models!E:E)</f>
        <v>#N/A</v>
      </c>
      <c r="J189" t="e">
        <f>_xlfn.XLOOKUP(G189,Models!A:A,Models!D:D)</f>
        <v>#N/A</v>
      </c>
      <c r="K189">
        <f>MacReports!F189</f>
        <v>0</v>
      </c>
      <c r="L189">
        <f>MacReports!G189</f>
        <v>0</v>
      </c>
      <c r="M189" s="15" t="e" cm="1">
        <f t="array" ref="M189">--_xlfn.LET(
    _xlpm.txt, MacReports!H189,
    _xlpm.chars, MID(_xlpm.txt, _xlfn.SEQUENCE(LEN(_xlpm.txt)), 1),
    _xlfn.TEXTJOIN("", TRUE, IF(ISNUMBER(--_xlpm.chars), _xlpm.chars, ""))
)</f>
        <v>#VALUE!</v>
      </c>
      <c r="N189" s="16" t="str" cm="1">
        <f t="array" ref="N189">_xlfn.IFS(
   --MacReports!M189&lt;55,"Battery Defect",
  -- MacReports!M189&lt;=69,"Battery D",
  --MacReports!M189&lt;=80,"Battery C",
 --MacReports!M189&gt;80,""
)</f>
        <v>Battery Defect</v>
      </c>
      <c r="O189" s="16" t="str">
        <f>IF(MacReports!I189="Service","Battery Service","")</f>
        <v/>
      </c>
      <c r="P189" s="13">
        <f>MacReports!P189</f>
        <v>0</v>
      </c>
      <c r="Q189" s="13" t="str">
        <f>IF(MacReports!J189="Enabled","Apple ID Lock","")</f>
        <v/>
      </c>
      <c r="R189" s="13" t="str">
        <f>IF(MacReports!L189="y","Remote Locked","")</f>
        <v/>
      </c>
      <c r="S189" t="str">
        <f t="shared" si="7"/>
        <v>Battery Defect, 0</v>
      </c>
      <c r="T189" t="str">
        <f>_xlfn.XLOOKUP(B189,Disk_Pivot!G:G,Disk_Pivot!I:I)</f>
        <v>Yes</v>
      </c>
      <c r="U189" t="str">
        <f>_xlfn.XLOOKUP(B189,Disk_Pivot!G:G,Disk_Pivot!N:N)</f>
        <v>Fail</v>
      </c>
      <c r="V189">
        <f>IF(U189="Fail",MacReports!N189,"")</f>
        <v>0</v>
      </c>
      <c r="AB189" t="str">
        <f t="shared" si="8"/>
        <v/>
      </c>
    </row>
    <row r="190" spans="1:28">
      <c r="A190" t="str">
        <f>MacReports!A190</f>
        <v/>
      </c>
      <c r="B190">
        <f>MacReports!B190</f>
        <v>0</v>
      </c>
      <c r="C190">
        <f>MacReports!C190</f>
        <v>0</v>
      </c>
      <c r="E190" t="e">
        <f>_xlfn.XLOOKUP(G190,Models!A:A,Models!F:F)</f>
        <v>#N/A</v>
      </c>
      <c r="F190" t="str">
        <f>_xlfn.XLOOKUP(B190,MacReports!B:B,MacReports!D:D,"")</f>
        <v/>
      </c>
      <c r="G190" s="13">
        <f>MacReports!E190</f>
        <v>0</v>
      </c>
      <c r="H190" t="e">
        <f>_xlfn.XLOOKUP(G190,Models!A:A,Models!B:B)</f>
        <v>#N/A</v>
      </c>
      <c r="I190" t="e">
        <f>_xlfn.XLOOKUP(G190,Models!A:A,Models!E:E)</f>
        <v>#N/A</v>
      </c>
      <c r="J190" t="e">
        <f>_xlfn.XLOOKUP(G190,Models!A:A,Models!D:D)</f>
        <v>#N/A</v>
      </c>
      <c r="K190">
        <f>MacReports!F190</f>
        <v>0</v>
      </c>
      <c r="L190">
        <f>MacReports!G190</f>
        <v>0</v>
      </c>
      <c r="M190" s="15" t="e" cm="1">
        <f t="array" ref="M190">--_xlfn.LET(
    _xlpm.txt, MacReports!H190,
    _xlpm.chars, MID(_xlpm.txt, _xlfn.SEQUENCE(LEN(_xlpm.txt)), 1),
    _xlfn.TEXTJOIN("", TRUE, IF(ISNUMBER(--_xlpm.chars), _xlpm.chars, ""))
)</f>
        <v>#VALUE!</v>
      </c>
      <c r="N190" s="16" t="str" cm="1">
        <f t="array" ref="N190">_xlfn.IFS(
   --MacReports!M190&lt;55,"Battery Defect",
  -- MacReports!M190&lt;=69,"Battery D",
  --MacReports!M190&lt;=80,"Battery C",
 --MacReports!M190&gt;80,""
)</f>
        <v>Battery Defect</v>
      </c>
      <c r="O190" s="16" t="str">
        <f>IF(MacReports!I190="Service","Battery Service","")</f>
        <v/>
      </c>
      <c r="P190" s="13">
        <f>MacReports!P190</f>
        <v>0</v>
      </c>
      <c r="Q190" s="13" t="str">
        <f>IF(MacReports!J190="Enabled","Apple ID Lock","")</f>
        <v/>
      </c>
      <c r="R190" s="13" t="str">
        <f>IF(MacReports!L190="y","Remote Locked","")</f>
        <v/>
      </c>
      <c r="S190" t="str">
        <f t="shared" si="7"/>
        <v>Battery Defect, 0</v>
      </c>
      <c r="T190" t="str">
        <f>_xlfn.XLOOKUP(B190,Disk_Pivot!G:G,Disk_Pivot!I:I)</f>
        <v>Yes</v>
      </c>
      <c r="U190" t="str">
        <f>_xlfn.XLOOKUP(B190,Disk_Pivot!G:G,Disk_Pivot!N:N)</f>
        <v>Fail</v>
      </c>
      <c r="V190">
        <f>IF(U190="Fail",MacReports!N190,"")</f>
        <v>0</v>
      </c>
      <c r="AB190" t="str">
        <f t="shared" si="8"/>
        <v/>
      </c>
    </row>
    <row r="191" spans="1:28">
      <c r="A191" t="str">
        <f>MacReports!A191</f>
        <v/>
      </c>
      <c r="B191">
        <f>MacReports!B191</f>
        <v>0</v>
      </c>
      <c r="C191">
        <f>MacReports!C191</f>
        <v>0</v>
      </c>
      <c r="E191" t="e">
        <f>_xlfn.XLOOKUP(G191,Models!A:A,Models!F:F)</f>
        <v>#N/A</v>
      </c>
      <c r="F191" t="str">
        <f>_xlfn.XLOOKUP(B191,MacReports!B:B,MacReports!D:D,"")</f>
        <v/>
      </c>
      <c r="G191" s="13">
        <f>MacReports!E191</f>
        <v>0</v>
      </c>
      <c r="H191" t="e">
        <f>_xlfn.XLOOKUP(G191,Models!A:A,Models!B:B)</f>
        <v>#N/A</v>
      </c>
      <c r="I191" t="e">
        <f>_xlfn.XLOOKUP(G191,Models!A:A,Models!E:E)</f>
        <v>#N/A</v>
      </c>
      <c r="J191" t="e">
        <f>_xlfn.XLOOKUP(G191,Models!A:A,Models!D:D)</f>
        <v>#N/A</v>
      </c>
      <c r="K191">
        <f>MacReports!F191</f>
        <v>0</v>
      </c>
      <c r="L191">
        <f>MacReports!G191</f>
        <v>0</v>
      </c>
      <c r="M191" s="15" t="e" cm="1">
        <f t="array" ref="M191">--_xlfn.LET(
    _xlpm.txt, MacReports!H191,
    _xlpm.chars, MID(_xlpm.txt, _xlfn.SEQUENCE(LEN(_xlpm.txt)), 1),
    _xlfn.TEXTJOIN("", TRUE, IF(ISNUMBER(--_xlpm.chars), _xlpm.chars, ""))
)</f>
        <v>#VALUE!</v>
      </c>
      <c r="N191" s="16" t="str" cm="1">
        <f t="array" ref="N191">_xlfn.IFS(
   --MacReports!M191&lt;55,"Battery Defect",
  -- MacReports!M191&lt;=69,"Battery D",
  --MacReports!M191&lt;=80,"Battery C",
 --MacReports!M191&gt;80,""
)</f>
        <v>Battery Defect</v>
      </c>
      <c r="O191" s="16" t="str">
        <f>IF(MacReports!I191="Service","Battery Service","")</f>
        <v/>
      </c>
      <c r="P191" s="13">
        <f>MacReports!P191</f>
        <v>0</v>
      </c>
      <c r="Q191" s="13" t="str">
        <f>IF(MacReports!J191="Enabled","Apple ID Lock","")</f>
        <v/>
      </c>
      <c r="R191" s="13" t="str">
        <f>IF(MacReports!L191="y","Remote Locked","")</f>
        <v/>
      </c>
      <c r="S191" t="str">
        <f t="shared" si="7"/>
        <v>Battery Defect, 0</v>
      </c>
      <c r="T191" t="str">
        <f>_xlfn.XLOOKUP(B191,Disk_Pivot!G:G,Disk_Pivot!I:I)</f>
        <v>Yes</v>
      </c>
      <c r="U191" t="str">
        <f>_xlfn.XLOOKUP(B191,Disk_Pivot!G:G,Disk_Pivot!N:N)</f>
        <v>Fail</v>
      </c>
      <c r="V191">
        <f>IF(U191="Fail",MacReports!N191,"")</f>
        <v>0</v>
      </c>
      <c r="AB191" t="str">
        <f t="shared" si="8"/>
        <v/>
      </c>
    </row>
    <row r="192" spans="1:28">
      <c r="A192" t="str">
        <f>MacReports!A192</f>
        <v/>
      </c>
      <c r="B192">
        <f>MacReports!B192</f>
        <v>0</v>
      </c>
      <c r="C192">
        <f>MacReports!C192</f>
        <v>0</v>
      </c>
      <c r="E192" t="e">
        <f>_xlfn.XLOOKUP(G192,Models!A:A,Models!F:F)</f>
        <v>#N/A</v>
      </c>
      <c r="F192" t="str">
        <f>_xlfn.XLOOKUP(B192,MacReports!B:B,MacReports!D:D,"")</f>
        <v/>
      </c>
      <c r="G192" s="13">
        <f>MacReports!E192</f>
        <v>0</v>
      </c>
      <c r="H192" t="e">
        <f>_xlfn.XLOOKUP(G192,Models!A:A,Models!B:B)</f>
        <v>#N/A</v>
      </c>
      <c r="I192" t="e">
        <f>_xlfn.XLOOKUP(G192,Models!A:A,Models!E:E)</f>
        <v>#N/A</v>
      </c>
      <c r="J192" t="e">
        <f>_xlfn.XLOOKUP(G192,Models!A:A,Models!D:D)</f>
        <v>#N/A</v>
      </c>
      <c r="K192">
        <f>MacReports!F192</f>
        <v>0</v>
      </c>
      <c r="L192">
        <f>MacReports!G192</f>
        <v>0</v>
      </c>
      <c r="M192" s="15" t="e" cm="1">
        <f t="array" ref="M192">--_xlfn.LET(
    _xlpm.txt, MacReports!H192,
    _xlpm.chars, MID(_xlpm.txt, _xlfn.SEQUENCE(LEN(_xlpm.txt)), 1),
    _xlfn.TEXTJOIN("", TRUE, IF(ISNUMBER(--_xlpm.chars), _xlpm.chars, ""))
)</f>
        <v>#VALUE!</v>
      </c>
      <c r="N192" s="16" t="str" cm="1">
        <f t="array" ref="N192">_xlfn.IFS(
   --MacReports!M192&lt;55,"Battery Defect",
  -- MacReports!M192&lt;=69,"Battery D",
  --MacReports!M192&lt;=80,"Battery C",
 --MacReports!M192&gt;80,""
)</f>
        <v>Battery Defect</v>
      </c>
      <c r="O192" s="16" t="str">
        <f>IF(MacReports!I192="Service","Battery Service","")</f>
        <v/>
      </c>
      <c r="P192" s="13">
        <f>MacReports!P192</f>
        <v>0</v>
      </c>
      <c r="Q192" s="13" t="str">
        <f>IF(MacReports!J192="Enabled","Apple ID Lock","")</f>
        <v/>
      </c>
      <c r="R192" s="13" t="str">
        <f>IF(MacReports!L192="y","Remote Locked","")</f>
        <v/>
      </c>
      <c r="S192" t="str">
        <f t="shared" si="7"/>
        <v>Battery Defect, 0</v>
      </c>
      <c r="T192" t="str">
        <f>_xlfn.XLOOKUP(B192,Disk_Pivot!G:G,Disk_Pivot!I:I)</f>
        <v>Yes</v>
      </c>
      <c r="U192" t="str">
        <f>_xlfn.XLOOKUP(B192,Disk_Pivot!G:G,Disk_Pivot!N:N)</f>
        <v>Fail</v>
      </c>
      <c r="V192">
        <f>IF(U192="Fail",MacReports!N192,"")</f>
        <v>0</v>
      </c>
      <c r="AB192" t="str">
        <f t="shared" si="8"/>
        <v/>
      </c>
    </row>
    <row r="193" spans="1:28">
      <c r="A193" t="str">
        <f>MacReports!A193</f>
        <v/>
      </c>
      <c r="B193">
        <f>MacReports!B193</f>
        <v>0</v>
      </c>
      <c r="C193">
        <f>MacReports!C193</f>
        <v>0</v>
      </c>
      <c r="E193" t="e">
        <f>_xlfn.XLOOKUP(G193,Models!A:A,Models!F:F)</f>
        <v>#N/A</v>
      </c>
      <c r="F193" t="str">
        <f>_xlfn.XLOOKUP(B193,MacReports!B:B,MacReports!D:D,"")</f>
        <v/>
      </c>
      <c r="G193" s="13">
        <f>MacReports!E193</f>
        <v>0</v>
      </c>
      <c r="H193" t="e">
        <f>_xlfn.XLOOKUP(G193,Models!A:A,Models!B:B)</f>
        <v>#N/A</v>
      </c>
      <c r="I193" t="e">
        <f>_xlfn.XLOOKUP(G193,Models!A:A,Models!E:E)</f>
        <v>#N/A</v>
      </c>
      <c r="J193" t="e">
        <f>_xlfn.XLOOKUP(G193,Models!A:A,Models!D:D)</f>
        <v>#N/A</v>
      </c>
      <c r="K193">
        <f>MacReports!F193</f>
        <v>0</v>
      </c>
      <c r="L193">
        <f>MacReports!G193</f>
        <v>0</v>
      </c>
      <c r="M193" s="15" t="e" cm="1">
        <f t="array" ref="M193">--_xlfn.LET(
    _xlpm.txt, MacReports!H193,
    _xlpm.chars, MID(_xlpm.txt, _xlfn.SEQUENCE(LEN(_xlpm.txt)), 1),
    _xlfn.TEXTJOIN("", TRUE, IF(ISNUMBER(--_xlpm.chars), _xlpm.chars, ""))
)</f>
        <v>#VALUE!</v>
      </c>
      <c r="N193" s="16" t="str" cm="1">
        <f t="array" ref="N193">_xlfn.IFS(
   --MacReports!M193&lt;55,"Battery Defect",
  -- MacReports!M193&lt;=69,"Battery D",
  --MacReports!M193&lt;=80,"Battery C",
 --MacReports!M193&gt;80,""
)</f>
        <v>Battery Defect</v>
      </c>
      <c r="O193" s="16" t="str">
        <f>IF(MacReports!I193="Service","Battery Service","")</f>
        <v/>
      </c>
      <c r="P193" s="13">
        <f>MacReports!P193</f>
        <v>0</v>
      </c>
      <c r="Q193" s="13" t="str">
        <f>IF(MacReports!J193="Enabled","Apple ID Lock","")</f>
        <v/>
      </c>
      <c r="R193" s="13" t="str">
        <f>IF(MacReports!L193="y","Remote Locked","")</f>
        <v/>
      </c>
      <c r="S193" t="str">
        <f t="shared" si="7"/>
        <v>Battery Defect, 0</v>
      </c>
      <c r="T193" t="str">
        <f>_xlfn.XLOOKUP(B193,Disk_Pivot!G:G,Disk_Pivot!I:I)</f>
        <v>Yes</v>
      </c>
      <c r="U193" t="str">
        <f>_xlfn.XLOOKUP(B193,Disk_Pivot!G:G,Disk_Pivot!N:N)</f>
        <v>Fail</v>
      </c>
      <c r="V193">
        <f>IF(U193="Fail",MacReports!N193,"")</f>
        <v>0</v>
      </c>
      <c r="AB193" t="str">
        <f t="shared" si="8"/>
        <v/>
      </c>
    </row>
    <row r="194" spans="1:28">
      <c r="A194" t="str">
        <f>MacReports!A194</f>
        <v/>
      </c>
      <c r="B194">
        <f>MacReports!B194</f>
        <v>0</v>
      </c>
      <c r="C194">
        <f>MacReports!C194</f>
        <v>0</v>
      </c>
      <c r="E194" t="e">
        <f>_xlfn.XLOOKUP(G194,Models!A:A,Models!F:F)</f>
        <v>#N/A</v>
      </c>
      <c r="F194" t="str">
        <f>_xlfn.XLOOKUP(B194,MacReports!B:B,MacReports!D:D,"")</f>
        <v/>
      </c>
      <c r="G194" s="13">
        <f>MacReports!E194</f>
        <v>0</v>
      </c>
      <c r="H194" t="e">
        <f>_xlfn.XLOOKUP(G194,Models!A:A,Models!B:B)</f>
        <v>#N/A</v>
      </c>
      <c r="I194" t="e">
        <f>_xlfn.XLOOKUP(G194,Models!A:A,Models!E:E)</f>
        <v>#N/A</v>
      </c>
      <c r="J194" t="e">
        <f>_xlfn.XLOOKUP(G194,Models!A:A,Models!D:D)</f>
        <v>#N/A</v>
      </c>
      <c r="K194">
        <f>MacReports!F194</f>
        <v>0</v>
      </c>
      <c r="L194">
        <f>MacReports!G194</f>
        <v>0</v>
      </c>
      <c r="M194" s="15" t="e" cm="1">
        <f t="array" ref="M194">--_xlfn.LET(
    _xlpm.txt, MacReports!H194,
    _xlpm.chars, MID(_xlpm.txt, _xlfn.SEQUENCE(LEN(_xlpm.txt)), 1),
    _xlfn.TEXTJOIN("", TRUE, IF(ISNUMBER(--_xlpm.chars), _xlpm.chars, ""))
)</f>
        <v>#VALUE!</v>
      </c>
      <c r="N194" s="16" t="str" cm="1">
        <f t="array" ref="N194">_xlfn.IFS(
   --MacReports!M194&lt;55,"Battery Defect",
  -- MacReports!M194&lt;=69,"Battery D",
  --MacReports!M194&lt;=80,"Battery C",
 --MacReports!M194&gt;80,""
)</f>
        <v>Battery Defect</v>
      </c>
      <c r="O194" s="16" t="str">
        <f>IF(MacReports!I194="Service","Battery Service","")</f>
        <v/>
      </c>
      <c r="P194" s="13">
        <f>MacReports!P194</f>
        <v>0</v>
      </c>
      <c r="Q194" s="13" t="str">
        <f>IF(MacReports!J194="Enabled","Apple ID Lock","")</f>
        <v/>
      </c>
      <c r="R194" s="13" t="str">
        <f>IF(MacReports!L194="y","Remote Locked","")</f>
        <v/>
      </c>
      <c r="S194" t="str">
        <f t="shared" si="7"/>
        <v>Battery Defect, 0</v>
      </c>
      <c r="T194" t="str">
        <f>_xlfn.XLOOKUP(B194,Disk_Pivot!G:G,Disk_Pivot!I:I)</f>
        <v>Yes</v>
      </c>
      <c r="U194" t="str">
        <f>_xlfn.XLOOKUP(B194,Disk_Pivot!G:G,Disk_Pivot!N:N)</f>
        <v>Fail</v>
      </c>
      <c r="V194">
        <f>IF(U194="Fail",MacReports!N194,"")</f>
        <v>0</v>
      </c>
      <c r="AB194" t="str">
        <f t="shared" si="8"/>
        <v/>
      </c>
    </row>
    <row r="195" spans="1:28">
      <c r="A195" t="str">
        <f>MacReports!A195</f>
        <v/>
      </c>
      <c r="B195">
        <f>MacReports!B195</f>
        <v>0</v>
      </c>
      <c r="C195">
        <f>MacReports!C195</f>
        <v>0</v>
      </c>
      <c r="E195" t="e">
        <f>_xlfn.XLOOKUP(G195,Models!A:A,Models!F:F)</f>
        <v>#N/A</v>
      </c>
      <c r="F195" t="str">
        <f>_xlfn.XLOOKUP(B195,MacReports!B:B,MacReports!D:D,"")</f>
        <v/>
      </c>
      <c r="G195" s="13">
        <f>MacReports!E195</f>
        <v>0</v>
      </c>
      <c r="H195" t="e">
        <f>_xlfn.XLOOKUP(G195,Models!A:A,Models!B:B)</f>
        <v>#N/A</v>
      </c>
      <c r="I195" t="e">
        <f>_xlfn.XLOOKUP(G195,Models!A:A,Models!E:E)</f>
        <v>#N/A</v>
      </c>
      <c r="J195" t="e">
        <f>_xlfn.XLOOKUP(G195,Models!A:A,Models!D:D)</f>
        <v>#N/A</v>
      </c>
      <c r="K195">
        <f>MacReports!F195</f>
        <v>0</v>
      </c>
      <c r="L195">
        <f>MacReports!G195</f>
        <v>0</v>
      </c>
      <c r="M195" s="15" t="e" cm="1">
        <f t="array" ref="M195">--_xlfn.LET(
    _xlpm.txt, MacReports!H195,
    _xlpm.chars, MID(_xlpm.txt, _xlfn.SEQUENCE(LEN(_xlpm.txt)), 1),
    _xlfn.TEXTJOIN("", TRUE, IF(ISNUMBER(--_xlpm.chars), _xlpm.chars, ""))
)</f>
        <v>#VALUE!</v>
      </c>
      <c r="N195" s="16" t="str" cm="1">
        <f t="array" ref="N195">_xlfn.IFS(
   --MacReports!M195&lt;55,"Battery Defect",
  -- MacReports!M195&lt;=69,"Battery D",
  --MacReports!M195&lt;=80,"Battery C",
 --MacReports!M195&gt;80,""
)</f>
        <v>Battery Defect</v>
      </c>
      <c r="O195" s="16" t="str">
        <f>IF(MacReports!I195="Service","Battery Service","")</f>
        <v/>
      </c>
      <c r="P195" s="13">
        <f>MacReports!P195</f>
        <v>0</v>
      </c>
      <c r="Q195" s="13" t="str">
        <f>IF(MacReports!J195="Enabled","Apple ID Lock","")</f>
        <v/>
      </c>
      <c r="R195" s="13" t="str">
        <f>IF(MacReports!L195="y","Remote Locked","")</f>
        <v/>
      </c>
      <c r="S195" t="str">
        <f t="shared" si="7"/>
        <v>Battery Defect, 0</v>
      </c>
      <c r="T195" t="str">
        <f>_xlfn.XLOOKUP(B195,Disk_Pivot!G:G,Disk_Pivot!I:I)</f>
        <v>Yes</v>
      </c>
      <c r="U195" t="str">
        <f>_xlfn.XLOOKUP(B195,Disk_Pivot!G:G,Disk_Pivot!N:N)</f>
        <v>Fail</v>
      </c>
      <c r="V195">
        <f>IF(U195="Fail",MacReports!N195,"")</f>
        <v>0</v>
      </c>
      <c r="AB195" t="str">
        <f t="shared" si="8"/>
        <v/>
      </c>
    </row>
    <row r="196" spans="1:28">
      <c r="A196" t="str">
        <f>MacReports!A196</f>
        <v/>
      </c>
      <c r="B196">
        <f>MacReports!B196</f>
        <v>0</v>
      </c>
      <c r="C196">
        <f>MacReports!C196</f>
        <v>0</v>
      </c>
      <c r="E196" t="e">
        <f>_xlfn.XLOOKUP(G196,Models!A:A,Models!F:F)</f>
        <v>#N/A</v>
      </c>
      <c r="F196" t="str">
        <f>_xlfn.XLOOKUP(B196,MacReports!B:B,MacReports!D:D,"")</f>
        <v/>
      </c>
      <c r="G196" s="13">
        <f>MacReports!E196</f>
        <v>0</v>
      </c>
      <c r="H196" t="e">
        <f>_xlfn.XLOOKUP(G196,Models!A:A,Models!B:B)</f>
        <v>#N/A</v>
      </c>
      <c r="I196" t="e">
        <f>_xlfn.XLOOKUP(G196,Models!A:A,Models!E:E)</f>
        <v>#N/A</v>
      </c>
      <c r="J196" t="e">
        <f>_xlfn.XLOOKUP(G196,Models!A:A,Models!D:D)</f>
        <v>#N/A</v>
      </c>
      <c r="K196">
        <f>MacReports!F196</f>
        <v>0</v>
      </c>
      <c r="L196">
        <f>MacReports!G196</f>
        <v>0</v>
      </c>
      <c r="M196" s="15" t="e" cm="1">
        <f t="array" ref="M196">--_xlfn.LET(
    _xlpm.txt, MacReports!H196,
    _xlpm.chars, MID(_xlpm.txt, _xlfn.SEQUENCE(LEN(_xlpm.txt)), 1),
    _xlfn.TEXTJOIN("", TRUE, IF(ISNUMBER(--_xlpm.chars), _xlpm.chars, ""))
)</f>
        <v>#VALUE!</v>
      </c>
      <c r="N196" s="16" t="str" cm="1">
        <f t="array" ref="N196">_xlfn.IFS(
   --MacReports!M196&lt;55,"Battery Defect",
  -- MacReports!M196&lt;=69,"Battery D",
  --MacReports!M196&lt;=80,"Battery C",
 --MacReports!M196&gt;80,""
)</f>
        <v>Battery Defect</v>
      </c>
      <c r="O196" s="16" t="str">
        <f>IF(MacReports!I196="Service","Battery Service","")</f>
        <v/>
      </c>
      <c r="P196" s="13">
        <f>MacReports!P196</f>
        <v>0</v>
      </c>
      <c r="Q196" s="13" t="str">
        <f>IF(MacReports!J196="Enabled","Apple ID Lock","")</f>
        <v/>
      </c>
      <c r="R196" s="13" t="str">
        <f>IF(MacReports!L196="y","Remote Locked","")</f>
        <v/>
      </c>
      <c r="S196" t="str">
        <f t="shared" si="7"/>
        <v>Battery Defect, 0</v>
      </c>
      <c r="T196" t="str">
        <f>_xlfn.XLOOKUP(B196,Disk_Pivot!G:G,Disk_Pivot!I:I)</f>
        <v>Yes</v>
      </c>
      <c r="U196" t="str">
        <f>_xlfn.XLOOKUP(B196,Disk_Pivot!G:G,Disk_Pivot!N:N)</f>
        <v>Fail</v>
      </c>
      <c r="V196">
        <f>IF(U196="Fail",MacReports!N196,"")</f>
        <v>0</v>
      </c>
      <c r="AB196" t="str">
        <f t="shared" si="8"/>
        <v/>
      </c>
    </row>
    <row r="197" spans="1:28">
      <c r="A197" t="str">
        <f>MacReports!A197</f>
        <v/>
      </c>
      <c r="B197">
        <f>MacReports!B197</f>
        <v>0</v>
      </c>
      <c r="C197">
        <f>MacReports!C197</f>
        <v>0</v>
      </c>
      <c r="E197" t="e">
        <f>_xlfn.XLOOKUP(G197,Models!A:A,Models!F:F)</f>
        <v>#N/A</v>
      </c>
      <c r="F197" t="str">
        <f>_xlfn.XLOOKUP(B197,MacReports!B:B,MacReports!D:D,"")</f>
        <v/>
      </c>
      <c r="G197" s="13">
        <f>MacReports!E197</f>
        <v>0</v>
      </c>
      <c r="H197" t="e">
        <f>_xlfn.XLOOKUP(G197,Models!A:A,Models!B:B)</f>
        <v>#N/A</v>
      </c>
      <c r="I197" t="e">
        <f>_xlfn.XLOOKUP(G197,Models!A:A,Models!E:E)</f>
        <v>#N/A</v>
      </c>
      <c r="J197" t="e">
        <f>_xlfn.XLOOKUP(G197,Models!A:A,Models!D:D)</f>
        <v>#N/A</v>
      </c>
      <c r="K197">
        <f>MacReports!F197</f>
        <v>0</v>
      </c>
      <c r="L197">
        <f>MacReports!G197</f>
        <v>0</v>
      </c>
      <c r="M197" s="15" t="e" cm="1">
        <f t="array" ref="M197">--_xlfn.LET(
    _xlpm.txt, MacReports!H197,
    _xlpm.chars, MID(_xlpm.txt, _xlfn.SEQUENCE(LEN(_xlpm.txt)), 1),
    _xlfn.TEXTJOIN("", TRUE, IF(ISNUMBER(--_xlpm.chars), _xlpm.chars, ""))
)</f>
        <v>#VALUE!</v>
      </c>
      <c r="N197" s="16" t="str" cm="1">
        <f t="array" ref="N197">_xlfn.IFS(
   --MacReports!M197&lt;55,"Battery Defect",
  -- MacReports!M197&lt;=69,"Battery D",
  --MacReports!M197&lt;=80,"Battery C",
 --MacReports!M197&gt;80,""
)</f>
        <v>Battery Defect</v>
      </c>
      <c r="O197" s="16" t="str">
        <f>IF(MacReports!I197="Service","Battery Service","")</f>
        <v/>
      </c>
      <c r="P197" s="13">
        <f>MacReports!P197</f>
        <v>0</v>
      </c>
      <c r="Q197" s="13" t="str">
        <f>IF(MacReports!J197="Enabled","Apple ID Lock","")</f>
        <v/>
      </c>
      <c r="R197" s="13" t="str">
        <f>IF(MacReports!L197="y","Remote Locked","")</f>
        <v/>
      </c>
      <c r="S197" t="str">
        <f t="shared" si="7"/>
        <v>Battery Defect, 0</v>
      </c>
      <c r="T197" t="str">
        <f>_xlfn.XLOOKUP(B197,Disk_Pivot!G:G,Disk_Pivot!I:I)</f>
        <v>Yes</v>
      </c>
      <c r="U197" t="str">
        <f>_xlfn.XLOOKUP(B197,Disk_Pivot!G:G,Disk_Pivot!N:N)</f>
        <v>Fail</v>
      </c>
      <c r="V197">
        <f>IF(U197="Fail",MacReports!N197,"")</f>
        <v>0</v>
      </c>
      <c r="AB197" t="str">
        <f t="shared" si="8"/>
        <v/>
      </c>
    </row>
    <row r="198" spans="1:28">
      <c r="A198" t="str">
        <f>MacReports!A198</f>
        <v/>
      </c>
      <c r="B198">
        <f>MacReports!B198</f>
        <v>0</v>
      </c>
      <c r="C198">
        <f>MacReports!C198</f>
        <v>0</v>
      </c>
      <c r="E198" t="e">
        <f>_xlfn.XLOOKUP(G198,Models!A:A,Models!F:F)</f>
        <v>#N/A</v>
      </c>
      <c r="F198" t="str">
        <f>_xlfn.XLOOKUP(B198,MacReports!B:B,MacReports!D:D,"")</f>
        <v/>
      </c>
      <c r="G198" s="13">
        <f>MacReports!E198</f>
        <v>0</v>
      </c>
      <c r="H198" t="e">
        <f>_xlfn.XLOOKUP(G198,Models!A:A,Models!B:B)</f>
        <v>#N/A</v>
      </c>
      <c r="I198" t="e">
        <f>_xlfn.XLOOKUP(G198,Models!A:A,Models!E:E)</f>
        <v>#N/A</v>
      </c>
      <c r="J198" t="e">
        <f>_xlfn.XLOOKUP(G198,Models!A:A,Models!D:D)</f>
        <v>#N/A</v>
      </c>
      <c r="K198">
        <f>MacReports!F198</f>
        <v>0</v>
      </c>
      <c r="L198">
        <f>MacReports!G198</f>
        <v>0</v>
      </c>
      <c r="M198" s="15" t="e" cm="1">
        <f t="array" ref="M198">--_xlfn.LET(
    _xlpm.txt, MacReports!H198,
    _xlpm.chars, MID(_xlpm.txt, _xlfn.SEQUENCE(LEN(_xlpm.txt)), 1),
    _xlfn.TEXTJOIN("", TRUE, IF(ISNUMBER(--_xlpm.chars), _xlpm.chars, ""))
)</f>
        <v>#VALUE!</v>
      </c>
      <c r="N198" s="16" t="str" cm="1">
        <f t="array" ref="N198">_xlfn.IFS(
   --MacReports!M198&lt;55,"Battery Defect",
  -- MacReports!M198&lt;=69,"Battery D",
  --MacReports!M198&lt;=80,"Battery C",
 --MacReports!M198&gt;80,""
)</f>
        <v>Battery Defect</v>
      </c>
      <c r="O198" s="16" t="str">
        <f>IF(MacReports!I198="Service","Battery Service","")</f>
        <v/>
      </c>
      <c r="P198" s="13">
        <f>MacReports!P198</f>
        <v>0</v>
      </c>
      <c r="Q198" s="13" t="str">
        <f>IF(MacReports!J198="Enabled","Apple ID Lock","")</f>
        <v/>
      </c>
      <c r="R198" s="13" t="str">
        <f>IF(MacReports!L198="y","Remote Locked","")</f>
        <v/>
      </c>
      <c r="S198" t="str">
        <f t="shared" si="7"/>
        <v>Battery Defect, 0</v>
      </c>
      <c r="T198" t="str">
        <f>_xlfn.XLOOKUP(B198,Disk_Pivot!G:G,Disk_Pivot!I:I)</f>
        <v>Yes</v>
      </c>
      <c r="U198" t="str">
        <f>_xlfn.XLOOKUP(B198,Disk_Pivot!G:G,Disk_Pivot!N:N)</f>
        <v>Fail</v>
      </c>
      <c r="V198">
        <f>IF(U198="Fail",MacReports!N198,"")</f>
        <v>0</v>
      </c>
      <c r="AB198" t="str">
        <f t="shared" si="8"/>
        <v/>
      </c>
    </row>
    <row r="199" spans="1:28">
      <c r="A199" t="str">
        <f>MacReports!A199</f>
        <v/>
      </c>
      <c r="B199">
        <f>MacReports!B199</f>
        <v>0</v>
      </c>
      <c r="C199">
        <f>MacReports!C199</f>
        <v>0</v>
      </c>
      <c r="E199" t="e">
        <f>_xlfn.XLOOKUP(G199,Models!A:A,Models!F:F)</f>
        <v>#N/A</v>
      </c>
      <c r="F199" t="str">
        <f>_xlfn.XLOOKUP(B199,MacReports!B:B,MacReports!D:D,"")</f>
        <v/>
      </c>
      <c r="G199" s="13">
        <f>MacReports!E199</f>
        <v>0</v>
      </c>
      <c r="H199" t="e">
        <f>_xlfn.XLOOKUP(G199,Models!A:A,Models!B:B)</f>
        <v>#N/A</v>
      </c>
      <c r="I199" t="e">
        <f>_xlfn.XLOOKUP(G199,Models!A:A,Models!E:E)</f>
        <v>#N/A</v>
      </c>
      <c r="J199" t="e">
        <f>_xlfn.XLOOKUP(G199,Models!A:A,Models!D:D)</f>
        <v>#N/A</v>
      </c>
      <c r="K199">
        <f>MacReports!F199</f>
        <v>0</v>
      </c>
      <c r="L199">
        <f>MacReports!G199</f>
        <v>0</v>
      </c>
      <c r="M199" s="15" t="e" cm="1">
        <f t="array" ref="M199">--_xlfn.LET(
    _xlpm.txt, MacReports!H199,
    _xlpm.chars, MID(_xlpm.txt, _xlfn.SEQUENCE(LEN(_xlpm.txt)), 1),
    _xlfn.TEXTJOIN("", TRUE, IF(ISNUMBER(--_xlpm.chars), _xlpm.chars, ""))
)</f>
        <v>#VALUE!</v>
      </c>
      <c r="N199" s="16" t="str" cm="1">
        <f t="array" ref="N199">_xlfn.IFS(
   --MacReports!M199&lt;55,"Battery Defect",
  -- MacReports!M199&lt;=69,"Battery D",
  --MacReports!M199&lt;=80,"Battery C",
 --MacReports!M199&gt;80,""
)</f>
        <v>Battery Defect</v>
      </c>
      <c r="O199" s="16" t="str">
        <f>IF(MacReports!I199="Service","Battery Service","")</f>
        <v/>
      </c>
      <c r="P199" s="13">
        <f>MacReports!P199</f>
        <v>0</v>
      </c>
      <c r="Q199" s="13" t="str">
        <f>IF(MacReports!J199="Enabled","Apple ID Lock","")</f>
        <v/>
      </c>
      <c r="R199" s="13" t="str">
        <f>IF(MacReports!L199="y","Remote Locked","")</f>
        <v/>
      </c>
      <c r="S199" t="str">
        <f t="shared" si="7"/>
        <v>Battery Defect, 0</v>
      </c>
      <c r="T199" t="str">
        <f>_xlfn.XLOOKUP(B199,Disk_Pivot!G:G,Disk_Pivot!I:I)</f>
        <v>Yes</v>
      </c>
      <c r="U199" t="str">
        <f>_xlfn.XLOOKUP(B199,Disk_Pivot!G:G,Disk_Pivot!N:N)</f>
        <v>Fail</v>
      </c>
      <c r="V199">
        <f>IF(U199="Fail",MacReports!N199,"")</f>
        <v>0</v>
      </c>
      <c r="AB199" t="str">
        <f t="shared" si="8"/>
        <v/>
      </c>
    </row>
    <row r="200" spans="1:28">
      <c r="A200" t="str">
        <f>MacReports!A200</f>
        <v/>
      </c>
      <c r="B200">
        <f>MacReports!B200</f>
        <v>0</v>
      </c>
      <c r="C200">
        <f>MacReports!C200</f>
        <v>0</v>
      </c>
      <c r="E200" t="e">
        <f>_xlfn.XLOOKUP(G200,Models!A:A,Models!F:F)</f>
        <v>#N/A</v>
      </c>
      <c r="F200" t="str">
        <f>_xlfn.XLOOKUP(B200,MacReports!B:B,MacReports!D:D,"")</f>
        <v/>
      </c>
      <c r="G200" s="13">
        <f>MacReports!E200</f>
        <v>0</v>
      </c>
      <c r="H200" t="e">
        <f>_xlfn.XLOOKUP(G200,Models!A:A,Models!B:B)</f>
        <v>#N/A</v>
      </c>
      <c r="I200" t="e">
        <f>_xlfn.XLOOKUP(G200,Models!A:A,Models!E:E)</f>
        <v>#N/A</v>
      </c>
      <c r="J200" t="e">
        <f>_xlfn.XLOOKUP(G200,Models!A:A,Models!D:D)</f>
        <v>#N/A</v>
      </c>
      <c r="K200">
        <f>MacReports!F200</f>
        <v>0</v>
      </c>
      <c r="L200">
        <f>MacReports!G200</f>
        <v>0</v>
      </c>
      <c r="M200" s="15" t="e" cm="1">
        <f t="array" ref="M200">--_xlfn.LET(
    _xlpm.txt, MacReports!H200,
    _xlpm.chars, MID(_xlpm.txt, _xlfn.SEQUENCE(LEN(_xlpm.txt)), 1),
    _xlfn.TEXTJOIN("", TRUE, IF(ISNUMBER(--_xlpm.chars), _xlpm.chars, ""))
)</f>
        <v>#VALUE!</v>
      </c>
      <c r="N200" s="16" t="str" cm="1">
        <f t="array" ref="N200">_xlfn.IFS(
   --MacReports!M200&lt;55,"Battery Defect",
  -- MacReports!M200&lt;=69,"Battery D",
  --MacReports!M200&lt;=80,"Battery C",
 --MacReports!M200&gt;80,""
)</f>
        <v>Battery Defect</v>
      </c>
      <c r="O200" s="16" t="str">
        <f>IF(MacReports!I200="Service","Battery Service","")</f>
        <v/>
      </c>
      <c r="P200" s="13">
        <f>MacReports!P200</f>
        <v>0</v>
      </c>
      <c r="Q200" s="13" t="str">
        <f>IF(MacReports!J200="Enabled","Apple ID Lock","")</f>
        <v/>
      </c>
      <c r="R200" s="13" t="str">
        <f>IF(MacReports!L200="y","Remote Locked","")</f>
        <v/>
      </c>
      <c r="S200" t="str">
        <f t="shared" si="7"/>
        <v>Battery Defect, 0</v>
      </c>
      <c r="T200" t="str">
        <f>_xlfn.XLOOKUP(B200,Disk_Pivot!G:G,Disk_Pivot!I:I)</f>
        <v>Yes</v>
      </c>
      <c r="U200" t="str">
        <f>_xlfn.XLOOKUP(B200,Disk_Pivot!G:G,Disk_Pivot!N:N)</f>
        <v>Fail</v>
      </c>
      <c r="V200">
        <f>IF(U200="Fail",MacReports!N200,"")</f>
        <v>0</v>
      </c>
      <c r="AB200" t="str">
        <f t="shared" si="8"/>
        <v/>
      </c>
    </row>
    <row r="201" spans="1:28">
      <c r="A201" t="str">
        <f>MacReports!A201</f>
        <v/>
      </c>
      <c r="B201">
        <f>MacReports!B201</f>
        <v>0</v>
      </c>
      <c r="C201">
        <f>MacReports!C201</f>
        <v>0</v>
      </c>
      <c r="E201" t="e">
        <f>_xlfn.XLOOKUP(G201,Models!A:A,Models!F:F)</f>
        <v>#N/A</v>
      </c>
      <c r="F201" t="str">
        <f>_xlfn.XLOOKUP(B201,MacReports!B:B,MacReports!D:D,"")</f>
        <v/>
      </c>
      <c r="G201" s="13">
        <f>MacReports!E201</f>
        <v>0</v>
      </c>
      <c r="H201" t="e">
        <f>_xlfn.XLOOKUP(G201,Models!A:A,Models!B:B)</f>
        <v>#N/A</v>
      </c>
      <c r="I201" t="e">
        <f>_xlfn.XLOOKUP(G201,Models!A:A,Models!E:E)</f>
        <v>#N/A</v>
      </c>
      <c r="J201" t="e">
        <f>_xlfn.XLOOKUP(G201,Models!A:A,Models!D:D)</f>
        <v>#N/A</v>
      </c>
      <c r="K201">
        <f>MacReports!F201</f>
        <v>0</v>
      </c>
      <c r="L201">
        <f>MacReports!G201</f>
        <v>0</v>
      </c>
      <c r="M201" s="15" t="e" cm="1">
        <f t="array" ref="M201">--_xlfn.LET(
    _xlpm.txt, MacReports!H201,
    _xlpm.chars, MID(_xlpm.txt, _xlfn.SEQUENCE(LEN(_xlpm.txt)), 1),
    _xlfn.TEXTJOIN("", TRUE, IF(ISNUMBER(--_xlpm.chars), _xlpm.chars, ""))
)</f>
        <v>#VALUE!</v>
      </c>
      <c r="N201" s="16" t="str" cm="1">
        <f t="array" ref="N201">_xlfn.IFS(
   --MacReports!M201&lt;55,"Battery Defect",
  -- MacReports!M201&lt;=69,"Battery D",
  --MacReports!M201&lt;=80,"Battery C",
 --MacReports!M201&gt;80,""
)</f>
        <v>Battery Defect</v>
      </c>
      <c r="O201" s="16" t="str">
        <f>IF(MacReports!I201="Service","Battery Service","")</f>
        <v/>
      </c>
      <c r="P201" s="13">
        <f>MacReports!P201</f>
        <v>0</v>
      </c>
      <c r="Q201" s="13" t="str">
        <f>IF(MacReports!J201="Enabled","Apple ID Lock","")</f>
        <v/>
      </c>
      <c r="R201" s="13" t="str">
        <f>IF(MacReports!L201="y","Remote Locked","")</f>
        <v/>
      </c>
      <c r="S201" t="str">
        <f t="shared" si="7"/>
        <v>Battery Defect, 0</v>
      </c>
      <c r="T201" t="str">
        <f>_xlfn.XLOOKUP(B201,Disk_Pivot!G:G,Disk_Pivot!I:I)</f>
        <v>Yes</v>
      </c>
      <c r="U201" t="str">
        <f>_xlfn.XLOOKUP(B201,Disk_Pivot!G:G,Disk_Pivot!N:N)</f>
        <v>Fail</v>
      </c>
      <c r="V201">
        <f>IF(U201="Fail",MacReports!N201,"")</f>
        <v>0</v>
      </c>
      <c r="AB201" t="str">
        <f t="shared" si="8"/>
        <v/>
      </c>
    </row>
    <row r="202" spans="1:28">
      <c r="A202" t="str">
        <f>MacReports!A202</f>
        <v/>
      </c>
      <c r="B202">
        <f>MacReports!B202</f>
        <v>0</v>
      </c>
      <c r="C202">
        <f>MacReports!C202</f>
        <v>0</v>
      </c>
      <c r="E202" t="e">
        <f>_xlfn.XLOOKUP(G202,Models!A:A,Models!F:F)</f>
        <v>#N/A</v>
      </c>
      <c r="F202" t="str">
        <f>_xlfn.XLOOKUP(B202,MacReports!B:B,MacReports!D:D,"")</f>
        <v/>
      </c>
      <c r="G202" s="13">
        <f>MacReports!E202</f>
        <v>0</v>
      </c>
      <c r="H202" t="e">
        <f>_xlfn.XLOOKUP(G202,Models!A:A,Models!B:B)</f>
        <v>#N/A</v>
      </c>
      <c r="I202" t="e">
        <f>_xlfn.XLOOKUP(G202,Models!A:A,Models!E:E)</f>
        <v>#N/A</v>
      </c>
      <c r="J202" t="e">
        <f>_xlfn.XLOOKUP(G202,Models!A:A,Models!D:D)</f>
        <v>#N/A</v>
      </c>
      <c r="K202">
        <f>MacReports!F202</f>
        <v>0</v>
      </c>
      <c r="L202">
        <f>MacReports!G202</f>
        <v>0</v>
      </c>
      <c r="M202" s="15" t="e" cm="1">
        <f t="array" ref="M202">--_xlfn.LET(
    _xlpm.txt, MacReports!H202,
    _xlpm.chars, MID(_xlpm.txt, _xlfn.SEQUENCE(LEN(_xlpm.txt)), 1),
    _xlfn.TEXTJOIN("", TRUE, IF(ISNUMBER(--_xlpm.chars), _xlpm.chars, ""))
)</f>
        <v>#VALUE!</v>
      </c>
      <c r="N202" s="16" t="str" cm="1">
        <f t="array" ref="N202">_xlfn.IFS(
   --MacReports!M202&lt;55,"Battery Defect",
  -- MacReports!M202&lt;=69,"Battery D",
  --MacReports!M202&lt;=80,"Battery C",
 --MacReports!M202&gt;80,""
)</f>
        <v>Battery Defect</v>
      </c>
      <c r="O202" s="16" t="str">
        <f>IF(MacReports!I202="Service","Battery Service","")</f>
        <v/>
      </c>
      <c r="P202" s="13">
        <f>MacReports!P202</f>
        <v>0</v>
      </c>
      <c r="Q202" s="13" t="str">
        <f>IF(MacReports!J202="Enabled","Apple ID Lock","")</f>
        <v/>
      </c>
      <c r="R202" s="13" t="str">
        <f>IF(MacReports!L202="y","Remote Locked","")</f>
        <v/>
      </c>
      <c r="S202" t="str">
        <f t="shared" si="7"/>
        <v>Battery Defect, 0</v>
      </c>
      <c r="T202" t="str">
        <f>_xlfn.XLOOKUP(B202,Disk_Pivot!G:G,Disk_Pivot!I:I)</f>
        <v>Yes</v>
      </c>
      <c r="U202" t="str">
        <f>_xlfn.XLOOKUP(B202,Disk_Pivot!G:G,Disk_Pivot!N:N)</f>
        <v>Fail</v>
      </c>
      <c r="V202">
        <f>IF(U202="Fail",MacReports!N202,"")</f>
        <v>0</v>
      </c>
      <c r="AB202" t="str">
        <f t="shared" si="8"/>
        <v/>
      </c>
    </row>
    <row r="203" spans="1:28">
      <c r="A203" t="str">
        <f>MacReports!A203</f>
        <v/>
      </c>
      <c r="B203">
        <f>MacReports!B203</f>
        <v>0</v>
      </c>
      <c r="C203">
        <f>MacReports!C203</f>
        <v>0</v>
      </c>
      <c r="E203" t="e">
        <f>_xlfn.XLOOKUP(G203,Models!A:A,Models!F:F)</f>
        <v>#N/A</v>
      </c>
      <c r="F203" t="str">
        <f>_xlfn.XLOOKUP(B203,MacReports!B:B,MacReports!D:D,"")</f>
        <v/>
      </c>
      <c r="G203" s="13">
        <f>MacReports!E203</f>
        <v>0</v>
      </c>
      <c r="H203" t="e">
        <f>_xlfn.XLOOKUP(G203,Models!A:A,Models!B:B)</f>
        <v>#N/A</v>
      </c>
      <c r="I203" t="e">
        <f>_xlfn.XLOOKUP(G203,Models!A:A,Models!E:E)</f>
        <v>#N/A</v>
      </c>
      <c r="J203" t="e">
        <f>_xlfn.XLOOKUP(G203,Models!A:A,Models!D:D)</f>
        <v>#N/A</v>
      </c>
      <c r="K203">
        <f>MacReports!F203</f>
        <v>0</v>
      </c>
      <c r="L203">
        <f>MacReports!G203</f>
        <v>0</v>
      </c>
      <c r="M203" s="15" t="e" cm="1">
        <f t="array" ref="M203">--_xlfn.LET(
    _xlpm.txt, MacReports!H203,
    _xlpm.chars, MID(_xlpm.txt, _xlfn.SEQUENCE(LEN(_xlpm.txt)), 1),
    _xlfn.TEXTJOIN("", TRUE, IF(ISNUMBER(--_xlpm.chars), _xlpm.chars, ""))
)</f>
        <v>#VALUE!</v>
      </c>
      <c r="N203" s="16" t="str" cm="1">
        <f t="array" ref="N203">_xlfn.IFS(
   --MacReports!M203&lt;55,"Battery Defect",
  -- MacReports!M203&lt;=69,"Battery D",
  --MacReports!M203&lt;=80,"Battery C",
 --MacReports!M203&gt;80,""
)</f>
        <v>Battery Defect</v>
      </c>
      <c r="O203" s="16" t="str">
        <f>IF(MacReports!I203="Service","Battery Service","")</f>
        <v/>
      </c>
      <c r="P203" s="13">
        <f>MacReports!P203</f>
        <v>0</v>
      </c>
      <c r="Q203" s="13" t="str">
        <f>IF(MacReports!J203="Enabled","Apple ID Lock","")</f>
        <v/>
      </c>
      <c r="R203" s="13" t="str">
        <f>IF(MacReports!L203="y","Remote Locked","")</f>
        <v/>
      </c>
      <c r="S203" t="str">
        <f t="shared" si="7"/>
        <v>Battery Defect, 0</v>
      </c>
      <c r="T203" t="str">
        <f>_xlfn.XLOOKUP(B203,Disk_Pivot!G:G,Disk_Pivot!I:I)</f>
        <v>Yes</v>
      </c>
      <c r="U203" t="str">
        <f>_xlfn.XLOOKUP(B203,Disk_Pivot!G:G,Disk_Pivot!N:N)</f>
        <v>Fail</v>
      </c>
      <c r="V203">
        <f>IF(U203="Fail",MacReports!N203,"")</f>
        <v>0</v>
      </c>
      <c r="AB203" t="str">
        <f t="shared" si="8"/>
        <v/>
      </c>
    </row>
    <row r="204" spans="1:28">
      <c r="A204" t="str">
        <f>MacReports!A204</f>
        <v/>
      </c>
      <c r="B204">
        <f>MacReports!B204</f>
        <v>0</v>
      </c>
      <c r="C204">
        <f>MacReports!C204</f>
        <v>0</v>
      </c>
      <c r="E204" t="e">
        <f>_xlfn.XLOOKUP(G204,Models!A:A,Models!F:F)</f>
        <v>#N/A</v>
      </c>
      <c r="F204" t="str">
        <f>_xlfn.XLOOKUP(B204,MacReports!B:B,MacReports!D:D,"")</f>
        <v/>
      </c>
      <c r="G204" s="13">
        <f>MacReports!E204</f>
        <v>0</v>
      </c>
      <c r="H204" t="e">
        <f>_xlfn.XLOOKUP(G204,Models!A:A,Models!B:B)</f>
        <v>#N/A</v>
      </c>
      <c r="I204" t="e">
        <f>_xlfn.XLOOKUP(G204,Models!A:A,Models!E:E)</f>
        <v>#N/A</v>
      </c>
      <c r="J204" t="e">
        <f>_xlfn.XLOOKUP(G204,Models!A:A,Models!D:D)</f>
        <v>#N/A</v>
      </c>
      <c r="K204">
        <f>MacReports!F204</f>
        <v>0</v>
      </c>
      <c r="L204">
        <f>MacReports!G204</f>
        <v>0</v>
      </c>
      <c r="M204" s="15" t="e" cm="1">
        <f t="array" ref="M204">--_xlfn.LET(
    _xlpm.txt, MacReports!H204,
    _xlpm.chars, MID(_xlpm.txt, _xlfn.SEQUENCE(LEN(_xlpm.txt)), 1),
    _xlfn.TEXTJOIN("", TRUE, IF(ISNUMBER(--_xlpm.chars), _xlpm.chars, ""))
)</f>
        <v>#VALUE!</v>
      </c>
      <c r="N204" s="16" t="str" cm="1">
        <f t="array" ref="N204">_xlfn.IFS(
   --MacReports!M204&lt;55,"Battery Defect",
  -- MacReports!M204&lt;=69,"Battery D",
  --MacReports!M204&lt;=80,"Battery C",
 --MacReports!M204&gt;80,""
)</f>
        <v>Battery Defect</v>
      </c>
      <c r="O204" s="16" t="str">
        <f>IF(MacReports!I204="Service","Battery Service","")</f>
        <v/>
      </c>
      <c r="P204" s="13">
        <f>MacReports!P204</f>
        <v>0</v>
      </c>
      <c r="Q204" s="13" t="str">
        <f>IF(MacReports!J204="Enabled","Apple ID Lock","")</f>
        <v/>
      </c>
      <c r="R204" s="13" t="str">
        <f>IF(MacReports!L204="y","Remote Locked","")</f>
        <v/>
      </c>
      <c r="S204" t="str">
        <f t="shared" si="7"/>
        <v>Battery Defect, 0</v>
      </c>
      <c r="T204" t="str">
        <f>_xlfn.XLOOKUP(B204,Disk_Pivot!G:G,Disk_Pivot!I:I)</f>
        <v>Yes</v>
      </c>
      <c r="U204" t="str">
        <f>_xlfn.XLOOKUP(B204,Disk_Pivot!G:G,Disk_Pivot!N:N)</f>
        <v>Fail</v>
      </c>
      <c r="V204">
        <f>IF(U204="Fail",MacReports!N204,"")</f>
        <v>0</v>
      </c>
      <c r="AB204" t="str">
        <f t="shared" si="8"/>
        <v/>
      </c>
    </row>
    <row r="205" spans="1:28">
      <c r="A205" t="str">
        <f>MacReports!A205</f>
        <v/>
      </c>
      <c r="B205">
        <f>MacReports!B205</f>
        <v>0</v>
      </c>
      <c r="C205">
        <f>MacReports!C205</f>
        <v>0</v>
      </c>
      <c r="E205" t="e">
        <f>_xlfn.XLOOKUP(G205,Models!A:A,Models!F:F)</f>
        <v>#N/A</v>
      </c>
      <c r="F205" t="str">
        <f>_xlfn.XLOOKUP(B205,MacReports!B:B,MacReports!D:D,"")</f>
        <v/>
      </c>
      <c r="G205" s="13">
        <f>MacReports!E205</f>
        <v>0</v>
      </c>
      <c r="H205" t="e">
        <f>_xlfn.XLOOKUP(G205,Models!A:A,Models!B:B)</f>
        <v>#N/A</v>
      </c>
      <c r="I205" t="e">
        <f>_xlfn.XLOOKUP(G205,Models!A:A,Models!E:E)</f>
        <v>#N/A</v>
      </c>
      <c r="J205" t="e">
        <f>_xlfn.XLOOKUP(G205,Models!A:A,Models!D:D)</f>
        <v>#N/A</v>
      </c>
      <c r="K205">
        <f>MacReports!F205</f>
        <v>0</v>
      </c>
      <c r="L205">
        <f>MacReports!G205</f>
        <v>0</v>
      </c>
      <c r="M205" s="15" t="e" cm="1">
        <f t="array" ref="M205">--_xlfn.LET(
    _xlpm.txt, MacReports!H205,
    _xlpm.chars, MID(_xlpm.txt, _xlfn.SEQUENCE(LEN(_xlpm.txt)), 1),
    _xlfn.TEXTJOIN("", TRUE, IF(ISNUMBER(--_xlpm.chars), _xlpm.chars, ""))
)</f>
        <v>#VALUE!</v>
      </c>
      <c r="N205" s="16" t="str" cm="1">
        <f t="array" ref="N205">_xlfn.IFS(
   --MacReports!M205&lt;55,"Battery Defect",
  -- MacReports!M205&lt;=69,"Battery D",
  --MacReports!M205&lt;=80,"Battery C",
 --MacReports!M205&gt;80,""
)</f>
        <v>Battery Defect</v>
      </c>
      <c r="O205" s="16" t="str">
        <f>IF(MacReports!I205="Service","Battery Service","")</f>
        <v/>
      </c>
      <c r="P205" s="13">
        <f>MacReports!P205</f>
        <v>0</v>
      </c>
      <c r="Q205" s="13" t="str">
        <f>IF(MacReports!J205="Enabled","Apple ID Lock","")</f>
        <v/>
      </c>
      <c r="R205" s="13" t="str">
        <f>IF(MacReports!L205="y","Remote Locked","")</f>
        <v/>
      </c>
      <c r="S205" t="str">
        <f t="shared" si="7"/>
        <v>Battery Defect, 0</v>
      </c>
      <c r="T205" t="str">
        <f>_xlfn.XLOOKUP(B205,Disk_Pivot!G:G,Disk_Pivot!I:I)</f>
        <v>Yes</v>
      </c>
      <c r="U205" t="str">
        <f>_xlfn.XLOOKUP(B205,Disk_Pivot!G:G,Disk_Pivot!N:N)</f>
        <v>Fail</v>
      </c>
      <c r="V205">
        <f>IF(U205="Fail",MacReports!N205,"")</f>
        <v>0</v>
      </c>
      <c r="AB205" t="str">
        <f t="shared" si="8"/>
        <v/>
      </c>
    </row>
    <row r="206" spans="1:28">
      <c r="A206" t="str">
        <f>MacReports!A206</f>
        <v/>
      </c>
      <c r="B206">
        <f>MacReports!B206</f>
        <v>0</v>
      </c>
      <c r="C206">
        <f>MacReports!C206</f>
        <v>0</v>
      </c>
      <c r="E206" t="e">
        <f>_xlfn.XLOOKUP(G206,Models!A:A,Models!F:F)</f>
        <v>#N/A</v>
      </c>
      <c r="F206" t="str">
        <f>_xlfn.XLOOKUP(B206,MacReports!B:B,MacReports!D:D,"")</f>
        <v/>
      </c>
      <c r="G206" s="13">
        <f>MacReports!E206</f>
        <v>0</v>
      </c>
      <c r="H206" t="e">
        <f>_xlfn.XLOOKUP(G206,Models!A:A,Models!B:B)</f>
        <v>#N/A</v>
      </c>
      <c r="I206" t="e">
        <f>_xlfn.XLOOKUP(G206,Models!A:A,Models!E:E)</f>
        <v>#N/A</v>
      </c>
      <c r="J206" t="e">
        <f>_xlfn.XLOOKUP(G206,Models!A:A,Models!D:D)</f>
        <v>#N/A</v>
      </c>
      <c r="K206">
        <f>MacReports!F206</f>
        <v>0</v>
      </c>
      <c r="L206">
        <f>MacReports!G206</f>
        <v>0</v>
      </c>
      <c r="M206" s="15" t="e" cm="1">
        <f t="array" ref="M206">--_xlfn.LET(
    _xlpm.txt, MacReports!H206,
    _xlpm.chars, MID(_xlpm.txt, _xlfn.SEQUENCE(LEN(_xlpm.txt)), 1),
    _xlfn.TEXTJOIN("", TRUE, IF(ISNUMBER(--_xlpm.chars), _xlpm.chars, ""))
)</f>
        <v>#VALUE!</v>
      </c>
      <c r="N206" s="16" t="str" cm="1">
        <f t="array" ref="N206">_xlfn.IFS(
   --MacReports!M206&lt;55,"Battery Defect",
  -- MacReports!M206&lt;=69,"Battery D",
  --MacReports!M206&lt;=80,"Battery C",
 --MacReports!M206&gt;80,""
)</f>
        <v>Battery Defect</v>
      </c>
      <c r="O206" s="16" t="str">
        <f>IF(MacReports!I206="Service","Battery Service","")</f>
        <v/>
      </c>
      <c r="P206" s="13">
        <f>MacReports!P206</f>
        <v>0</v>
      </c>
      <c r="Q206" s="13" t="str">
        <f>IF(MacReports!J206="Enabled","Apple ID Lock","")</f>
        <v/>
      </c>
      <c r="R206" s="13" t="str">
        <f>IF(MacReports!L206="y","Remote Locked","")</f>
        <v/>
      </c>
      <c r="S206" t="str">
        <f t="shared" si="7"/>
        <v>Battery Defect, 0</v>
      </c>
      <c r="T206" t="str">
        <f>_xlfn.XLOOKUP(B206,Disk_Pivot!G:G,Disk_Pivot!I:I)</f>
        <v>Yes</v>
      </c>
      <c r="U206" t="str">
        <f>_xlfn.XLOOKUP(B206,Disk_Pivot!G:G,Disk_Pivot!N:N)</f>
        <v>Fail</v>
      </c>
      <c r="V206">
        <f>IF(U206="Fail",MacReports!N206,"")</f>
        <v>0</v>
      </c>
      <c r="AB206" t="str">
        <f t="shared" si="8"/>
        <v/>
      </c>
    </row>
    <row r="207" spans="1:28">
      <c r="A207" t="str">
        <f>MacReports!A207</f>
        <v/>
      </c>
      <c r="B207">
        <f>MacReports!B207</f>
        <v>0</v>
      </c>
      <c r="C207">
        <f>MacReports!C207</f>
        <v>0</v>
      </c>
      <c r="E207" t="e">
        <f>_xlfn.XLOOKUP(G207,Models!A:A,Models!F:F)</f>
        <v>#N/A</v>
      </c>
      <c r="F207" t="str">
        <f>_xlfn.XLOOKUP(B207,MacReports!B:B,MacReports!D:D,"")</f>
        <v/>
      </c>
      <c r="G207" s="13">
        <f>MacReports!E207</f>
        <v>0</v>
      </c>
      <c r="H207" t="e">
        <f>_xlfn.XLOOKUP(G207,Models!A:A,Models!B:B)</f>
        <v>#N/A</v>
      </c>
      <c r="I207" t="e">
        <f>_xlfn.XLOOKUP(G207,Models!A:A,Models!E:E)</f>
        <v>#N/A</v>
      </c>
      <c r="J207" t="e">
        <f>_xlfn.XLOOKUP(G207,Models!A:A,Models!D:D)</f>
        <v>#N/A</v>
      </c>
      <c r="K207">
        <f>MacReports!F207</f>
        <v>0</v>
      </c>
      <c r="L207">
        <f>MacReports!G207</f>
        <v>0</v>
      </c>
      <c r="M207" s="15" t="e" cm="1">
        <f t="array" ref="M207">--_xlfn.LET(
    _xlpm.txt, MacReports!H207,
    _xlpm.chars, MID(_xlpm.txt, _xlfn.SEQUENCE(LEN(_xlpm.txt)), 1),
    _xlfn.TEXTJOIN("", TRUE, IF(ISNUMBER(--_xlpm.chars), _xlpm.chars, ""))
)</f>
        <v>#VALUE!</v>
      </c>
      <c r="N207" s="16" t="str" cm="1">
        <f t="array" ref="N207">_xlfn.IFS(
   --MacReports!M207&lt;55,"Battery Defect",
  -- MacReports!M207&lt;=69,"Battery D",
  --MacReports!M207&lt;=80,"Battery C",
 --MacReports!M207&gt;80,""
)</f>
        <v>Battery Defect</v>
      </c>
      <c r="O207" s="16" t="str">
        <f>IF(MacReports!I207="Service","Battery Service","")</f>
        <v/>
      </c>
      <c r="P207" s="13">
        <f>MacReports!P207</f>
        <v>0</v>
      </c>
      <c r="Q207" s="13" t="str">
        <f>IF(MacReports!J207="Enabled","Apple ID Lock","")</f>
        <v/>
      </c>
      <c r="R207" s="13" t="str">
        <f>IF(MacReports!L207="y","Remote Locked","")</f>
        <v/>
      </c>
      <c r="S207" t="str">
        <f t="shared" si="7"/>
        <v>Battery Defect, 0</v>
      </c>
      <c r="T207" t="str">
        <f>_xlfn.XLOOKUP(B207,Disk_Pivot!G:G,Disk_Pivot!I:I)</f>
        <v>Yes</v>
      </c>
      <c r="U207" t="str">
        <f>_xlfn.XLOOKUP(B207,Disk_Pivot!G:G,Disk_Pivot!N:N)</f>
        <v>Fail</v>
      </c>
      <c r="V207">
        <f>IF(U207="Fail",MacReports!N207,"")</f>
        <v>0</v>
      </c>
      <c r="AB207" t="str">
        <f t="shared" si="8"/>
        <v/>
      </c>
    </row>
    <row r="208" spans="1:28">
      <c r="A208" t="str">
        <f>MacReports!A208</f>
        <v/>
      </c>
      <c r="B208">
        <f>MacReports!B208</f>
        <v>0</v>
      </c>
      <c r="C208">
        <f>MacReports!C208</f>
        <v>0</v>
      </c>
      <c r="E208" t="e">
        <f>_xlfn.XLOOKUP(G208,Models!A:A,Models!F:F)</f>
        <v>#N/A</v>
      </c>
      <c r="F208" t="str">
        <f>_xlfn.XLOOKUP(B208,MacReports!B:B,MacReports!D:D,"")</f>
        <v/>
      </c>
      <c r="G208" s="13">
        <f>MacReports!E208</f>
        <v>0</v>
      </c>
      <c r="H208" t="e">
        <f>_xlfn.XLOOKUP(G208,Models!A:A,Models!B:B)</f>
        <v>#N/A</v>
      </c>
      <c r="I208" t="e">
        <f>_xlfn.XLOOKUP(G208,Models!A:A,Models!E:E)</f>
        <v>#N/A</v>
      </c>
      <c r="J208" t="e">
        <f>_xlfn.XLOOKUP(G208,Models!A:A,Models!D:D)</f>
        <v>#N/A</v>
      </c>
      <c r="K208">
        <f>MacReports!F208</f>
        <v>0</v>
      </c>
      <c r="L208">
        <f>MacReports!G208</f>
        <v>0</v>
      </c>
      <c r="M208" s="15" t="e" cm="1">
        <f t="array" ref="M208">--_xlfn.LET(
    _xlpm.txt, MacReports!H208,
    _xlpm.chars, MID(_xlpm.txt, _xlfn.SEQUENCE(LEN(_xlpm.txt)), 1),
    _xlfn.TEXTJOIN("", TRUE, IF(ISNUMBER(--_xlpm.chars), _xlpm.chars, ""))
)</f>
        <v>#VALUE!</v>
      </c>
      <c r="N208" s="16" t="str" cm="1">
        <f t="array" ref="N208">_xlfn.IFS(
   --MacReports!M208&lt;55,"Battery Defect",
  -- MacReports!M208&lt;=69,"Battery D",
  --MacReports!M208&lt;=80,"Battery C",
 --MacReports!M208&gt;80,""
)</f>
        <v>Battery Defect</v>
      </c>
      <c r="O208" s="16" t="str">
        <f>IF(MacReports!I208="Service","Battery Service","")</f>
        <v/>
      </c>
      <c r="P208" s="13">
        <f>MacReports!P208</f>
        <v>0</v>
      </c>
      <c r="Q208" s="13" t="str">
        <f>IF(MacReports!J208="Enabled","Apple ID Lock","")</f>
        <v/>
      </c>
      <c r="R208" s="13" t="str">
        <f>IF(MacReports!L208="y","Remote Locked","")</f>
        <v/>
      </c>
      <c r="S208" t="str">
        <f t="shared" si="7"/>
        <v>Battery Defect, 0</v>
      </c>
      <c r="T208" t="str">
        <f>_xlfn.XLOOKUP(B208,Disk_Pivot!G:G,Disk_Pivot!I:I)</f>
        <v>Yes</v>
      </c>
      <c r="U208" t="str">
        <f>_xlfn.XLOOKUP(B208,Disk_Pivot!G:G,Disk_Pivot!N:N)</f>
        <v>Fail</v>
      </c>
      <c r="V208">
        <f>IF(U208="Fail",MacReports!N208,"")</f>
        <v>0</v>
      </c>
      <c r="AB208" t="str">
        <f t="shared" si="8"/>
        <v/>
      </c>
    </row>
    <row r="209" spans="1:28">
      <c r="A209" t="str">
        <f>MacReports!A209</f>
        <v/>
      </c>
      <c r="B209">
        <f>MacReports!B209</f>
        <v>0</v>
      </c>
      <c r="C209">
        <f>MacReports!C209</f>
        <v>0</v>
      </c>
      <c r="E209" t="e">
        <f>_xlfn.XLOOKUP(G209,Models!A:A,Models!F:F)</f>
        <v>#N/A</v>
      </c>
      <c r="F209" t="str">
        <f>_xlfn.XLOOKUP(B209,MacReports!B:B,MacReports!D:D,"")</f>
        <v/>
      </c>
      <c r="G209" s="13">
        <f>MacReports!E209</f>
        <v>0</v>
      </c>
      <c r="H209" t="e">
        <f>_xlfn.XLOOKUP(G209,Models!A:A,Models!B:B)</f>
        <v>#N/A</v>
      </c>
      <c r="I209" t="e">
        <f>_xlfn.XLOOKUP(G209,Models!A:A,Models!E:E)</f>
        <v>#N/A</v>
      </c>
      <c r="J209" t="e">
        <f>_xlfn.XLOOKUP(G209,Models!A:A,Models!D:D)</f>
        <v>#N/A</v>
      </c>
      <c r="K209">
        <f>MacReports!F209</f>
        <v>0</v>
      </c>
      <c r="L209">
        <f>MacReports!G209</f>
        <v>0</v>
      </c>
      <c r="M209" s="15" t="e" cm="1">
        <f t="array" ref="M209">--_xlfn.LET(
    _xlpm.txt, MacReports!H209,
    _xlpm.chars, MID(_xlpm.txt, _xlfn.SEQUENCE(LEN(_xlpm.txt)), 1),
    _xlfn.TEXTJOIN("", TRUE, IF(ISNUMBER(--_xlpm.chars), _xlpm.chars, ""))
)</f>
        <v>#VALUE!</v>
      </c>
      <c r="N209" s="16" t="str" cm="1">
        <f t="array" ref="N209">_xlfn.IFS(
   --MacReports!M209&lt;55,"Battery Defect",
  -- MacReports!M209&lt;=69,"Battery D",
  --MacReports!M209&lt;=80,"Battery C",
 --MacReports!M209&gt;80,""
)</f>
        <v>Battery Defect</v>
      </c>
      <c r="O209" s="16" t="str">
        <f>IF(MacReports!I209="Service","Battery Service","")</f>
        <v/>
      </c>
      <c r="P209" s="13">
        <f>MacReports!P209</f>
        <v>0</v>
      </c>
      <c r="Q209" s="13" t="str">
        <f>IF(MacReports!J209="Enabled","Apple ID Lock","")</f>
        <v/>
      </c>
      <c r="R209" s="13" t="str">
        <f>IF(MacReports!L209="y","Remote Locked","")</f>
        <v/>
      </c>
      <c r="S209" t="str">
        <f t="shared" si="7"/>
        <v>Battery Defect, 0</v>
      </c>
      <c r="T209" t="str">
        <f>_xlfn.XLOOKUP(B209,Disk_Pivot!G:G,Disk_Pivot!I:I)</f>
        <v>Yes</v>
      </c>
      <c r="U209" t="str">
        <f>_xlfn.XLOOKUP(B209,Disk_Pivot!G:G,Disk_Pivot!N:N)</f>
        <v>Fail</v>
      </c>
      <c r="V209">
        <f>IF(U209="Fail",MacReports!N209,"")</f>
        <v>0</v>
      </c>
      <c r="AB209" t="str">
        <f t="shared" si="8"/>
        <v/>
      </c>
    </row>
    <row r="210" spans="1:28">
      <c r="A210" t="str">
        <f>MacReports!A210</f>
        <v/>
      </c>
      <c r="B210">
        <f>MacReports!B210</f>
        <v>0</v>
      </c>
      <c r="C210">
        <f>MacReports!C210</f>
        <v>0</v>
      </c>
      <c r="E210" t="e">
        <f>_xlfn.XLOOKUP(G210,Models!A:A,Models!F:F)</f>
        <v>#N/A</v>
      </c>
      <c r="F210" t="str">
        <f>_xlfn.XLOOKUP(B210,MacReports!B:B,MacReports!D:D,"")</f>
        <v/>
      </c>
      <c r="G210" s="13">
        <f>MacReports!E210</f>
        <v>0</v>
      </c>
      <c r="H210" t="e">
        <f>_xlfn.XLOOKUP(G210,Models!A:A,Models!B:B)</f>
        <v>#N/A</v>
      </c>
      <c r="I210" t="e">
        <f>_xlfn.XLOOKUP(G210,Models!A:A,Models!E:E)</f>
        <v>#N/A</v>
      </c>
      <c r="J210" t="e">
        <f>_xlfn.XLOOKUP(G210,Models!A:A,Models!D:D)</f>
        <v>#N/A</v>
      </c>
      <c r="K210">
        <f>MacReports!F210</f>
        <v>0</v>
      </c>
      <c r="L210">
        <f>MacReports!G210</f>
        <v>0</v>
      </c>
      <c r="M210" s="15" t="e" cm="1">
        <f t="array" ref="M210">--_xlfn.LET(
    _xlpm.txt, MacReports!H210,
    _xlpm.chars, MID(_xlpm.txt, _xlfn.SEQUENCE(LEN(_xlpm.txt)), 1),
    _xlfn.TEXTJOIN("", TRUE, IF(ISNUMBER(--_xlpm.chars), _xlpm.chars, ""))
)</f>
        <v>#VALUE!</v>
      </c>
      <c r="N210" s="16" t="str" cm="1">
        <f t="array" ref="N210">_xlfn.IFS(
   --MacReports!M210&lt;55,"Battery Defect",
  -- MacReports!M210&lt;=69,"Battery D",
  --MacReports!M210&lt;=80,"Battery C",
 --MacReports!M210&gt;80,""
)</f>
        <v>Battery Defect</v>
      </c>
      <c r="O210" s="16" t="str">
        <f>IF(MacReports!I210="Service","Battery Service","")</f>
        <v/>
      </c>
      <c r="P210" s="13">
        <f>MacReports!P210</f>
        <v>0</v>
      </c>
      <c r="Q210" s="13" t="str">
        <f>IF(MacReports!J210="Enabled","Apple ID Lock","")</f>
        <v/>
      </c>
      <c r="R210" s="13" t="str">
        <f>IF(MacReports!L210="y","Remote Locked","")</f>
        <v/>
      </c>
      <c r="S210" t="str">
        <f t="shared" si="7"/>
        <v>Battery Defect, 0</v>
      </c>
      <c r="T210" t="str">
        <f>_xlfn.XLOOKUP(B210,Disk_Pivot!G:G,Disk_Pivot!I:I)</f>
        <v>Yes</v>
      </c>
      <c r="U210" t="str">
        <f>_xlfn.XLOOKUP(B210,Disk_Pivot!G:G,Disk_Pivot!N:N)</f>
        <v>Fail</v>
      </c>
      <c r="V210">
        <f>IF(U210="Fail",MacReports!N210,"")</f>
        <v>0</v>
      </c>
      <c r="AB210" t="str">
        <f t="shared" si="8"/>
        <v/>
      </c>
    </row>
    <row r="211" spans="1:28">
      <c r="A211" t="str">
        <f>MacReports!A211</f>
        <v/>
      </c>
      <c r="B211">
        <f>MacReports!B211</f>
        <v>0</v>
      </c>
      <c r="C211">
        <f>MacReports!C211</f>
        <v>0</v>
      </c>
      <c r="E211" t="e">
        <f>_xlfn.XLOOKUP(G211,Models!A:A,Models!F:F)</f>
        <v>#N/A</v>
      </c>
      <c r="F211" t="str">
        <f>_xlfn.XLOOKUP(B211,MacReports!B:B,MacReports!D:D,"")</f>
        <v/>
      </c>
      <c r="G211" s="13">
        <f>MacReports!E211</f>
        <v>0</v>
      </c>
      <c r="H211" t="e">
        <f>_xlfn.XLOOKUP(G211,Models!A:A,Models!B:B)</f>
        <v>#N/A</v>
      </c>
      <c r="I211" t="e">
        <f>_xlfn.XLOOKUP(G211,Models!A:A,Models!E:E)</f>
        <v>#N/A</v>
      </c>
      <c r="J211" t="e">
        <f>_xlfn.XLOOKUP(G211,Models!A:A,Models!D:D)</f>
        <v>#N/A</v>
      </c>
      <c r="K211">
        <f>MacReports!F211</f>
        <v>0</v>
      </c>
      <c r="L211">
        <f>MacReports!G211</f>
        <v>0</v>
      </c>
      <c r="M211" s="15" t="e" cm="1">
        <f t="array" ref="M211">--_xlfn.LET(
    _xlpm.txt, MacReports!H211,
    _xlpm.chars, MID(_xlpm.txt, _xlfn.SEQUENCE(LEN(_xlpm.txt)), 1),
    _xlfn.TEXTJOIN("", TRUE, IF(ISNUMBER(--_xlpm.chars), _xlpm.chars, ""))
)</f>
        <v>#VALUE!</v>
      </c>
      <c r="N211" s="16" t="str" cm="1">
        <f t="array" ref="N211">_xlfn.IFS(
   --MacReports!M211&lt;55,"Battery Defect",
  -- MacReports!M211&lt;=69,"Battery D",
  --MacReports!M211&lt;=80,"Battery C",
 --MacReports!M211&gt;80,""
)</f>
        <v>Battery Defect</v>
      </c>
      <c r="O211" s="16" t="str">
        <f>IF(MacReports!I211="Service","Battery Service","")</f>
        <v/>
      </c>
      <c r="P211" s="13">
        <f>MacReports!P211</f>
        <v>0</v>
      </c>
      <c r="Q211" s="13" t="str">
        <f>IF(MacReports!J211="Enabled","Apple ID Lock","")</f>
        <v/>
      </c>
      <c r="R211" s="13" t="str">
        <f>IF(MacReports!L211="y","Remote Locked","")</f>
        <v/>
      </c>
      <c r="S211" t="str">
        <f t="shared" si="7"/>
        <v>Battery Defect, 0</v>
      </c>
      <c r="T211" t="str">
        <f>_xlfn.XLOOKUP(B211,Disk_Pivot!G:G,Disk_Pivot!I:I)</f>
        <v>Yes</v>
      </c>
      <c r="U211" t="str">
        <f>_xlfn.XLOOKUP(B211,Disk_Pivot!G:G,Disk_Pivot!N:N)</f>
        <v>Fail</v>
      </c>
      <c r="V211">
        <f>IF(U211="Fail",MacReports!N211,"")</f>
        <v>0</v>
      </c>
      <c r="AB211" t="str">
        <f t="shared" si="8"/>
        <v/>
      </c>
    </row>
    <row r="212" spans="1:28">
      <c r="A212" t="str">
        <f>MacReports!A212</f>
        <v/>
      </c>
      <c r="B212">
        <f>MacReports!B212</f>
        <v>0</v>
      </c>
      <c r="C212">
        <f>MacReports!C212</f>
        <v>0</v>
      </c>
      <c r="E212" t="e">
        <f>_xlfn.XLOOKUP(G212,Models!A:A,Models!F:F)</f>
        <v>#N/A</v>
      </c>
      <c r="F212" t="str">
        <f>_xlfn.XLOOKUP(B212,MacReports!B:B,MacReports!D:D,"")</f>
        <v/>
      </c>
      <c r="G212" s="13">
        <f>MacReports!E212</f>
        <v>0</v>
      </c>
      <c r="H212" t="e">
        <f>_xlfn.XLOOKUP(G212,Models!A:A,Models!B:B)</f>
        <v>#N/A</v>
      </c>
      <c r="I212" t="e">
        <f>_xlfn.XLOOKUP(G212,Models!A:A,Models!E:E)</f>
        <v>#N/A</v>
      </c>
      <c r="J212" t="e">
        <f>_xlfn.XLOOKUP(G212,Models!A:A,Models!D:D)</f>
        <v>#N/A</v>
      </c>
      <c r="K212">
        <f>MacReports!F212</f>
        <v>0</v>
      </c>
      <c r="L212">
        <f>MacReports!G212</f>
        <v>0</v>
      </c>
      <c r="M212" s="15" t="e" cm="1">
        <f t="array" ref="M212">--_xlfn.LET(
    _xlpm.txt, MacReports!H212,
    _xlpm.chars, MID(_xlpm.txt, _xlfn.SEQUENCE(LEN(_xlpm.txt)), 1),
    _xlfn.TEXTJOIN("", TRUE, IF(ISNUMBER(--_xlpm.chars), _xlpm.chars, ""))
)</f>
        <v>#VALUE!</v>
      </c>
      <c r="N212" s="16" t="str" cm="1">
        <f t="array" ref="N212">_xlfn.IFS(
   --MacReports!M212&lt;55,"Battery Defect",
  -- MacReports!M212&lt;=69,"Battery D",
  --MacReports!M212&lt;=80,"Battery C",
 --MacReports!M212&gt;80,""
)</f>
        <v>Battery Defect</v>
      </c>
      <c r="O212" s="16" t="str">
        <f>IF(MacReports!I212="Service","Battery Service","")</f>
        <v/>
      </c>
      <c r="P212" s="13">
        <f>MacReports!P212</f>
        <v>0</v>
      </c>
      <c r="Q212" s="13" t="str">
        <f>IF(MacReports!J212="Enabled","Apple ID Lock","")</f>
        <v/>
      </c>
      <c r="R212" s="13" t="str">
        <f>IF(MacReports!L212="y","Remote Locked","")</f>
        <v/>
      </c>
      <c r="S212" t="str">
        <f t="shared" si="7"/>
        <v>Battery Defect, 0</v>
      </c>
      <c r="T212" t="str">
        <f>_xlfn.XLOOKUP(B212,Disk_Pivot!G:G,Disk_Pivot!I:I)</f>
        <v>Yes</v>
      </c>
      <c r="U212" t="str">
        <f>_xlfn.XLOOKUP(B212,Disk_Pivot!G:G,Disk_Pivot!N:N)</f>
        <v>Fail</v>
      </c>
      <c r="V212">
        <f>IF(U212="Fail",MacReports!N212,"")</f>
        <v>0</v>
      </c>
      <c r="AB212" t="str">
        <f t="shared" si="8"/>
        <v/>
      </c>
    </row>
    <row r="213" spans="1:28">
      <c r="A213" t="str">
        <f>MacReports!A213</f>
        <v/>
      </c>
      <c r="B213">
        <f>MacReports!B213</f>
        <v>0</v>
      </c>
      <c r="C213">
        <f>MacReports!C213</f>
        <v>0</v>
      </c>
      <c r="E213" t="e">
        <f>_xlfn.XLOOKUP(G213,Models!A:A,Models!F:F)</f>
        <v>#N/A</v>
      </c>
      <c r="F213" t="str">
        <f>_xlfn.XLOOKUP(B213,MacReports!B:B,MacReports!D:D,"")</f>
        <v/>
      </c>
      <c r="G213" s="13">
        <f>MacReports!E213</f>
        <v>0</v>
      </c>
      <c r="H213" t="e">
        <f>_xlfn.XLOOKUP(G213,Models!A:A,Models!B:B)</f>
        <v>#N/A</v>
      </c>
      <c r="I213" t="e">
        <f>_xlfn.XLOOKUP(G213,Models!A:A,Models!E:E)</f>
        <v>#N/A</v>
      </c>
      <c r="J213" t="e">
        <f>_xlfn.XLOOKUP(G213,Models!A:A,Models!D:D)</f>
        <v>#N/A</v>
      </c>
      <c r="K213">
        <f>MacReports!F213</f>
        <v>0</v>
      </c>
      <c r="L213">
        <f>MacReports!G213</f>
        <v>0</v>
      </c>
      <c r="M213" s="15" t="e" cm="1">
        <f t="array" ref="M213">--_xlfn.LET(
    _xlpm.txt, MacReports!H213,
    _xlpm.chars, MID(_xlpm.txt, _xlfn.SEQUENCE(LEN(_xlpm.txt)), 1),
    _xlfn.TEXTJOIN("", TRUE, IF(ISNUMBER(--_xlpm.chars), _xlpm.chars, ""))
)</f>
        <v>#VALUE!</v>
      </c>
      <c r="N213" s="16" t="str" cm="1">
        <f t="array" ref="N213">_xlfn.IFS(
   --MacReports!M213&lt;55,"Battery Defect",
  -- MacReports!M213&lt;=69,"Battery D",
  --MacReports!M213&lt;=80,"Battery C",
 --MacReports!M213&gt;80,""
)</f>
        <v>Battery Defect</v>
      </c>
      <c r="O213" s="16" t="str">
        <f>IF(MacReports!I213="Service","Battery Service","")</f>
        <v/>
      </c>
      <c r="P213" s="13">
        <f>MacReports!P213</f>
        <v>0</v>
      </c>
      <c r="Q213" s="13" t="str">
        <f>IF(MacReports!J213="Enabled","Apple ID Lock","")</f>
        <v/>
      </c>
      <c r="R213" s="13" t="str">
        <f>IF(MacReports!L213="y","Remote Locked","")</f>
        <v/>
      </c>
      <c r="S213" t="str">
        <f t="shared" si="7"/>
        <v>Battery Defect, 0</v>
      </c>
      <c r="T213" t="str">
        <f>_xlfn.XLOOKUP(B213,Disk_Pivot!G:G,Disk_Pivot!I:I)</f>
        <v>Yes</v>
      </c>
      <c r="U213" t="str">
        <f>_xlfn.XLOOKUP(B213,Disk_Pivot!G:G,Disk_Pivot!N:N)</f>
        <v>Fail</v>
      </c>
      <c r="V213">
        <f>IF(U213="Fail",MacReports!N213,"")</f>
        <v>0</v>
      </c>
      <c r="AB213" t="str">
        <f t="shared" si="8"/>
        <v/>
      </c>
    </row>
    <row r="214" spans="1:28">
      <c r="A214" t="str">
        <f>MacReports!A214</f>
        <v/>
      </c>
      <c r="B214">
        <f>MacReports!B214</f>
        <v>0</v>
      </c>
      <c r="C214">
        <f>MacReports!C214</f>
        <v>0</v>
      </c>
      <c r="E214" t="e">
        <f>_xlfn.XLOOKUP(G214,Models!A:A,Models!F:F)</f>
        <v>#N/A</v>
      </c>
      <c r="F214" t="str">
        <f>_xlfn.XLOOKUP(B214,MacReports!B:B,MacReports!D:D,"")</f>
        <v/>
      </c>
      <c r="G214" s="13">
        <f>MacReports!E214</f>
        <v>0</v>
      </c>
      <c r="H214" t="e">
        <f>_xlfn.XLOOKUP(G214,Models!A:A,Models!B:B)</f>
        <v>#N/A</v>
      </c>
      <c r="I214" t="e">
        <f>_xlfn.XLOOKUP(G214,Models!A:A,Models!E:E)</f>
        <v>#N/A</v>
      </c>
      <c r="J214" t="e">
        <f>_xlfn.XLOOKUP(G214,Models!A:A,Models!D:D)</f>
        <v>#N/A</v>
      </c>
      <c r="K214">
        <f>MacReports!F214</f>
        <v>0</v>
      </c>
      <c r="L214">
        <f>MacReports!G214</f>
        <v>0</v>
      </c>
      <c r="M214" s="15" t="e" cm="1">
        <f t="array" ref="M214">--_xlfn.LET(
    _xlpm.txt, MacReports!H214,
    _xlpm.chars, MID(_xlpm.txt, _xlfn.SEQUENCE(LEN(_xlpm.txt)), 1),
    _xlfn.TEXTJOIN("", TRUE, IF(ISNUMBER(--_xlpm.chars), _xlpm.chars, ""))
)</f>
        <v>#VALUE!</v>
      </c>
      <c r="N214" s="16" t="str" cm="1">
        <f t="array" ref="N214">_xlfn.IFS(
   --MacReports!M214&lt;55,"Battery Defect",
  -- MacReports!M214&lt;=69,"Battery D",
  --MacReports!M214&lt;=80,"Battery C",
 --MacReports!M214&gt;80,""
)</f>
        <v>Battery Defect</v>
      </c>
      <c r="O214" s="16" t="str">
        <f>IF(MacReports!I214="Service","Battery Service","")</f>
        <v/>
      </c>
      <c r="P214" s="13">
        <f>MacReports!P214</f>
        <v>0</v>
      </c>
      <c r="Q214" s="13" t="str">
        <f>IF(MacReports!J214="Enabled","Apple ID Lock","")</f>
        <v/>
      </c>
      <c r="R214" s="13" t="str">
        <f>IF(MacReports!L214="y","Remote Locked","")</f>
        <v/>
      </c>
      <c r="S214" t="str">
        <f t="shared" si="7"/>
        <v>Battery Defect, 0</v>
      </c>
      <c r="T214" t="str">
        <f>_xlfn.XLOOKUP(B214,Disk_Pivot!G:G,Disk_Pivot!I:I)</f>
        <v>Yes</v>
      </c>
      <c r="U214" t="str">
        <f>_xlfn.XLOOKUP(B214,Disk_Pivot!G:G,Disk_Pivot!N:N)</f>
        <v>Fail</v>
      </c>
      <c r="V214">
        <f>IF(U214="Fail",MacReports!N214,"")</f>
        <v>0</v>
      </c>
      <c r="AB214" t="str">
        <f t="shared" si="8"/>
        <v/>
      </c>
    </row>
    <row r="215" spans="1:28">
      <c r="A215" t="str">
        <f>MacReports!A215</f>
        <v/>
      </c>
      <c r="B215">
        <f>MacReports!B215</f>
        <v>0</v>
      </c>
      <c r="C215">
        <f>MacReports!C215</f>
        <v>0</v>
      </c>
      <c r="E215" t="e">
        <f>_xlfn.XLOOKUP(G215,Models!A:A,Models!F:F)</f>
        <v>#N/A</v>
      </c>
      <c r="F215" t="str">
        <f>_xlfn.XLOOKUP(B215,MacReports!B:B,MacReports!D:D,"")</f>
        <v/>
      </c>
      <c r="G215" s="13">
        <f>MacReports!E215</f>
        <v>0</v>
      </c>
      <c r="H215" t="e">
        <f>_xlfn.XLOOKUP(G215,Models!A:A,Models!B:B)</f>
        <v>#N/A</v>
      </c>
      <c r="I215" t="e">
        <f>_xlfn.XLOOKUP(G215,Models!A:A,Models!E:E)</f>
        <v>#N/A</v>
      </c>
      <c r="J215" t="e">
        <f>_xlfn.XLOOKUP(G215,Models!A:A,Models!D:D)</f>
        <v>#N/A</v>
      </c>
      <c r="K215">
        <f>MacReports!F215</f>
        <v>0</v>
      </c>
      <c r="L215">
        <f>MacReports!G215</f>
        <v>0</v>
      </c>
      <c r="M215" s="15" t="e" cm="1">
        <f t="array" ref="M215">--_xlfn.LET(
    _xlpm.txt, MacReports!H215,
    _xlpm.chars, MID(_xlpm.txt, _xlfn.SEQUENCE(LEN(_xlpm.txt)), 1),
    _xlfn.TEXTJOIN("", TRUE, IF(ISNUMBER(--_xlpm.chars), _xlpm.chars, ""))
)</f>
        <v>#VALUE!</v>
      </c>
      <c r="N215" s="16" t="str" cm="1">
        <f t="array" ref="N215">_xlfn.IFS(
   --MacReports!M215&lt;55,"Battery Defect",
  -- MacReports!M215&lt;=69,"Battery D",
  --MacReports!M215&lt;=80,"Battery C",
 --MacReports!M215&gt;80,""
)</f>
        <v>Battery Defect</v>
      </c>
      <c r="O215" s="16" t="str">
        <f>IF(MacReports!I215="Service","Battery Service","")</f>
        <v/>
      </c>
      <c r="P215" s="13">
        <f>MacReports!P215</f>
        <v>0</v>
      </c>
      <c r="Q215" s="13" t="str">
        <f>IF(MacReports!J215="Enabled","Apple ID Lock","")</f>
        <v/>
      </c>
      <c r="R215" s="13" t="str">
        <f>IF(MacReports!L215="y","Remote Locked","")</f>
        <v/>
      </c>
      <c r="S215" t="str">
        <f t="shared" si="7"/>
        <v>Battery Defect, 0</v>
      </c>
      <c r="T215" t="str">
        <f>_xlfn.XLOOKUP(B215,Disk_Pivot!G:G,Disk_Pivot!I:I)</f>
        <v>Yes</v>
      </c>
      <c r="U215" t="str">
        <f>_xlfn.XLOOKUP(B215,Disk_Pivot!G:G,Disk_Pivot!N:N)</f>
        <v>Fail</v>
      </c>
      <c r="V215">
        <f>IF(U215="Fail",MacReports!N215,"")</f>
        <v>0</v>
      </c>
      <c r="AB215" t="str">
        <f t="shared" si="8"/>
        <v/>
      </c>
    </row>
    <row r="216" spans="1:28">
      <c r="A216" t="str">
        <f>MacReports!A216</f>
        <v/>
      </c>
      <c r="B216">
        <f>MacReports!B216</f>
        <v>0</v>
      </c>
      <c r="C216">
        <f>MacReports!C216</f>
        <v>0</v>
      </c>
      <c r="E216" t="e">
        <f>_xlfn.XLOOKUP(G216,Models!A:A,Models!F:F)</f>
        <v>#N/A</v>
      </c>
      <c r="F216" t="str">
        <f>_xlfn.XLOOKUP(B216,MacReports!B:B,MacReports!D:D,"")</f>
        <v/>
      </c>
      <c r="G216" s="13">
        <f>MacReports!E216</f>
        <v>0</v>
      </c>
      <c r="H216" t="e">
        <f>_xlfn.XLOOKUP(G216,Models!A:A,Models!B:B)</f>
        <v>#N/A</v>
      </c>
      <c r="I216" t="e">
        <f>_xlfn.XLOOKUP(G216,Models!A:A,Models!E:E)</f>
        <v>#N/A</v>
      </c>
      <c r="J216" t="e">
        <f>_xlfn.XLOOKUP(G216,Models!A:A,Models!D:D)</f>
        <v>#N/A</v>
      </c>
      <c r="K216">
        <f>MacReports!F216</f>
        <v>0</v>
      </c>
      <c r="L216">
        <f>MacReports!G216</f>
        <v>0</v>
      </c>
      <c r="M216" s="15" t="e" cm="1">
        <f t="array" ref="M216">--_xlfn.LET(
    _xlpm.txt, MacReports!H216,
    _xlpm.chars, MID(_xlpm.txt, _xlfn.SEQUENCE(LEN(_xlpm.txt)), 1),
    _xlfn.TEXTJOIN("", TRUE, IF(ISNUMBER(--_xlpm.chars), _xlpm.chars, ""))
)</f>
        <v>#VALUE!</v>
      </c>
      <c r="N216" s="16" t="str" cm="1">
        <f t="array" ref="N216">_xlfn.IFS(
   --MacReports!M216&lt;55,"Battery Defect",
  -- MacReports!M216&lt;=69,"Battery D",
  --MacReports!M216&lt;=80,"Battery C",
 --MacReports!M216&gt;80,""
)</f>
        <v>Battery Defect</v>
      </c>
      <c r="O216" s="16" t="str">
        <f>IF(MacReports!I216="Service","Battery Service","")</f>
        <v/>
      </c>
      <c r="P216" s="13">
        <f>MacReports!P216</f>
        <v>0</v>
      </c>
      <c r="Q216" s="13" t="str">
        <f>IF(MacReports!J216="Enabled","Apple ID Lock","")</f>
        <v/>
      </c>
      <c r="R216" s="13" t="str">
        <f>IF(MacReports!L216="y","Remote Locked","")</f>
        <v/>
      </c>
      <c r="S216" t="str">
        <f t="shared" si="7"/>
        <v>Battery Defect, 0</v>
      </c>
      <c r="T216" t="str">
        <f>_xlfn.XLOOKUP(B216,Disk_Pivot!G:G,Disk_Pivot!I:I)</f>
        <v>Yes</v>
      </c>
      <c r="U216" t="str">
        <f>_xlfn.XLOOKUP(B216,Disk_Pivot!G:G,Disk_Pivot!N:N)</f>
        <v>Fail</v>
      </c>
      <c r="V216">
        <f>IF(U216="Fail",MacReports!N216,"")</f>
        <v>0</v>
      </c>
      <c r="AB216" t="str">
        <f t="shared" si="8"/>
        <v/>
      </c>
    </row>
    <row r="217" spans="1:28">
      <c r="A217" t="str">
        <f>MacReports!A217</f>
        <v/>
      </c>
      <c r="B217">
        <f>MacReports!B217</f>
        <v>0</v>
      </c>
      <c r="C217">
        <f>MacReports!C217</f>
        <v>0</v>
      </c>
      <c r="E217" t="e">
        <f>_xlfn.XLOOKUP(G217,Models!A:A,Models!F:F)</f>
        <v>#N/A</v>
      </c>
      <c r="F217" t="str">
        <f>_xlfn.XLOOKUP(B217,MacReports!B:B,MacReports!D:D,"")</f>
        <v/>
      </c>
      <c r="G217" s="13">
        <f>MacReports!E217</f>
        <v>0</v>
      </c>
      <c r="H217" t="e">
        <f>_xlfn.XLOOKUP(G217,Models!A:A,Models!B:B)</f>
        <v>#N/A</v>
      </c>
      <c r="I217" t="e">
        <f>_xlfn.XLOOKUP(G217,Models!A:A,Models!E:E)</f>
        <v>#N/A</v>
      </c>
      <c r="J217" t="e">
        <f>_xlfn.XLOOKUP(G217,Models!A:A,Models!D:D)</f>
        <v>#N/A</v>
      </c>
      <c r="K217">
        <f>MacReports!F217</f>
        <v>0</v>
      </c>
      <c r="L217">
        <f>MacReports!G217</f>
        <v>0</v>
      </c>
      <c r="M217" s="15" t="e" cm="1">
        <f t="array" ref="M217">--_xlfn.LET(
    _xlpm.txt, MacReports!H217,
    _xlpm.chars, MID(_xlpm.txt, _xlfn.SEQUENCE(LEN(_xlpm.txt)), 1),
    _xlfn.TEXTJOIN("", TRUE, IF(ISNUMBER(--_xlpm.chars), _xlpm.chars, ""))
)</f>
        <v>#VALUE!</v>
      </c>
      <c r="N217" s="16" t="str" cm="1">
        <f t="array" ref="N217">_xlfn.IFS(
   --MacReports!M217&lt;55,"Battery Defect",
  -- MacReports!M217&lt;=69,"Battery D",
  --MacReports!M217&lt;=80,"Battery C",
 --MacReports!M217&gt;80,""
)</f>
        <v>Battery Defect</v>
      </c>
      <c r="O217" s="16" t="str">
        <f>IF(MacReports!I217="Service","Battery Service","")</f>
        <v/>
      </c>
      <c r="P217" s="13">
        <f>MacReports!P217</f>
        <v>0</v>
      </c>
      <c r="Q217" s="13" t="str">
        <f>IF(MacReports!J217="Enabled","Apple ID Lock","")</f>
        <v/>
      </c>
      <c r="R217" s="13" t="str">
        <f>IF(MacReports!L217="y","Remote Locked","")</f>
        <v/>
      </c>
      <c r="S217" t="str">
        <f t="shared" si="7"/>
        <v>Battery Defect, 0</v>
      </c>
      <c r="T217" t="str">
        <f>_xlfn.XLOOKUP(B217,Disk_Pivot!G:G,Disk_Pivot!I:I)</f>
        <v>Yes</v>
      </c>
      <c r="U217" t="str">
        <f>_xlfn.XLOOKUP(B217,Disk_Pivot!G:G,Disk_Pivot!N:N)</f>
        <v>Fail</v>
      </c>
      <c r="V217">
        <f>IF(U217="Fail",MacReports!N217,"")</f>
        <v>0</v>
      </c>
      <c r="AB217" t="str">
        <f t="shared" si="8"/>
        <v/>
      </c>
    </row>
    <row r="218" spans="1:28">
      <c r="A218" t="str">
        <f>MacReports!A218</f>
        <v/>
      </c>
      <c r="B218">
        <f>MacReports!B218</f>
        <v>0</v>
      </c>
      <c r="C218">
        <f>MacReports!C218</f>
        <v>0</v>
      </c>
      <c r="E218" t="e">
        <f>_xlfn.XLOOKUP(G218,Models!A:A,Models!F:F)</f>
        <v>#N/A</v>
      </c>
      <c r="F218" t="str">
        <f>_xlfn.XLOOKUP(B218,MacReports!B:B,MacReports!D:D,"")</f>
        <v/>
      </c>
      <c r="G218" s="13">
        <f>MacReports!E218</f>
        <v>0</v>
      </c>
      <c r="H218" t="e">
        <f>_xlfn.XLOOKUP(G218,Models!A:A,Models!B:B)</f>
        <v>#N/A</v>
      </c>
      <c r="I218" t="e">
        <f>_xlfn.XLOOKUP(G218,Models!A:A,Models!E:E)</f>
        <v>#N/A</v>
      </c>
      <c r="J218" t="e">
        <f>_xlfn.XLOOKUP(G218,Models!A:A,Models!D:D)</f>
        <v>#N/A</v>
      </c>
      <c r="K218">
        <f>MacReports!F218</f>
        <v>0</v>
      </c>
      <c r="L218">
        <f>MacReports!G218</f>
        <v>0</v>
      </c>
      <c r="M218" s="15" t="e" cm="1">
        <f t="array" ref="M218">--_xlfn.LET(
    _xlpm.txt, MacReports!H218,
    _xlpm.chars, MID(_xlpm.txt, _xlfn.SEQUENCE(LEN(_xlpm.txt)), 1),
    _xlfn.TEXTJOIN("", TRUE, IF(ISNUMBER(--_xlpm.chars), _xlpm.chars, ""))
)</f>
        <v>#VALUE!</v>
      </c>
      <c r="N218" s="16" t="str" cm="1">
        <f t="array" ref="N218">_xlfn.IFS(
   --MacReports!M218&lt;55,"Battery Defect",
  -- MacReports!M218&lt;=69,"Battery D",
  --MacReports!M218&lt;=80,"Battery C",
 --MacReports!M218&gt;80,""
)</f>
        <v>Battery Defect</v>
      </c>
      <c r="O218" s="16" t="str">
        <f>IF(MacReports!I218="Service","Battery Service","")</f>
        <v/>
      </c>
      <c r="P218" s="13">
        <f>MacReports!P218</f>
        <v>0</v>
      </c>
      <c r="Q218" s="13" t="str">
        <f>IF(MacReports!J218="Enabled","Apple ID Lock","")</f>
        <v/>
      </c>
      <c r="R218" s="13" t="str">
        <f>IF(MacReports!L218="y","Remote Locked","")</f>
        <v/>
      </c>
      <c r="S218" t="str">
        <f t="shared" si="7"/>
        <v>Battery Defect, 0</v>
      </c>
      <c r="T218" t="str">
        <f>_xlfn.XLOOKUP(B218,Disk_Pivot!G:G,Disk_Pivot!I:I)</f>
        <v>Yes</v>
      </c>
      <c r="U218" t="str">
        <f>_xlfn.XLOOKUP(B218,Disk_Pivot!G:G,Disk_Pivot!N:N)</f>
        <v>Fail</v>
      </c>
      <c r="V218">
        <f>IF(U218="Fail",MacReports!N218,"")</f>
        <v>0</v>
      </c>
      <c r="AB218" t="str">
        <f t="shared" si="8"/>
        <v/>
      </c>
    </row>
    <row r="219" spans="1:28">
      <c r="A219" t="str">
        <f>MacReports!A219</f>
        <v/>
      </c>
      <c r="B219">
        <f>MacReports!B219</f>
        <v>0</v>
      </c>
      <c r="C219">
        <f>MacReports!C219</f>
        <v>0</v>
      </c>
      <c r="E219" t="e">
        <f>_xlfn.XLOOKUP(G219,Models!A:A,Models!F:F)</f>
        <v>#N/A</v>
      </c>
      <c r="F219" t="str">
        <f>_xlfn.XLOOKUP(B219,MacReports!B:B,MacReports!D:D,"")</f>
        <v/>
      </c>
      <c r="G219" s="13">
        <f>MacReports!E219</f>
        <v>0</v>
      </c>
      <c r="H219" t="e">
        <f>_xlfn.XLOOKUP(G219,Models!A:A,Models!B:B)</f>
        <v>#N/A</v>
      </c>
      <c r="I219" t="e">
        <f>_xlfn.XLOOKUP(G219,Models!A:A,Models!E:E)</f>
        <v>#N/A</v>
      </c>
      <c r="J219" t="e">
        <f>_xlfn.XLOOKUP(G219,Models!A:A,Models!D:D)</f>
        <v>#N/A</v>
      </c>
      <c r="K219">
        <f>MacReports!F219</f>
        <v>0</v>
      </c>
      <c r="L219">
        <f>MacReports!G219</f>
        <v>0</v>
      </c>
      <c r="M219" s="15" t="e" cm="1">
        <f t="array" ref="M219">--_xlfn.LET(
    _xlpm.txt, MacReports!H219,
    _xlpm.chars, MID(_xlpm.txt, _xlfn.SEQUENCE(LEN(_xlpm.txt)), 1),
    _xlfn.TEXTJOIN("", TRUE, IF(ISNUMBER(--_xlpm.chars), _xlpm.chars, ""))
)</f>
        <v>#VALUE!</v>
      </c>
      <c r="N219" s="16" t="str" cm="1">
        <f t="array" ref="N219">_xlfn.IFS(
   --MacReports!M219&lt;55,"Battery Defect",
  -- MacReports!M219&lt;=69,"Battery D",
  --MacReports!M219&lt;=80,"Battery C",
 --MacReports!M219&gt;80,""
)</f>
        <v>Battery Defect</v>
      </c>
      <c r="O219" s="16" t="str">
        <f>IF(MacReports!I219="Service","Battery Service","")</f>
        <v/>
      </c>
      <c r="P219" s="13">
        <f>MacReports!P219</f>
        <v>0</v>
      </c>
      <c r="Q219" s="13" t="str">
        <f>IF(MacReports!J219="Enabled","Apple ID Lock","")</f>
        <v/>
      </c>
      <c r="R219" s="13" t="str">
        <f>IF(MacReports!L219="y","Remote Locked","")</f>
        <v/>
      </c>
      <c r="S219" t="str">
        <f t="shared" si="7"/>
        <v>Battery Defect, 0</v>
      </c>
      <c r="T219" t="str">
        <f>_xlfn.XLOOKUP(B219,Disk_Pivot!G:G,Disk_Pivot!I:I)</f>
        <v>Yes</v>
      </c>
      <c r="U219" t="str">
        <f>_xlfn.XLOOKUP(B219,Disk_Pivot!G:G,Disk_Pivot!N:N)</f>
        <v>Fail</v>
      </c>
      <c r="V219">
        <f>IF(U219="Fail",MacReports!N219,"")</f>
        <v>0</v>
      </c>
      <c r="AB219" t="str">
        <f t="shared" si="8"/>
        <v/>
      </c>
    </row>
    <row r="220" spans="1:28">
      <c r="A220" t="str">
        <f>MacReports!A220</f>
        <v/>
      </c>
      <c r="B220">
        <f>MacReports!B220</f>
        <v>0</v>
      </c>
      <c r="C220">
        <f>MacReports!C220</f>
        <v>0</v>
      </c>
      <c r="E220" t="e">
        <f>_xlfn.XLOOKUP(G220,Models!A:A,Models!F:F)</f>
        <v>#N/A</v>
      </c>
      <c r="F220" t="str">
        <f>_xlfn.XLOOKUP(B220,MacReports!B:B,MacReports!D:D,"")</f>
        <v/>
      </c>
      <c r="G220" s="13">
        <f>MacReports!E220</f>
        <v>0</v>
      </c>
      <c r="H220" t="e">
        <f>_xlfn.XLOOKUP(G220,Models!A:A,Models!B:B)</f>
        <v>#N/A</v>
      </c>
      <c r="I220" t="e">
        <f>_xlfn.XLOOKUP(G220,Models!A:A,Models!E:E)</f>
        <v>#N/A</v>
      </c>
      <c r="J220" t="e">
        <f>_xlfn.XLOOKUP(G220,Models!A:A,Models!D:D)</f>
        <v>#N/A</v>
      </c>
      <c r="K220">
        <f>MacReports!F220</f>
        <v>0</v>
      </c>
      <c r="L220">
        <f>MacReports!G220</f>
        <v>0</v>
      </c>
      <c r="M220" s="15" t="e" cm="1">
        <f t="array" ref="M220">--_xlfn.LET(
    _xlpm.txt, MacReports!H220,
    _xlpm.chars, MID(_xlpm.txt, _xlfn.SEQUENCE(LEN(_xlpm.txt)), 1),
    _xlfn.TEXTJOIN("", TRUE, IF(ISNUMBER(--_xlpm.chars), _xlpm.chars, ""))
)</f>
        <v>#VALUE!</v>
      </c>
      <c r="N220" s="16" t="str" cm="1">
        <f t="array" ref="N220">_xlfn.IFS(
   --MacReports!M220&lt;55,"Battery Defect",
  -- MacReports!M220&lt;=69,"Battery D",
  --MacReports!M220&lt;=80,"Battery C",
 --MacReports!M220&gt;80,""
)</f>
        <v>Battery Defect</v>
      </c>
      <c r="O220" s="16" t="str">
        <f>IF(MacReports!I220="Service","Battery Service","")</f>
        <v/>
      </c>
      <c r="P220" s="13">
        <f>MacReports!P220</f>
        <v>0</v>
      </c>
      <c r="Q220" s="13" t="str">
        <f>IF(MacReports!J220="Enabled","Apple ID Lock","")</f>
        <v/>
      </c>
      <c r="R220" s="13" t="str">
        <f>IF(MacReports!L220="y","Remote Locked","")</f>
        <v/>
      </c>
      <c r="S220" t="str">
        <f t="shared" si="7"/>
        <v>Battery Defect, 0</v>
      </c>
      <c r="T220" t="str">
        <f>_xlfn.XLOOKUP(B220,Disk_Pivot!G:G,Disk_Pivot!I:I)</f>
        <v>Yes</v>
      </c>
      <c r="U220" t="str">
        <f>_xlfn.XLOOKUP(B220,Disk_Pivot!G:G,Disk_Pivot!N:N)</f>
        <v>Fail</v>
      </c>
      <c r="V220">
        <f>IF(U220="Fail",MacReports!N220,"")</f>
        <v>0</v>
      </c>
      <c r="AB220" t="str">
        <f t="shared" si="8"/>
        <v/>
      </c>
    </row>
    <row r="221" spans="1:28">
      <c r="A221" t="str">
        <f>MacReports!A221</f>
        <v/>
      </c>
      <c r="B221">
        <f>MacReports!B221</f>
        <v>0</v>
      </c>
      <c r="C221">
        <f>MacReports!C221</f>
        <v>0</v>
      </c>
      <c r="E221" t="e">
        <f>_xlfn.XLOOKUP(G221,Models!A:A,Models!F:F)</f>
        <v>#N/A</v>
      </c>
      <c r="F221" t="str">
        <f>_xlfn.XLOOKUP(B221,MacReports!B:B,MacReports!D:D,"")</f>
        <v/>
      </c>
      <c r="G221" s="13">
        <f>MacReports!E221</f>
        <v>0</v>
      </c>
      <c r="H221" t="e">
        <f>_xlfn.XLOOKUP(G221,Models!A:A,Models!B:B)</f>
        <v>#N/A</v>
      </c>
      <c r="I221" t="e">
        <f>_xlfn.XLOOKUP(G221,Models!A:A,Models!E:E)</f>
        <v>#N/A</v>
      </c>
      <c r="J221" t="e">
        <f>_xlfn.XLOOKUP(G221,Models!A:A,Models!D:D)</f>
        <v>#N/A</v>
      </c>
      <c r="K221">
        <f>MacReports!F221</f>
        <v>0</v>
      </c>
      <c r="L221">
        <f>MacReports!G221</f>
        <v>0</v>
      </c>
      <c r="M221" s="15" t="e" cm="1">
        <f t="array" ref="M221">--_xlfn.LET(
    _xlpm.txt, MacReports!H221,
    _xlpm.chars, MID(_xlpm.txt, _xlfn.SEQUENCE(LEN(_xlpm.txt)), 1),
    _xlfn.TEXTJOIN("", TRUE, IF(ISNUMBER(--_xlpm.chars), _xlpm.chars, ""))
)</f>
        <v>#VALUE!</v>
      </c>
      <c r="N221" s="16" t="str" cm="1">
        <f t="array" ref="N221">_xlfn.IFS(
   --MacReports!M221&lt;55,"Battery Defect",
  -- MacReports!M221&lt;=69,"Battery D",
  --MacReports!M221&lt;=80,"Battery C",
 --MacReports!M221&gt;80,""
)</f>
        <v>Battery Defect</v>
      </c>
      <c r="O221" s="16" t="str">
        <f>IF(MacReports!I221="Service","Battery Service","")</f>
        <v/>
      </c>
      <c r="P221" s="13">
        <f>MacReports!P221</f>
        <v>0</v>
      </c>
      <c r="Q221" s="13" t="str">
        <f>IF(MacReports!J221="Enabled","Apple ID Lock","")</f>
        <v/>
      </c>
      <c r="R221" s="13" t="str">
        <f>IF(MacReports!L221="y","Remote Locked","")</f>
        <v/>
      </c>
      <c r="S221" t="str">
        <f t="shared" si="7"/>
        <v>Battery Defect, 0</v>
      </c>
      <c r="T221" t="str">
        <f>_xlfn.XLOOKUP(B221,Disk_Pivot!G:G,Disk_Pivot!I:I)</f>
        <v>Yes</v>
      </c>
      <c r="U221" t="str">
        <f>_xlfn.XLOOKUP(B221,Disk_Pivot!G:G,Disk_Pivot!N:N)</f>
        <v>Fail</v>
      </c>
      <c r="V221">
        <f>IF(U221="Fail",MacReports!N221,"")</f>
        <v>0</v>
      </c>
      <c r="AB221" t="str">
        <f t="shared" si="8"/>
        <v/>
      </c>
    </row>
    <row r="222" spans="1:28">
      <c r="A222" t="str">
        <f>MacReports!A222</f>
        <v/>
      </c>
      <c r="B222">
        <f>MacReports!B222</f>
        <v>0</v>
      </c>
      <c r="C222">
        <f>MacReports!C222</f>
        <v>0</v>
      </c>
      <c r="E222" t="e">
        <f>_xlfn.XLOOKUP(G222,Models!A:A,Models!F:F)</f>
        <v>#N/A</v>
      </c>
      <c r="F222" t="str">
        <f>_xlfn.XLOOKUP(B222,MacReports!B:B,MacReports!D:D,"")</f>
        <v/>
      </c>
      <c r="G222" s="13">
        <f>MacReports!E222</f>
        <v>0</v>
      </c>
      <c r="H222" t="e">
        <f>_xlfn.XLOOKUP(G222,Models!A:A,Models!B:B)</f>
        <v>#N/A</v>
      </c>
      <c r="I222" t="e">
        <f>_xlfn.XLOOKUP(G222,Models!A:A,Models!E:E)</f>
        <v>#N/A</v>
      </c>
      <c r="J222" t="e">
        <f>_xlfn.XLOOKUP(G222,Models!A:A,Models!D:D)</f>
        <v>#N/A</v>
      </c>
      <c r="K222">
        <f>MacReports!F222</f>
        <v>0</v>
      </c>
      <c r="L222">
        <f>MacReports!G222</f>
        <v>0</v>
      </c>
      <c r="M222" s="15" t="e" cm="1">
        <f t="array" ref="M222">--_xlfn.LET(
    _xlpm.txt, MacReports!H222,
    _xlpm.chars, MID(_xlpm.txt, _xlfn.SEQUENCE(LEN(_xlpm.txt)), 1),
    _xlfn.TEXTJOIN("", TRUE, IF(ISNUMBER(--_xlpm.chars), _xlpm.chars, ""))
)</f>
        <v>#VALUE!</v>
      </c>
      <c r="N222" s="16" t="str" cm="1">
        <f t="array" ref="N222">_xlfn.IFS(
   --MacReports!M222&lt;55,"Battery Defect",
  -- MacReports!M222&lt;=69,"Battery D",
  --MacReports!M222&lt;=80,"Battery C",
 --MacReports!M222&gt;80,""
)</f>
        <v>Battery Defect</v>
      </c>
      <c r="O222" s="16" t="str">
        <f>IF(MacReports!I222="Service","Battery Service","")</f>
        <v/>
      </c>
      <c r="P222" s="13">
        <f>MacReports!P222</f>
        <v>0</v>
      </c>
      <c r="Q222" s="13" t="str">
        <f>IF(MacReports!J222="Enabled","Apple ID Lock","")</f>
        <v/>
      </c>
      <c r="R222" s="13" t="str">
        <f>IF(MacReports!L222="y","Remote Locked","")</f>
        <v/>
      </c>
      <c r="S222" t="str">
        <f t="shared" si="7"/>
        <v>Battery Defect, 0</v>
      </c>
      <c r="T222" t="str">
        <f>_xlfn.XLOOKUP(B222,Disk_Pivot!G:G,Disk_Pivot!I:I)</f>
        <v>Yes</v>
      </c>
      <c r="U222" t="str">
        <f>_xlfn.XLOOKUP(B222,Disk_Pivot!G:G,Disk_Pivot!N:N)</f>
        <v>Fail</v>
      </c>
      <c r="V222">
        <f>IF(U222="Fail",MacReports!N222,"")</f>
        <v>0</v>
      </c>
      <c r="AB222" t="str">
        <f t="shared" si="8"/>
        <v/>
      </c>
    </row>
    <row r="223" spans="1:28">
      <c r="A223" t="str">
        <f>MacReports!A223</f>
        <v/>
      </c>
      <c r="B223">
        <f>MacReports!B223</f>
        <v>0</v>
      </c>
      <c r="C223">
        <f>MacReports!C223</f>
        <v>0</v>
      </c>
      <c r="E223" t="e">
        <f>_xlfn.XLOOKUP(G223,Models!A:A,Models!F:F)</f>
        <v>#N/A</v>
      </c>
      <c r="F223" t="str">
        <f>_xlfn.XLOOKUP(B223,MacReports!B:B,MacReports!D:D,"")</f>
        <v/>
      </c>
      <c r="G223" s="13">
        <f>MacReports!E223</f>
        <v>0</v>
      </c>
      <c r="H223" t="e">
        <f>_xlfn.XLOOKUP(G223,Models!A:A,Models!B:B)</f>
        <v>#N/A</v>
      </c>
      <c r="I223" t="e">
        <f>_xlfn.XLOOKUP(G223,Models!A:A,Models!E:E)</f>
        <v>#N/A</v>
      </c>
      <c r="J223" t="e">
        <f>_xlfn.XLOOKUP(G223,Models!A:A,Models!D:D)</f>
        <v>#N/A</v>
      </c>
      <c r="K223">
        <f>MacReports!F223</f>
        <v>0</v>
      </c>
      <c r="L223">
        <f>MacReports!G223</f>
        <v>0</v>
      </c>
      <c r="M223" s="15" t="e" cm="1">
        <f t="array" ref="M223">--_xlfn.LET(
    _xlpm.txt, MacReports!H223,
    _xlpm.chars, MID(_xlpm.txt, _xlfn.SEQUENCE(LEN(_xlpm.txt)), 1),
    _xlfn.TEXTJOIN("", TRUE, IF(ISNUMBER(--_xlpm.chars), _xlpm.chars, ""))
)</f>
        <v>#VALUE!</v>
      </c>
      <c r="N223" s="16" t="str" cm="1">
        <f t="array" ref="N223">_xlfn.IFS(
   --MacReports!M223&lt;55,"Battery Defect",
  -- MacReports!M223&lt;=69,"Battery D",
  --MacReports!M223&lt;=80,"Battery C",
 --MacReports!M223&gt;80,""
)</f>
        <v>Battery Defect</v>
      </c>
      <c r="O223" s="16" t="str">
        <f>IF(MacReports!I223="Service","Battery Service","")</f>
        <v/>
      </c>
      <c r="P223" s="13">
        <f>MacReports!P223</f>
        <v>0</v>
      </c>
      <c r="Q223" s="13" t="str">
        <f>IF(MacReports!J223="Enabled","Apple ID Lock","")</f>
        <v/>
      </c>
      <c r="R223" s="13" t="str">
        <f>IF(MacReports!L223="y","Remote Locked","")</f>
        <v/>
      </c>
      <c r="S223" t="str">
        <f t="shared" si="7"/>
        <v>Battery Defect, 0</v>
      </c>
      <c r="T223" t="str">
        <f>_xlfn.XLOOKUP(B223,Disk_Pivot!G:G,Disk_Pivot!I:I)</f>
        <v>Yes</v>
      </c>
      <c r="U223" t="str">
        <f>_xlfn.XLOOKUP(B223,Disk_Pivot!G:G,Disk_Pivot!N:N)</f>
        <v>Fail</v>
      </c>
      <c r="V223">
        <f>IF(U223="Fail",MacReports!N223,"")</f>
        <v>0</v>
      </c>
      <c r="AB223" t="str">
        <f t="shared" si="8"/>
        <v/>
      </c>
    </row>
    <row r="224" spans="1:28">
      <c r="A224" t="str">
        <f>MacReports!A224</f>
        <v/>
      </c>
      <c r="B224">
        <f>MacReports!B224</f>
        <v>0</v>
      </c>
      <c r="C224">
        <f>MacReports!C224</f>
        <v>0</v>
      </c>
      <c r="E224" t="e">
        <f>_xlfn.XLOOKUP(G224,Models!A:A,Models!F:F)</f>
        <v>#N/A</v>
      </c>
      <c r="F224" t="str">
        <f>_xlfn.XLOOKUP(B224,MacReports!B:B,MacReports!D:D,"")</f>
        <v/>
      </c>
      <c r="G224" s="13">
        <f>MacReports!E224</f>
        <v>0</v>
      </c>
      <c r="H224" t="e">
        <f>_xlfn.XLOOKUP(G224,Models!A:A,Models!B:B)</f>
        <v>#N/A</v>
      </c>
      <c r="I224" t="e">
        <f>_xlfn.XLOOKUP(G224,Models!A:A,Models!E:E)</f>
        <v>#N/A</v>
      </c>
      <c r="J224" t="e">
        <f>_xlfn.XLOOKUP(G224,Models!A:A,Models!D:D)</f>
        <v>#N/A</v>
      </c>
      <c r="K224">
        <f>MacReports!F224</f>
        <v>0</v>
      </c>
      <c r="L224">
        <f>MacReports!G224</f>
        <v>0</v>
      </c>
      <c r="M224" s="15" t="e" cm="1">
        <f t="array" ref="M224">--_xlfn.LET(
    _xlpm.txt, MacReports!H224,
    _xlpm.chars, MID(_xlpm.txt, _xlfn.SEQUENCE(LEN(_xlpm.txt)), 1),
    _xlfn.TEXTJOIN("", TRUE, IF(ISNUMBER(--_xlpm.chars), _xlpm.chars, ""))
)</f>
        <v>#VALUE!</v>
      </c>
      <c r="N224" s="16" t="str" cm="1">
        <f t="array" ref="N224">_xlfn.IFS(
   --MacReports!M224&lt;55,"Battery Defect",
  -- MacReports!M224&lt;=69,"Battery D",
  --MacReports!M224&lt;=80,"Battery C",
 --MacReports!M224&gt;80,""
)</f>
        <v>Battery Defect</v>
      </c>
      <c r="O224" s="16" t="str">
        <f>IF(MacReports!I224="Service","Battery Service","")</f>
        <v/>
      </c>
      <c r="P224" s="13">
        <f>MacReports!P224</f>
        <v>0</v>
      </c>
      <c r="Q224" s="13" t="str">
        <f>IF(MacReports!J224="Enabled","Apple ID Lock","")</f>
        <v/>
      </c>
      <c r="R224" s="13" t="str">
        <f>IF(MacReports!L224="y","Remote Locked","")</f>
        <v/>
      </c>
      <c r="S224" t="str">
        <f t="shared" si="7"/>
        <v>Battery Defect, 0</v>
      </c>
      <c r="T224" t="str">
        <f>_xlfn.XLOOKUP(B224,Disk_Pivot!G:G,Disk_Pivot!I:I)</f>
        <v>Yes</v>
      </c>
      <c r="U224" t="str">
        <f>_xlfn.XLOOKUP(B224,Disk_Pivot!G:G,Disk_Pivot!N:N)</f>
        <v>Fail</v>
      </c>
      <c r="V224">
        <f>IF(U224="Fail",MacReports!N224,"")</f>
        <v>0</v>
      </c>
      <c r="AB224" t="str">
        <f t="shared" si="8"/>
        <v/>
      </c>
    </row>
    <row r="225" spans="1:28">
      <c r="A225" t="str">
        <f>MacReports!A225</f>
        <v/>
      </c>
      <c r="B225">
        <f>MacReports!B225</f>
        <v>0</v>
      </c>
      <c r="C225">
        <f>MacReports!C225</f>
        <v>0</v>
      </c>
      <c r="E225" t="e">
        <f>_xlfn.XLOOKUP(G225,Models!A:A,Models!F:F)</f>
        <v>#N/A</v>
      </c>
      <c r="F225" t="str">
        <f>_xlfn.XLOOKUP(B225,MacReports!B:B,MacReports!D:D,"")</f>
        <v/>
      </c>
      <c r="G225" s="13">
        <f>MacReports!E225</f>
        <v>0</v>
      </c>
      <c r="H225" t="e">
        <f>_xlfn.XLOOKUP(G225,Models!A:A,Models!B:B)</f>
        <v>#N/A</v>
      </c>
      <c r="I225" t="e">
        <f>_xlfn.XLOOKUP(G225,Models!A:A,Models!E:E)</f>
        <v>#N/A</v>
      </c>
      <c r="J225" t="e">
        <f>_xlfn.XLOOKUP(G225,Models!A:A,Models!D:D)</f>
        <v>#N/A</v>
      </c>
      <c r="K225">
        <f>MacReports!F225</f>
        <v>0</v>
      </c>
      <c r="L225">
        <f>MacReports!G225</f>
        <v>0</v>
      </c>
      <c r="M225" s="15" t="e" cm="1">
        <f t="array" ref="M225">--_xlfn.LET(
    _xlpm.txt, MacReports!H225,
    _xlpm.chars, MID(_xlpm.txt, _xlfn.SEQUENCE(LEN(_xlpm.txt)), 1),
    _xlfn.TEXTJOIN("", TRUE, IF(ISNUMBER(--_xlpm.chars), _xlpm.chars, ""))
)</f>
        <v>#VALUE!</v>
      </c>
      <c r="N225" s="16" t="str" cm="1">
        <f t="array" ref="N225">_xlfn.IFS(
   --MacReports!M225&lt;55,"Battery Defect",
  -- MacReports!M225&lt;=69,"Battery D",
  --MacReports!M225&lt;=80,"Battery C",
 --MacReports!M225&gt;80,""
)</f>
        <v>Battery Defect</v>
      </c>
      <c r="O225" s="16" t="str">
        <f>IF(MacReports!I225="Service","Battery Service","")</f>
        <v/>
      </c>
      <c r="P225" s="13">
        <f>MacReports!P225</f>
        <v>0</v>
      </c>
      <c r="Q225" s="13" t="str">
        <f>IF(MacReports!J225="Enabled","Apple ID Lock","")</f>
        <v/>
      </c>
      <c r="R225" s="13" t="str">
        <f>IF(MacReports!L225="y","Remote Locked","")</f>
        <v/>
      </c>
      <c r="S225" t="str">
        <f t="shared" si="7"/>
        <v>Battery Defect, 0</v>
      </c>
      <c r="T225" t="str">
        <f>_xlfn.XLOOKUP(B225,Disk_Pivot!G:G,Disk_Pivot!I:I)</f>
        <v>Yes</v>
      </c>
      <c r="U225" t="str">
        <f>_xlfn.XLOOKUP(B225,Disk_Pivot!G:G,Disk_Pivot!N:N)</f>
        <v>Fail</v>
      </c>
      <c r="V225">
        <f>IF(U225="Fail",MacReports!N225,"")</f>
        <v>0</v>
      </c>
      <c r="AB225" t="str">
        <f t="shared" si="8"/>
        <v/>
      </c>
    </row>
    <row r="226" spans="1:28">
      <c r="A226" t="str">
        <f>MacReports!A226</f>
        <v/>
      </c>
      <c r="B226">
        <f>MacReports!B226</f>
        <v>0</v>
      </c>
      <c r="C226">
        <f>MacReports!C226</f>
        <v>0</v>
      </c>
      <c r="E226" t="e">
        <f>_xlfn.XLOOKUP(G226,Models!A:A,Models!F:F)</f>
        <v>#N/A</v>
      </c>
      <c r="F226" t="str">
        <f>_xlfn.XLOOKUP(B226,MacReports!B:B,MacReports!D:D,"")</f>
        <v/>
      </c>
      <c r="G226" s="13">
        <f>MacReports!E226</f>
        <v>0</v>
      </c>
      <c r="H226" t="e">
        <f>_xlfn.XLOOKUP(G226,Models!A:A,Models!B:B)</f>
        <v>#N/A</v>
      </c>
      <c r="I226" t="e">
        <f>_xlfn.XLOOKUP(G226,Models!A:A,Models!E:E)</f>
        <v>#N/A</v>
      </c>
      <c r="J226" t="e">
        <f>_xlfn.XLOOKUP(G226,Models!A:A,Models!D:D)</f>
        <v>#N/A</v>
      </c>
      <c r="K226">
        <f>MacReports!F226</f>
        <v>0</v>
      </c>
      <c r="L226">
        <f>MacReports!G226</f>
        <v>0</v>
      </c>
      <c r="M226" s="15" t="e" cm="1">
        <f t="array" ref="M226">--_xlfn.LET(
    _xlpm.txt, MacReports!H226,
    _xlpm.chars, MID(_xlpm.txt, _xlfn.SEQUENCE(LEN(_xlpm.txt)), 1),
    _xlfn.TEXTJOIN("", TRUE, IF(ISNUMBER(--_xlpm.chars), _xlpm.chars, ""))
)</f>
        <v>#VALUE!</v>
      </c>
      <c r="N226" s="16" t="str" cm="1">
        <f t="array" ref="N226">_xlfn.IFS(
   --MacReports!M226&lt;55,"Battery Defect",
  -- MacReports!M226&lt;=69,"Battery D",
  --MacReports!M226&lt;=80,"Battery C",
 --MacReports!M226&gt;80,""
)</f>
        <v>Battery Defect</v>
      </c>
      <c r="O226" s="16" t="str">
        <f>IF(MacReports!I226="Service","Battery Service","")</f>
        <v/>
      </c>
      <c r="P226" s="13">
        <f>MacReports!P226</f>
        <v>0</v>
      </c>
      <c r="Q226" s="13" t="str">
        <f>IF(MacReports!J226="Enabled","Apple ID Lock","")</f>
        <v/>
      </c>
      <c r="R226" s="13" t="str">
        <f>IF(MacReports!L226="y","Remote Locked","")</f>
        <v/>
      </c>
      <c r="S226" t="str">
        <f t="shared" si="7"/>
        <v>Battery Defect, 0</v>
      </c>
      <c r="T226" t="str">
        <f>_xlfn.XLOOKUP(B226,Disk_Pivot!G:G,Disk_Pivot!I:I)</f>
        <v>Yes</v>
      </c>
      <c r="U226" t="str">
        <f>_xlfn.XLOOKUP(B226,Disk_Pivot!G:G,Disk_Pivot!N:N)</f>
        <v>Fail</v>
      </c>
      <c r="V226">
        <f>IF(U226="Fail",MacReports!N226,"")</f>
        <v>0</v>
      </c>
      <c r="AB226" t="str">
        <f t="shared" si="8"/>
        <v/>
      </c>
    </row>
    <row r="227" spans="1:28">
      <c r="A227" t="str">
        <f>MacReports!A227</f>
        <v/>
      </c>
      <c r="B227">
        <f>MacReports!B227</f>
        <v>0</v>
      </c>
      <c r="C227">
        <f>MacReports!C227</f>
        <v>0</v>
      </c>
      <c r="E227" t="e">
        <f>_xlfn.XLOOKUP(G227,Models!A:A,Models!F:F)</f>
        <v>#N/A</v>
      </c>
      <c r="F227" t="str">
        <f>_xlfn.XLOOKUP(B227,MacReports!B:B,MacReports!D:D,"")</f>
        <v/>
      </c>
      <c r="G227" s="13">
        <f>MacReports!E227</f>
        <v>0</v>
      </c>
      <c r="H227" t="e">
        <f>_xlfn.XLOOKUP(G227,Models!A:A,Models!B:B)</f>
        <v>#N/A</v>
      </c>
      <c r="I227" t="e">
        <f>_xlfn.XLOOKUP(G227,Models!A:A,Models!E:E)</f>
        <v>#N/A</v>
      </c>
      <c r="J227" t="e">
        <f>_xlfn.XLOOKUP(G227,Models!A:A,Models!D:D)</f>
        <v>#N/A</v>
      </c>
      <c r="K227">
        <f>MacReports!F227</f>
        <v>0</v>
      </c>
      <c r="L227">
        <f>MacReports!G227</f>
        <v>0</v>
      </c>
      <c r="M227" s="15" t="e" cm="1">
        <f t="array" ref="M227">--_xlfn.LET(
    _xlpm.txt, MacReports!H227,
    _xlpm.chars, MID(_xlpm.txt, _xlfn.SEQUENCE(LEN(_xlpm.txt)), 1),
    _xlfn.TEXTJOIN("", TRUE, IF(ISNUMBER(--_xlpm.chars), _xlpm.chars, ""))
)</f>
        <v>#VALUE!</v>
      </c>
      <c r="N227" s="16" t="str" cm="1">
        <f t="array" ref="N227">_xlfn.IFS(
   --MacReports!M227&lt;55,"Battery Defect",
  -- MacReports!M227&lt;=69,"Battery D",
  --MacReports!M227&lt;=80,"Battery C",
 --MacReports!M227&gt;80,""
)</f>
        <v>Battery Defect</v>
      </c>
      <c r="O227" s="16" t="str">
        <f>IF(MacReports!I227="Service","Battery Service","")</f>
        <v/>
      </c>
      <c r="P227" s="13">
        <f>MacReports!P227</f>
        <v>0</v>
      </c>
      <c r="Q227" s="13" t="str">
        <f>IF(MacReports!J227="Enabled","Apple ID Lock","")</f>
        <v/>
      </c>
      <c r="R227" s="13" t="str">
        <f>IF(MacReports!L227="y","Remote Locked","")</f>
        <v/>
      </c>
      <c r="S227" t="str">
        <f t="shared" ref="S227:S290" si="9">_xlfn.TEXTJOIN(", ",TRUE,Q227,R227,N227,O227,P227)</f>
        <v>Battery Defect, 0</v>
      </c>
      <c r="T227" t="str">
        <f>_xlfn.XLOOKUP(B227,Disk_Pivot!G:G,Disk_Pivot!I:I)</f>
        <v>Yes</v>
      </c>
      <c r="U227" t="str">
        <f>_xlfn.XLOOKUP(B227,Disk_Pivot!G:G,Disk_Pivot!N:N)</f>
        <v>Fail</v>
      </c>
      <c r="V227">
        <f>IF(U227="Fail",MacReports!N227,"")</f>
        <v>0</v>
      </c>
      <c r="AB227" t="str">
        <f t="shared" ref="AB227:AB290" si="10">_xlfn.TEXTJOIN(", ",TRUE,Q227,R227)</f>
        <v/>
      </c>
    </row>
    <row r="228" spans="1:28">
      <c r="A228" t="str">
        <f>MacReports!A228</f>
        <v/>
      </c>
      <c r="B228">
        <f>MacReports!B228</f>
        <v>0</v>
      </c>
      <c r="C228">
        <f>MacReports!C228</f>
        <v>0</v>
      </c>
      <c r="E228" t="e">
        <f>_xlfn.XLOOKUP(G228,Models!A:A,Models!F:F)</f>
        <v>#N/A</v>
      </c>
      <c r="F228" t="str">
        <f>_xlfn.XLOOKUP(B228,MacReports!B:B,MacReports!D:D,"")</f>
        <v/>
      </c>
      <c r="G228" s="13">
        <f>MacReports!E228</f>
        <v>0</v>
      </c>
      <c r="H228" t="e">
        <f>_xlfn.XLOOKUP(G228,Models!A:A,Models!B:B)</f>
        <v>#N/A</v>
      </c>
      <c r="I228" t="e">
        <f>_xlfn.XLOOKUP(G228,Models!A:A,Models!E:E)</f>
        <v>#N/A</v>
      </c>
      <c r="J228" t="e">
        <f>_xlfn.XLOOKUP(G228,Models!A:A,Models!D:D)</f>
        <v>#N/A</v>
      </c>
      <c r="K228">
        <f>MacReports!F228</f>
        <v>0</v>
      </c>
      <c r="L228">
        <f>MacReports!G228</f>
        <v>0</v>
      </c>
      <c r="M228" s="15" t="e" cm="1">
        <f t="array" ref="M228">--_xlfn.LET(
    _xlpm.txt, MacReports!H228,
    _xlpm.chars, MID(_xlpm.txt, _xlfn.SEQUENCE(LEN(_xlpm.txt)), 1),
    _xlfn.TEXTJOIN("", TRUE, IF(ISNUMBER(--_xlpm.chars), _xlpm.chars, ""))
)</f>
        <v>#VALUE!</v>
      </c>
      <c r="N228" s="16" t="str" cm="1">
        <f t="array" ref="N228">_xlfn.IFS(
   --MacReports!M228&lt;55,"Battery Defect",
  -- MacReports!M228&lt;=69,"Battery D",
  --MacReports!M228&lt;=80,"Battery C",
 --MacReports!M228&gt;80,""
)</f>
        <v>Battery Defect</v>
      </c>
      <c r="O228" s="16" t="str">
        <f>IF(MacReports!I228="Service","Battery Service","")</f>
        <v/>
      </c>
      <c r="P228" s="13">
        <f>MacReports!P228</f>
        <v>0</v>
      </c>
      <c r="Q228" s="13" t="str">
        <f>IF(MacReports!J228="Enabled","Apple ID Lock","")</f>
        <v/>
      </c>
      <c r="R228" s="13" t="str">
        <f>IF(MacReports!L228="y","Remote Locked","")</f>
        <v/>
      </c>
      <c r="S228" t="str">
        <f t="shared" si="9"/>
        <v>Battery Defect, 0</v>
      </c>
      <c r="T228" t="str">
        <f>_xlfn.XLOOKUP(B228,Disk_Pivot!G:G,Disk_Pivot!I:I)</f>
        <v>Yes</v>
      </c>
      <c r="U228" t="str">
        <f>_xlfn.XLOOKUP(B228,Disk_Pivot!G:G,Disk_Pivot!N:N)</f>
        <v>Fail</v>
      </c>
      <c r="V228">
        <f>IF(U228="Fail",MacReports!N228,"")</f>
        <v>0</v>
      </c>
      <c r="AB228" t="str">
        <f t="shared" si="10"/>
        <v/>
      </c>
    </row>
    <row r="229" spans="1:28">
      <c r="A229" t="str">
        <f>MacReports!A229</f>
        <v/>
      </c>
      <c r="B229">
        <f>MacReports!B229</f>
        <v>0</v>
      </c>
      <c r="C229">
        <f>MacReports!C229</f>
        <v>0</v>
      </c>
      <c r="E229" t="e">
        <f>_xlfn.XLOOKUP(G229,Models!A:A,Models!F:F)</f>
        <v>#N/A</v>
      </c>
      <c r="F229" t="str">
        <f>_xlfn.XLOOKUP(B229,MacReports!B:B,MacReports!D:D,"")</f>
        <v/>
      </c>
      <c r="G229" s="13">
        <f>MacReports!E229</f>
        <v>0</v>
      </c>
      <c r="H229" t="e">
        <f>_xlfn.XLOOKUP(G229,Models!A:A,Models!B:B)</f>
        <v>#N/A</v>
      </c>
      <c r="I229" t="e">
        <f>_xlfn.XLOOKUP(G229,Models!A:A,Models!E:E)</f>
        <v>#N/A</v>
      </c>
      <c r="J229" t="e">
        <f>_xlfn.XLOOKUP(G229,Models!A:A,Models!D:D)</f>
        <v>#N/A</v>
      </c>
      <c r="K229">
        <f>MacReports!F229</f>
        <v>0</v>
      </c>
      <c r="L229">
        <f>MacReports!G229</f>
        <v>0</v>
      </c>
      <c r="M229" s="15" t="e" cm="1">
        <f t="array" ref="M229">--_xlfn.LET(
    _xlpm.txt, MacReports!H229,
    _xlpm.chars, MID(_xlpm.txt, _xlfn.SEQUENCE(LEN(_xlpm.txt)), 1),
    _xlfn.TEXTJOIN("", TRUE, IF(ISNUMBER(--_xlpm.chars), _xlpm.chars, ""))
)</f>
        <v>#VALUE!</v>
      </c>
      <c r="N229" s="16" t="str" cm="1">
        <f t="array" ref="N229">_xlfn.IFS(
   --MacReports!M229&lt;55,"Battery Defect",
  -- MacReports!M229&lt;=69,"Battery D",
  --MacReports!M229&lt;=80,"Battery C",
 --MacReports!M229&gt;80,""
)</f>
        <v>Battery Defect</v>
      </c>
      <c r="O229" s="16" t="str">
        <f>IF(MacReports!I229="Service","Battery Service","")</f>
        <v/>
      </c>
      <c r="P229" s="13">
        <f>MacReports!P229</f>
        <v>0</v>
      </c>
      <c r="Q229" s="13" t="str">
        <f>IF(MacReports!J229="Enabled","Apple ID Lock","")</f>
        <v/>
      </c>
      <c r="R229" s="13" t="str">
        <f>IF(MacReports!L229="y","Remote Locked","")</f>
        <v/>
      </c>
      <c r="S229" t="str">
        <f t="shared" si="9"/>
        <v>Battery Defect, 0</v>
      </c>
      <c r="T229" t="str">
        <f>_xlfn.XLOOKUP(B229,Disk_Pivot!G:G,Disk_Pivot!I:I)</f>
        <v>Yes</v>
      </c>
      <c r="U229" t="str">
        <f>_xlfn.XLOOKUP(B229,Disk_Pivot!G:G,Disk_Pivot!N:N)</f>
        <v>Fail</v>
      </c>
      <c r="V229">
        <f>IF(U229="Fail",MacReports!N229,"")</f>
        <v>0</v>
      </c>
      <c r="AB229" t="str">
        <f t="shared" si="10"/>
        <v/>
      </c>
    </row>
    <row r="230" spans="1:28">
      <c r="A230" t="str">
        <f>MacReports!A230</f>
        <v/>
      </c>
      <c r="B230">
        <f>MacReports!B230</f>
        <v>0</v>
      </c>
      <c r="C230">
        <f>MacReports!C230</f>
        <v>0</v>
      </c>
      <c r="E230" t="e">
        <f>_xlfn.XLOOKUP(G230,Models!A:A,Models!F:F)</f>
        <v>#N/A</v>
      </c>
      <c r="F230" t="str">
        <f>_xlfn.XLOOKUP(B230,MacReports!B:B,MacReports!D:D,"")</f>
        <v/>
      </c>
      <c r="G230" s="13">
        <f>MacReports!E230</f>
        <v>0</v>
      </c>
      <c r="H230" t="e">
        <f>_xlfn.XLOOKUP(G230,Models!A:A,Models!B:B)</f>
        <v>#N/A</v>
      </c>
      <c r="I230" t="e">
        <f>_xlfn.XLOOKUP(G230,Models!A:A,Models!E:E)</f>
        <v>#N/A</v>
      </c>
      <c r="J230" t="e">
        <f>_xlfn.XLOOKUP(G230,Models!A:A,Models!D:D)</f>
        <v>#N/A</v>
      </c>
      <c r="K230">
        <f>MacReports!F230</f>
        <v>0</v>
      </c>
      <c r="L230">
        <f>MacReports!G230</f>
        <v>0</v>
      </c>
      <c r="M230" s="15" t="e" cm="1">
        <f t="array" ref="M230">--_xlfn.LET(
    _xlpm.txt, MacReports!H230,
    _xlpm.chars, MID(_xlpm.txt, _xlfn.SEQUENCE(LEN(_xlpm.txt)), 1),
    _xlfn.TEXTJOIN("", TRUE, IF(ISNUMBER(--_xlpm.chars), _xlpm.chars, ""))
)</f>
        <v>#VALUE!</v>
      </c>
      <c r="N230" s="16" t="str" cm="1">
        <f t="array" ref="N230">_xlfn.IFS(
   --MacReports!M230&lt;55,"Battery Defect",
  -- MacReports!M230&lt;=69,"Battery D",
  --MacReports!M230&lt;=80,"Battery C",
 --MacReports!M230&gt;80,""
)</f>
        <v>Battery Defect</v>
      </c>
      <c r="O230" s="16" t="str">
        <f>IF(MacReports!I230="Service","Battery Service","")</f>
        <v/>
      </c>
      <c r="P230" s="13">
        <f>MacReports!P230</f>
        <v>0</v>
      </c>
      <c r="Q230" s="13" t="str">
        <f>IF(MacReports!J230="Enabled","Apple ID Lock","")</f>
        <v/>
      </c>
      <c r="R230" s="13" t="str">
        <f>IF(MacReports!L230="y","Remote Locked","")</f>
        <v/>
      </c>
      <c r="S230" t="str">
        <f t="shared" si="9"/>
        <v>Battery Defect, 0</v>
      </c>
      <c r="T230" t="str">
        <f>_xlfn.XLOOKUP(B230,Disk_Pivot!G:G,Disk_Pivot!I:I)</f>
        <v>Yes</v>
      </c>
      <c r="U230" t="str">
        <f>_xlfn.XLOOKUP(B230,Disk_Pivot!G:G,Disk_Pivot!N:N)</f>
        <v>Fail</v>
      </c>
      <c r="V230">
        <f>IF(U230="Fail",MacReports!N230,"")</f>
        <v>0</v>
      </c>
      <c r="AB230" t="str">
        <f t="shared" si="10"/>
        <v/>
      </c>
    </row>
    <row r="231" spans="1:28">
      <c r="A231" t="str">
        <f>MacReports!A231</f>
        <v/>
      </c>
      <c r="B231">
        <f>MacReports!B231</f>
        <v>0</v>
      </c>
      <c r="C231">
        <f>MacReports!C231</f>
        <v>0</v>
      </c>
      <c r="E231" t="e">
        <f>_xlfn.XLOOKUP(G231,Models!A:A,Models!F:F)</f>
        <v>#N/A</v>
      </c>
      <c r="F231" t="str">
        <f>_xlfn.XLOOKUP(B231,MacReports!B:B,MacReports!D:D,"")</f>
        <v/>
      </c>
      <c r="G231" s="13">
        <f>MacReports!E231</f>
        <v>0</v>
      </c>
      <c r="H231" t="e">
        <f>_xlfn.XLOOKUP(G231,Models!A:A,Models!B:B)</f>
        <v>#N/A</v>
      </c>
      <c r="I231" t="e">
        <f>_xlfn.XLOOKUP(G231,Models!A:A,Models!E:E)</f>
        <v>#N/A</v>
      </c>
      <c r="J231" t="e">
        <f>_xlfn.XLOOKUP(G231,Models!A:A,Models!D:D)</f>
        <v>#N/A</v>
      </c>
      <c r="K231">
        <f>MacReports!F231</f>
        <v>0</v>
      </c>
      <c r="L231">
        <f>MacReports!G231</f>
        <v>0</v>
      </c>
      <c r="M231" s="15" t="e" cm="1">
        <f t="array" ref="M231">--_xlfn.LET(
    _xlpm.txt, MacReports!H231,
    _xlpm.chars, MID(_xlpm.txt, _xlfn.SEQUENCE(LEN(_xlpm.txt)), 1),
    _xlfn.TEXTJOIN("", TRUE, IF(ISNUMBER(--_xlpm.chars), _xlpm.chars, ""))
)</f>
        <v>#VALUE!</v>
      </c>
      <c r="N231" s="16" t="str" cm="1">
        <f t="array" ref="N231">_xlfn.IFS(
   --MacReports!M231&lt;55,"Battery Defect",
  -- MacReports!M231&lt;=69,"Battery D",
  --MacReports!M231&lt;=80,"Battery C",
 --MacReports!M231&gt;80,""
)</f>
        <v>Battery Defect</v>
      </c>
      <c r="O231" s="16" t="str">
        <f>IF(MacReports!I231="Service","Battery Service","")</f>
        <v/>
      </c>
      <c r="P231" s="13">
        <f>MacReports!P231</f>
        <v>0</v>
      </c>
      <c r="Q231" s="13" t="str">
        <f>IF(MacReports!J231="Enabled","Apple ID Lock","")</f>
        <v/>
      </c>
      <c r="R231" s="13" t="str">
        <f>IF(MacReports!L231="y","Remote Locked","")</f>
        <v/>
      </c>
      <c r="S231" t="str">
        <f t="shared" si="9"/>
        <v>Battery Defect, 0</v>
      </c>
      <c r="T231" t="str">
        <f>_xlfn.XLOOKUP(B231,Disk_Pivot!G:G,Disk_Pivot!I:I)</f>
        <v>Yes</v>
      </c>
      <c r="U231" t="str">
        <f>_xlfn.XLOOKUP(B231,Disk_Pivot!G:G,Disk_Pivot!N:N)</f>
        <v>Fail</v>
      </c>
      <c r="V231">
        <f>IF(U231="Fail",MacReports!N231,"")</f>
        <v>0</v>
      </c>
      <c r="AB231" t="str">
        <f t="shared" si="10"/>
        <v/>
      </c>
    </row>
    <row r="232" spans="1:28">
      <c r="A232" t="str">
        <f>MacReports!A232</f>
        <v/>
      </c>
      <c r="B232">
        <f>MacReports!B232</f>
        <v>0</v>
      </c>
      <c r="C232">
        <f>MacReports!C232</f>
        <v>0</v>
      </c>
      <c r="E232" t="e">
        <f>_xlfn.XLOOKUP(G232,Models!A:A,Models!F:F)</f>
        <v>#N/A</v>
      </c>
      <c r="F232" t="str">
        <f>_xlfn.XLOOKUP(B232,MacReports!B:B,MacReports!D:D,"")</f>
        <v/>
      </c>
      <c r="G232" s="13">
        <f>MacReports!E232</f>
        <v>0</v>
      </c>
      <c r="H232" t="e">
        <f>_xlfn.XLOOKUP(G232,Models!A:A,Models!B:B)</f>
        <v>#N/A</v>
      </c>
      <c r="I232" t="e">
        <f>_xlfn.XLOOKUP(G232,Models!A:A,Models!E:E)</f>
        <v>#N/A</v>
      </c>
      <c r="J232" t="e">
        <f>_xlfn.XLOOKUP(G232,Models!A:A,Models!D:D)</f>
        <v>#N/A</v>
      </c>
      <c r="K232">
        <f>MacReports!F232</f>
        <v>0</v>
      </c>
      <c r="L232">
        <f>MacReports!G232</f>
        <v>0</v>
      </c>
      <c r="M232" s="15" t="e" cm="1">
        <f t="array" ref="M232">--_xlfn.LET(
    _xlpm.txt, MacReports!H232,
    _xlpm.chars, MID(_xlpm.txt, _xlfn.SEQUENCE(LEN(_xlpm.txt)), 1),
    _xlfn.TEXTJOIN("", TRUE, IF(ISNUMBER(--_xlpm.chars), _xlpm.chars, ""))
)</f>
        <v>#VALUE!</v>
      </c>
      <c r="N232" s="16" t="str" cm="1">
        <f t="array" ref="N232">_xlfn.IFS(
   --MacReports!M232&lt;55,"Battery Defect",
  -- MacReports!M232&lt;=69,"Battery D",
  --MacReports!M232&lt;=80,"Battery C",
 --MacReports!M232&gt;80,""
)</f>
        <v>Battery Defect</v>
      </c>
      <c r="O232" s="16" t="str">
        <f>IF(MacReports!I232="Service","Battery Service","")</f>
        <v/>
      </c>
      <c r="P232" s="13">
        <f>MacReports!P232</f>
        <v>0</v>
      </c>
      <c r="Q232" s="13" t="str">
        <f>IF(MacReports!J232="Enabled","Apple ID Lock","")</f>
        <v/>
      </c>
      <c r="R232" s="13" t="str">
        <f>IF(MacReports!L232="y","Remote Locked","")</f>
        <v/>
      </c>
      <c r="S232" t="str">
        <f t="shared" si="9"/>
        <v>Battery Defect, 0</v>
      </c>
      <c r="T232" t="str">
        <f>_xlfn.XLOOKUP(B232,Disk_Pivot!G:G,Disk_Pivot!I:I)</f>
        <v>Yes</v>
      </c>
      <c r="U232" t="str">
        <f>_xlfn.XLOOKUP(B232,Disk_Pivot!G:G,Disk_Pivot!N:N)</f>
        <v>Fail</v>
      </c>
      <c r="V232">
        <f>IF(U232="Fail",MacReports!N232,"")</f>
        <v>0</v>
      </c>
      <c r="AB232" t="str">
        <f t="shared" si="10"/>
        <v/>
      </c>
    </row>
    <row r="233" spans="1:28">
      <c r="A233" t="str">
        <f>MacReports!A233</f>
        <v/>
      </c>
      <c r="B233">
        <f>MacReports!B233</f>
        <v>0</v>
      </c>
      <c r="C233">
        <f>MacReports!C233</f>
        <v>0</v>
      </c>
      <c r="E233" t="e">
        <f>_xlfn.XLOOKUP(G233,Models!A:A,Models!F:F)</f>
        <v>#N/A</v>
      </c>
      <c r="F233" t="str">
        <f>_xlfn.XLOOKUP(B233,MacReports!B:B,MacReports!D:D,"")</f>
        <v/>
      </c>
      <c r="G233" s="13">
        <f>MacReports!E233</f>
        <v>0</v>
      </c>
      <c r="H233" t="e">
        <f>_xlfn.XLOOKUP(G233,Models!A:A,Models!B:B)</f>
        <v>#N/A</v>
      </c>
      <c r="I233" t="e">
        <f>_xlfn.XLOOKUP(G233,Models!A:A,Models!E:E)</f>
        <v>#N/A</v>
      </c>
      <c r="J233" t="e">
        <f>_xlfn.XLOOKUP(G233,Models!A:A,Models!D:D)</f>
        <v>#N/A</v>
      </c>
      <c r="K233">
        <f>MacReports!F233</f>
        <v>0</v>
      </c>
      <c r="L233">
        <f>MacReports!G233</f>
        <v>0</v>
      </c>
      <c r="M233" s="15" t="e" cm="1">
        <f t="array" ref="M233">--_xlfn.LET(
    _xlpm.txt, MacReports!H233,
    _xlpm.chars, MID(_xlpm.txt, _xlfn.SEQUENCE(LEN(_xlpm.txt)), 1),
    _xlfn.TEXTJOIN("", TRUE, IF(ISNUMBER(--_xlpm.chars), _xlpm.chars, ""))
)</f>
        <v>#VALUE!</v>
      </c>
      <c r="N233" s="16" t="str" cm="1">
        <f t="array" ref="N233">_xlfn.IFS(
   --MacReports!M233&lt;55,"Battery Defect",
  -- MacReports!M233&lt;=69,"Battery D",
  --MacReports!M233&lt;=80,"Battery C",
 --MacReports!M233&gt;80,""
)</f>
        <v>Battery Defect</v>
      </c>
      <c r="O233" s="16" t="str">
        <f>IF(MacReports!I233="Service","Battery Service","")</f>
        <v/>
      </c>
      <c r="P233" s="13">
        <f>MacReports!P233</f>
        <v>0</v>
      </c>
      <c r="Q233" s="13" t="str">
        <f>IF(MacReports!J233="Enabled","Apple ID Lock","")</f>
        <v/>
      </c>
      <c r="R233" s="13" t="str">
        <f>IF(MacReports!L233="y","Remote Locked","")</f>
        <v/>
      </c>
      <c r="S233" t="str">
        <f t="shared" si="9"/>
        <v>Battery Defect, 0</v>
      </c>
      <c r="T233" t="str">
        <f>_xlfn.XLOOKUP(B233,Disk_Pivot!G:G,Disk_Pivot!I:I)</f>
        <v>Yes</v>
      </c>
      <c r="U233" t="str">
        <f>_xlfn.XLOOKUP(B233,Disk_Pivot!G:G,Disk_Pivot!N:N)</f>
        <v>Fail</v>
      </c>
      <c r="V233">
        <f>IF(U233="Fail",MacReports!N233,"")</f>
        <v>0</v>
      </c>
      <c r="AB233" t="str">
        <f t="shared" si="10"/>
        <v/>
      </c>
    </row>
    <row r="234" spans="1:28">
      <c r="A234" t="str">
        <f>MacReports!A234</f>
        <v/>
      </c>
      <c r="B234">
        <f>MacReports!B234</f>
        <v>0</v>
      </c>
      <c r="C234">
        <f>MacReports!C234</f>
        <v>0</v>
      </c>
      <c r="E234" t="e">
        <f>_xlfn.XLOOKUP(G234,Models!A:A,Models!F:F)</f>
        <v>#N/A</v>
      </c>
      <c r="F234" t="str">
        <f>_xlfn.XLOOKUP(B234,MacReports!B:B,MacReports!D:D,"")</f>
        <v/>
      </c>
      <c r="G234" s="13">
        <f>MacReports!E234</f>
        <v>0</v>
      </c>
      <c r="H234" t="e">
        <f>_xlfn.XLOOKUP(G234,Models!A:A,Models!B:B)</f>
        <v>#N/A</v>
      </c>
      <c r="I234" t="e">
        <f>_xlfn.XLOOKUP(G234,Models!A:A,Models!E:E)</f>
        <v>#N/A</v>
      </c>
      <c r="J234" t="e">
        <f>_xlfn.XLOOKUP(G234,Models!A:A,Models!D:D)</f>
        <v>#N/A</v>
      </c>
      <c r="K234">
        <f>MacReports!F234</f>
        <v>0</v>
      </c>
      <c r="L234">
        <f>MacReports!G234</f>
        <v>0</v>
      </c>
      <c r="M234" s="15" t="e" cm="1">
        <f t="array" ref="M234">--_xlfn.LET(
    _xlpm.txt, MacReports!H234,
    _xlpm.chars, MID(_xlpm.txt, _xlfn.SEQUENCE(LEN(_xlpm.txt)), 1),
    _xlfn.TEXTJOIN("", TRUE, IF(ISNUMBER(--_xlpm.chars), _xlpm.chars, ""))
)</f>
        <v>#VALUE!</v>
      </c>
      <c r="N234" s="16" t="str" cm="1">
        <f t="array" ref="N234">_xlfn.IFS(
   --MacReports!M234&lt;55,"Battery Defect",
  -- MacReports!M234&lt;=69,"Battery D",
  --MacReports!M234&lt;=80,"Battery C",
 --MacReports!M234&gt;80,""
)</f>
        <v>Battery Defect</v>
      </c>
      <c r="O234" s="16" t="str">
        <f>IF(MacReports!I234="Service","Battery Service","")</f>
        <v/>
      </c>
      <c r="P234" s="13">
        <f>MacReports!P234</f>
        <v>0</v>
      </c>
      <c r="Q234" s="13" t="str">
        <f>IF(MacReports!J234="Enabled","Apple ID Lock","")</f>
        <v/>
      </c>
      <c r="R234" s="13" t="str">
        <f>IF(MacReports!L234="y","Remote Locked","")</f>
        <v/>
      </c>
      <c r="S234" t="str">
        <f t="shared" si="9"/>
        <v>Battery Defect, 0</v>
      </c>
      <c r="T234" t="str">
        <f>_xlfn.XLOOKUP(B234,Disk_Pivot!G:G,Disk_Pivot!I:I)</f>
        <v>Yes</v>
      </c>
      <c r="U234" t="str">
        <f>_xlfn.XLOOKUP(B234,Disk_Pivot!G:G,Disk_Pivot!N:N)</f>
        <v>Fail</v>
      </c>
      <c r="V234">
        <f>IF(U234="Fail",MacReports!N234,"")</f>
        <v>0</v>
      </c>
      <c r="AB234" t="str">
        <f t="shared" si="10"/>
        <v/>
      </c>
    </row>
    <row r="235" spans="1:28">
      <c r="A235" t="str">
        <f>MacReports!A235</f>
        <v/>
      </c>
      <c r="B235">
        <f>MacReports!B235</f>
        <v>0</v>
      </c>
      <c r="C235">
        <f>MacReports!C235</f>
        <v>0</v>
      </c>
      <c r="E235" t="e">
        <f>_xlfn.XLOOKUP(G235,Models!A:A,Models!F:F)</f>
        <v>#N/A</v>
      </c>
      <c r="F235" t="str">
        <f>_xlfn.XLOOKUP(B235,MacReports!B:B,MacReports!D:D,"")</f>
        <v/>
      </c>
      <c r="G235" s="13">
        <f>MacReports!E235</f>
        <v>0</v>
      </c>
      <c r="H235" t="e">
        <f>_xlfn.XLOOKUP(G235,Models!A:A,Models!B:B)</f>
        <v>#N/A</v>
      </c>
      <c r="I235" t="e">
        <f>_xlfn.XLOOKUP(G235,Models!A:A,Models!E:E)</f>
        <v>#N/A</v>
      </c>
      <c r="J235" t="e">
        <f>_xlfn.XLOOKUP(G235,Models!A:A,Models!D:D)</f>
        <v>#N/A</v>
      </c>
      <c r="K235">
        <f>MacReports!F235</f>
        <v>0</v>
      </c>
      <c r="L235">
        <f>MacReports!G235</f>
        <v>0</v>
      </c>
      <c r="M235" s="15" t="e" cm="1">
        <f t="array" ref="M235">--_xlfn.LET(
    _xlpm.txt, MacReports!H235,
    _xlpm.chars, MID(_xlpm.txt, _xlfn.SEQUENCE(LEN(_xlpm.txt)), 1),
    _xlfn.TEXTJOIN("", TRUE, IF(ISNUMBER(--_xlpm.chars), _xlpm.chars, ""))
)</f>
        <v>#VALUE!</v>
      </c>
      <c r="N235" s="16" t="str" cm="1">
        <f t="array" ref="N235">_xlfn.IFS(
   --MacReports!M235&lt;55,"Battery Defect",
  -- MacReports!M235&lt;=69,"Battery D",
  --MacReports!M235&lt;=80,"Battery C",
 --MacReports!M235&gt;80,""
)</f>
        <v>Battery Defect</v>
      </c>
      <c r="O235" s="16" t="str">
        <f>IF(MacReports!I235="Service","Battery Service","")</f>
        <v/>
      </c>
      <c r="P235" s="13">
        <f>MacReports!P235</f>
        <v>0</v>
      </c>
      <c r="Q235" s="13" t="str">
        <f>IF(MacReports!J235="Enabled","Apple ID Lock","")</f>
        <v/>
      </c>
      <c r="R235" s="13" t="str">
        <f>IF(MacReports!L235="y","Remote Locked","")</f>
        <v/>
      </c>
      <c r="S235" t="str">
        <f t="shared" si="9"/>
        <v>Battery Defect, 0</v>
      </c>
      <c r="T235" t="str">
        <f>_xlfn.XLOOKUP(B235,Disk_Pivot!G:G,Disk_Pivot!I:I)</f>
        <v>Yes</v>
      </c>
      <c r="U235" t="str">
        <f>_xlfn.XLOOKUP(B235,Disk_Pivot!G:G,Disk_Pivot!N:N)</f>
        <v>Fail</v>
      </c>
      <c r="V235">
        <f>IF(U235="Fail",MacReports!N235,"")</f>
        <v>0</v>
      </c>
      <c r="AB235" t="str">
        <f t="shared" si="10"/>
        <v/>
      </c>
    </row>
    <row r="236" spans="1:28">
      <c r="A236" t="str">
        <f>MacReports!A236</f>
        <v/>
      </c>
      <c r="B236">
        <f>MacReports!B236</f>
        <v>0</v>
      </c>
      <c r="C236">
        <f>MacReports!C236</f>
        <v>0</v>
      </c>
      <c r="E236" t="e">
        <f>_xlfn.XLOOKUP(G236,Models!A:A,Models!F:F)</f>
        <v>#N/A</v>
      </c>
      <c r="F236" t="str">
        <f>_xlfn.XLOOKUP(B236,MacReports!B:B,MacReports!D:D,"")</f>
        <v/>
      </c>
      <c r="G236" s="13">
        <f>MacReports!E236</f>
        <v>0</v>
      </c>
      <c r="H236" t="e">
        <f>_xlfn.XLOOKUP(G236,Models!A:A,Models!B:B)</f>
        <v>#N/A</v>
      </c>
      <c r="I236" t="e">
        <f>_xlfn.XLOOKUP(G236,Models!A:A,Models!E:E)</f>
        <v>#N/A</v>
      </c>
      <c r="J236" t="e">
        <f>_xlfn.XLOOKUP(G236,Models!A:A,Models!D:D)</f>
        <v>#N/A</v>
      </c>
      <c r="K236">
        <f>MacReports!F236</f>
        <v>0</v>
      </c>
      <c r="L236">
        <f>MacReports!G236</f>
        <v>0</v>
      </c>
      <c r="M236" s="15" t="e" cm="1">
        <f t="array" ref="M236">--_xlfn.LET(
    _xlpm.txt, MacReports!H236,
    _xlpm.chars, MID(_xlpm.txt, _xlfn.SEQUENCE(LEN(_xlpm.txt)), 1),
    _xlfn.TEXTJOIN("", TRUE, IF(ISNUMBER(--_xlpm.chars), _xlpm.chars, ""))
)</f>
        <v>#VALUE!</v>
      </c>
      <c r="N236" s="16" t="str" cm="1">
        <f t="array" ref="N236">_xlfn.IFS(
   --MacReports!M236&lt;55,"Battery Defect",
  -- MacReports!M236&lt;=69,"Battery D",
  --MacReports!M236&lt;=80,"Battery C",
 --MacReports!M236&gt;80,""
)</f>
        <v>Battery Defect</v>
      </c>
      <c r="O236" s="16" t="str">
        <f>IF(MacReports!I236="Service","Battery Service","")</f>
        <v/>
      </c>
      <c r="P236" s="13">
        <f>MacReports!P236</f>
        <v>0</v>
      </c>
      <c r="Q236" s="13" t="str">
        <f>IF(MacReports!J236="Enabled","Apple ID Lock","")</f>
        <v/>
      </c>
      <c r="R236" s="13" t="str">
        <f>IF(MacReports!L236="y","Remote Locked","")</f>
        <v/>
      </c>
      <c r="S236" t="str">
        <f t="shared" si="9"/>
        <v>Battery Defect, 0</v>
      </c>
      <c r="T236" t="str">
        <f>_xlfn.XLOOKUP(B236,Disk_Pivot!G:G,Disk_Pivot!I:I)</f>
        <v>Yes</v>
      </c>
      <c r="U236" t="str">
        <f>_xlfn.XLOOKUP(B236,Disk_Pivot!G:G,Disk_Pivot!N:N)</f>
        <v>Fail</v>
      </c>
      <c r="V236">
        <f>IF(U236="Fail",MacReports!N236,"")</f>
        <v>0</v>
      </c>
      <c r="AB236" t="str">
        <f t="shared" si="10"/>
        <v/>
      </c>
    </row>
    <row r="237" spans="1:28">
      <c r="A237" t="str">
        <f>MacReports!A237</f>
        <v/>
      </c>
      <c r="B237">
        <f>MacReports!B237</f>
        <v>0</v>
      </c>
      <c r="C237">
        <f>MacReports!C237</f>
        <v>0</v>
      </c>
      <c r="E237" t="e">
        <f>_xlfn.XLOOKUP(G237,Models!A:A,Models!F:F)</f>
        <v>#N/A</v>
      </c>
      <c r="F237" t="str">
        <f>_xlfn.XLOOKUP(B237,MacReports!B:B,MacReports!D:D,"")</f>
        <v/>
      </c>
      <c r="G237" s="13">
        <f>MacReports!E237</f>
        <v>0</v>
      </c>
      <c r="H237" t="e">
        <f>_xlfn.XLOOKUP(G237,Models!A:A,Models!B:B)</f>
        <v>#N/A</v>
      </c>
      <c r="I237" t="e">
        <f>_xlfn.XLOOKUP(G237,Models!A:A,Models!E:E)</f>
        <v>#N/A</v>
      </c>
      <c r="J237" t="e">
        <f>_xlfn.XLOOKUP(G237,Models!A:A,Models!D:D)</f>
        <v>#N/A</v>
      </c>
      <c r="K237">
        <f>MacReports!F237</f>
        <v>0</v>
      </c>
      <c r="L237">
        <f>MacReports!G237</f>
        <v>0</v>
      </c>
      <c r="M237" s="15" t="e" cm="1">
        <f t="array" ref="M237">--_xlfn.LET(
    _xlpm.txt, MacReports!H237,
    _xlpm.chars, MID(_xlpm.txt, _xlfn.SEQUENCE(LEN(_xlpm.txt)), 1),
    _xlfn.TEXTJOIN("", TRUE, IF(ISNUMBER(--_xlpm.chars), _xlpm.chars, ""))
)</f>
        <v>#VALUE!</v>
      </c>
      <c r="N237" s="16" t="str" cm="1">
        <f t="array" ref="N237">_xlfn.IFS(
   --MacReports!M237&lt;55,"Battery Defect",
  -- MacReports!M237&lt;=69,"Battery D",
  --MacReports!M237&lt;=80,"Battery C",
 --MacReports!M237&gt;80,""
)</f>
        <v>Battery Defect</v>
      </c>
      <c r="O237" s="16" t="str">
        <f>IF(MacReports!I237="Service","Battery Service","")</f>
        <v/>
      </c>
      <c r="P237" s="13">
        <f>MacReports!P237</f>
        <v>0</v>
      </c>
      <c r="Q237" s="13" t="str">
        <f>IF(MacReports!J237="Enabled","Apple ID Lock","")</f>
        <v/>
      </c>
      <c r="R237" s="13" t="str">
        <f>IF(MacReports!L237="y","Remote Locked","")</f>
        <v/>
      </c>
      <c r="S237" t="str">
        <f t="shared" si="9"/>
        <v>Battery Defect, 0</v>
      </c>
      <c r="T237" t="str">
        <f>_xlfn.XLOOKUP(B237,Disk_Pivot!G:G,Disk_Pivot!I:I)</f>
        <v>Yes</v>
      </c>
      <c r="U237" t="str">
        <f>_xlfn.XLOOKUP(B237,Disk_Pivot!G:G,Disk_Pivot!N:N)</f>
        <v>Fail</v>
      </c>
      <c r="V237">
        <f>IF(U237="Fail",MacReports!N237,"")</f>
        <v>0</v>
      </c>
      <c r="AB237" t="str">
        <f t="shared" si="10"/>
        <v/>
      </c>
    </row>
    <row r="238" spans="1:28">
      <c r="A238" t="str">
        <f>MacReports!A238</f>
        <v/>
      </c>
      <c r="B238">
        <f>MacReports!B238</f>
        <v>0</v>
      </c>
      <c r="C238">
        <f>MacReports!C238</f>
        <v>0</v>
      </c>
      <c r="E238" t="e">
        <f>_xlfn.XLOOKUP(G238,Models!A:A,Models!F:F)</f>
        <v>#N/A</v>
      </c>
      <c r="F238" t="str">
        <f>_xlfn.XLOOKUP(B238,MacReports!B:B,MacReports!D:D,"")</f>
        <v/>
      </c>
      <c r="G238" s="13">
        <f>MacReports!E238</f>
        <v>0</v>
      </c>
      <c r="H238" t="e">
        <f>_xlfn.XLOOKUP(G238,Models!A:A,Models!B:B)</f>
        <v>#N/A</v>
      </c>
      <c r="I238" t="e">
        <f>_xlfn.XLOOKUP(G238,Models!A:A,Models!E:E)</f>
        <v>#N/A</v>
      </c>
      <c r="J238" t="e">
        <f>_xlfn.XLOOKUP(G238,Models!A:A,Models!D:D)</f>
        <v>#N/A</v>
      </c>
      <c r="K238">
        <f>MacReports!F238</f>
        <v>0</v>
      </c>
      <c r="L238">
        <f>MacReports!G238</f>
        <v>0</v>
      </c>
      <c r="M238" s="15" t="e" cm="1">
        <f t="array" ref="M238">--_xlfn.LET(
    _xlpm.txt, MacReports!H238,
    _xlpm.chars, MID(_xlpm.txt, _xlfn.SEQUENCE(LEN(_xlpm.txt)), 1),
    _xlfn.TEXTJOIN("", TRUE, IF(ISNUMBER(--_xlpm.chars), _xlpm.chars, ""))
)</f>
        <v>#VALUE!</v>
      </c>
      <c r="N238" s="16" t="str" cm="1">
        <f t="array" ref="N238">_xlfn.IFS(
   --MacReports!M238&lt;55,"Battery Defect",
  -- MacReports!M238&lt;=69,"Battery D",
  --MacReports!M238&lt;=80,"Battery C",
 --MacReports!M238&gt;80,""
)</f>
        <v>Battery Defect</v>
      </c>
      <c r="O238" s="16" t="str">
        <f>IF(MacReports!I238="Service","Battery Service","")</f>
        <v/>
      </c>
      <c r="P238" s="13">
        <f>MacReports!P238</f>
        <v>0</v>
      </c>
      <c r="Q238" s="13" t="str">
        <f>IF(MacReports!J238="Enabled","Apple ID Lock","")</f>
        <v/>
      </c>
      <c r="R238" s="13" t="str">
        <f>IF(MacReports!L238="y","Remote Locked","")</f>
        <v/>
      </c>
      <c r="S238" t="str">
        <f t="shared" si="9"/>
        <v>Battery Defect, 0</v>
      </c>
      <c r="T238" t="str">
        <f>_xlfn.XLOOKUP(B238,Disk_Pivot!G:G,Disk_Pivot!I:I)</f>
        <v>Yes</v>
      </c>
      <c r="U238" t="str">
        <f>_xlfn.XLOOKUP(B238,Disk_Pivot!G:G,Disk_Pivot!N:N)</f>
        <v>Fail</v>
      </c>
      <c r="V238">
        <f>IF(U238="Fail",MacReports!N238,"")</f>
        <v>0</v>
      </c>
      <c r="AB238" t="str">
        <f t="shared" si="10"/>
        <v/>
      </c>
    </row>
    <row r="239" spans="1:28">
      <c r="A239" t="str">
        <f>MacReports!A239</f>
        <v/>
      </c>
      <c r="B239">
        <f>MacReports!B239</f>
        <v>0</v>
      </c>
      <c r="C239">
        <f>MacReports!C239</f>
        <v>0</v>
      </c>
      <c r="E239" t="e">
        <f>_xlfn.XLOOKUP(G239,Models!A:A,Models!F:F)</f>
        <v>#N/A</v>
      </c>
      <c r="F239" t="str">
        <f>_xlfn.XLOOKUP(B239,MacReports!B:B,MacReports!D:D,"")</f>
        <v/>
      </c>
      <c r="G239" s="13">
        <f>MacReports!E239</f>
        <v>0</v>
      </c>
      <c r="H239" t="e">
        <f>_xlfn.XLOOKUP(G239,Models!A:A,Models!B:B)</f>
        <v>#N/A</v>
      </c>
      <c r="I239" t="e">
        <f>_xlfn.XLOOKUP(G239,Models!A:A,Models!E:E)</f>
        <v>#N/A</v>
      </c>
      <c r="J239" t="e">
        <f>_xlfn.XLOOKUP(G239,Models!A:A,Models!D:D)</f>
        <v>#N/A</v>
      </c>
      <c r="K239">
        <f>MacReports!F239</f>
        <v>0</v>
      </c>
      <c r="L239">
        <f>MacReports!G239</f>
        <v>0</v>
      </c>
      <c r="M239" s="15" t="e" cm="1">
        <f t="array" ref="M239">--_xlfn.LET(
    _xlpm.txt, MacReports!H239,
    _xlpm.chars, MID(_xlpm.txt, _xlfn.SEQUENCE(LEN(_xlpm.txt)), 1),
    _xlfn.TEXTJOIN("", TRUE, IF(ISNUMBER(--_xlpm.chars), _xlpm.chars, ""))
)</f>
        <v>#VALUE!</v>
      </c>
      <c r="N239" s="16" t="str" cm="1">
        <f t="array" ref="N239">_xlfn.IFS(
   --MacReports!M239&lt;55,"Battery Defect",
  -- MacReports!M239&lt;=69,"Battery D",
  --MacReports!M239&lt;=80,"Battery C",
 --MacReports!M239&gt;80,""
)</f>
        <v>Battery Defect</v>
      </c>
      <c r="O239" s="16" t="str">
        <f>IF(MacReports!I239="Service","Battery Service","")</f>
        <v/>
      </c>
      <c r="P239" s="13">
        <f>MacReports!P239</f>
        <v>0</v>
      </c>
      <c r="Q239" s="13" t="str">
        <f>IF(MacReports!J239="Enabled","Apple ID Lock","")</f>
        <v/>
      </c>
      <c r="R239" s="13" t="str">
        <f>IF(MacReports!L239="y","Remote Locked","")</f>
        <v/>
      </c>
      <c r="S239" t="str">
        <f t="shared" si="9"/>
        <v>Battery Defect, 0</v>
      </c>
      <c r="T239" t="str">
        <f>_xlfn.XLOOKUP(B239,Disk_Pivot!G:G,Disk_Pivot!I:I)</f>
        <v>Yes</v>
      </c>
      <c r="U239" t="str">
        <f>_xlfn.XLOOKUP(B239,Disk_Pivot!G:G,Disk_Pivot!N:N)</f>
        <v>Fail</v>
      </c>
      <c r="V239">
        <f>IF(U239="Fail",MacReports!N239,"")</f>
        <v>0</v>
      </c>
      <c r="AB239" t="str">
        <f t="shared" si="10"/>
        <v/>
      </c>
    </row>
    <row r="240" spans="1:28">
      <c r="A240" t="str">
        <f>MacReports!A240</f>
        <v/>
      </c>
      <c r="B240">
        <f>MacReports!B240</f>
        <v>0</v>
      </c>
      <c r="C240">
        <f>MacReports!C240</f>
        <v>0</v>
      </c>
      <c r="E240" t="e">
        <f>_xlfn.XLOOKUP(G240,Models!A:A,Models!F:F)</f>
        <v>#N/A</v>
      </c>
      <c r="F240" t="str">
        <f>_xlfn.XLOOKUP(B240,MacReports!B:B,MacReports!D:D,"")</f>
        <v/>
      </c>
      <c r="G240" s="13">
        <f>MacReports!E240</f>
        <v>0</v>
      </c>
      <c r="H240" t="e">
        <f>_xlfn.XLOOKUP(G240,Models!A:A,Models!B:B)</f>
        <v>#N/A</v>
      </c>
      <c r="I240" t="e">
        <f>_xlfn.XLOOKUP(G240,Models!A:A,Models!E:E)</f>
        <v>#N/A</v>
      </c>
      <c r="J240" t="e">
        <f>_xlfn.XLOOKUP(G240,Models!A:A,Models!D:D)</f>
        <v>#N/A</v>
      </c>
      <c r="K240">
        <f>MacReports!F240</f>
        <v>0</v>
      </c>
      <c r="L240">
        <f>MacReports!G240</f>
        <v>0</v>
      </c>
      <c r="M240" s="15" t="e" cm="1">
        <f t="array" ref="M240">--_xlfn.LET(
    _xlpm.txt, MacReports!H240,
    _xlpm.chars, MID(_xlpm.txt, _xlfn.SEQUENCE(LEN(_xlpm.txt)), 1),
    _xlfn.TEXTJOIN("", TRUE, IF(ISNUMBER(--_xlpm.chars), _xlpm.chars, ""))
)</f>
        <v>#VALUE!</v>
      </c>
      <c r="N240" s="16" t="str" cm="1">
        <f t="array" ref="N240">_xlfn.IFS(
   --MacReports!M240&lt;55,"Battery Defect",
  -- MacReports!M240&lt;=69,"Battery D",
  --MacReports!M240&lt;=80,"Battery C",
 --MacReports!M240&gt;80,""
)</f>
        <v>Battery Defect</v>
      </c>
      <c r="O240" s="16" t="str">
        <f>IF(MacReports!I240="Service","Battery Service","")</f>
        <v/>
      </c>
      <c r="P240" s="13">
        <f>MacReports!P240</f>
        <v>0</v>
      </c>
      <c r="Q240" s="13" t="str">
        <f>IF(MacReports!J240="Enabled","Apple ID Lock","")</f>
        <v/>
      </c>
      <c r="R240" s="13" t="str">
        <f>IF(MacReports!L240="y","Remote Locked","")</f>
        <v/>
      </c>
      <c r="S240" t="str">
        <f t="shared" si="9"/>
        <v>Battery Defect, 0</v>
      </c>
      <c r="T240" t="str">
        <f>_xlfn.XLOOKUP(B240,Disk_Pivot!G:G,Disk_Pivot!I:I)</f>
        <v>Yes</v>
      </c>
      <c r="U240" t="str">
        <f>_xlfn.XLOOKUP(B240,Disk_Pivot!G:G,Disk_Pivot!N:N)</f>
        <v>Fail</v>
      </c>
      <c r="V240">
        <f>IF(U240="Fail",MacReports!N240,"")</f>
        <v>0</v>
      </c>
      <c r="AB240" t="str">
        <f t="shared" si="10"/>
        <v/>
      </c>
    </row>
    <row r="241" spans="1:28">
      <c r="A241" t="str">
        <f>MacReports!A241</f>
        <v/>
      </c>
      <c r="B241">
        <f>MacReports!B241</f>
        <v>0</v>
      </c>
      <c r="C241">
        <f>MacReports!C241</f>
        <v>0</v>
      </c>
      <c r="E241" t="e">
        <f>_xlfn.XLOOKUP(G241,Models!A:A,Models!F:F)</f>
        <v>#N/A</v>
      </c>
      <c r="F241" t="str">
        <f>_xlfn.XLOOKUP(B241,MacReports!B:B,MacReports!D:D,"")</f>
        <v/>
      </c>
      <c r="G241" s="13">
        <f>MacReports!E241</f>
        <v>0</v>
      </c>
      <c r="H241" t="e">
        <f>_xlfn.XLOOKUP(G241,Models!A:A,Models!B:B)</f>
        <v>#N/A</v>
      </c>
      <c r="I241" t="e">
        <f>_xlfn.XLOOKUP(G241,Models!A:A,Models!E:E)</f>
        <v>#N/A</v>
      </c>
      <c r="J241" t="e">
        <f>_xlfn.XLOOKUP(G241,Models!A:A,Models!D:D)</f>
        <v>#N/A</v>
      </c>
      <c r="K241">
        <f>MacReports!F241</f>
        <v>0</v>
      </c>
      <c r="L241">
        <f>MacReports!G241</f>
        <v>0</v>
      </c>
      <c r="M241" s="15" t="e" cm="1">
        <f t="array" ref="M241">--_xlfn.LET(
    _xlpm.txt, MacReports!H241,
    _xlpm.chars, MID(_xlpm.txt, _xlfn.SEQUENCE(LEN(_xlpm.txt)), 1),
    _xlfn.TEXTJOIN("", TRUE, IF(ISNUMBER(--_xlpm.chars), _xlpm.chars, ""))
)</f>
        <v>#VALUE!</v>
      </c>
      <c r="N241" s="16" t="str" cm="1">
        <f t="array" ref="N241">_xlfn.IFS(
   --MacReports!M241&lt;55,"Battery Defect",
  -- MacReports!M241&lt;=69,"Battery D",
  --MacReports!M241&lt;=80,"Battery C",
 --MacReports!M241&gt;80,""
)</f>
        <v>Battery Defect</v>
      </c>
      <c r="O241" s="16" t="str">
        <f>IF(MacReports!I241="Service","Battery Service","")</f>
        <v/>
      </c>
      <c r="P241" s="13">
        <f>MacReports!P241</f>
        <v>0</v>
      </c>
      <c r="Q241" s="13" t="str">
        <f>IF(MacReports!J241="Enabled","Apple ID Lock","")</f>
        <v/>
      </c>
      <c r="R241" s="13" t="str">
        <f>IF(MacReports!L241="y","Remote Locked","")</f>
        <v/>
      </c>
      <c r="S241" t="str">
        <f t="shared" si="9"/>
        <v>Battery Defect, 0</v>
      </c>
      <c r="T241" t="str">
        <f>_xlfn.XLOOKUP(B241,Disk_Pivot!G:G,Disk_Pivot!I:I)</f>
        <v>Yes</v>
      </c>
      <c r="U241" t="str">
        <f>_xlfn.XLOOKUP(B241,Disk_Pivot!G:G,Disk_Pivot!N:N)</f>
        <v>Fail</v>
      </c>
      <c r="V241">
        <f>IF(U241="Fail",MacReports!N241,"")</f>
        <v>0</v>
      </c>
      <c r="AB241" t="str">
        <f t="shared" si="10"/>
        <v/>
      </c>
    </row>
    <row r="242" spans="1:28">
      <c r="A242" t="str">
        <f>MacReports!A242</f>
        <v/>
      </c>
      <c r="B242">
        <f>MacReports!B242</f>
        <v>0</v>
      </c>
      <c r="C242">
        <f>MacReports!C242</f>
        <v>0</v>
      </c>
      <c r="E242" t="e">
        <f>_xlfn.XLOOKUP(G242,Models!A:A,Models!F:F)</f>
        <v>#N/A</v>
      </c>
      <c r="F242" t="str">
        <f>_xlfn.XLOOKUP(B242,MacReports!B:B,MacReports!D:D,"")</f>
        <v/>
      </c>
      <c r="G242" s="13">
        <f>MacReports!E242</f>
        <v>0</v>
      </c>
      <c r="H242" t="e">
        <f>_xlfn.XLOOKUP(G242,Models!A:A,Models!B:B)</f>
        <v>#N/A</v>
      </c>
      <c r="I242" t="e">
        <f>_xlfn.XLOOKUP(G242,Models!A:A,Models!E:E)</f>
        <v>#N/A</v>
      </c>
      <c r="J242" t="e">
        <f>_xlfn.XLOOKUP(G242,Models!A:A,Models!D:D)</f>
        <v>#N/A</v>
      </c>
      <c r="K242">
        <f>MacReports!F242</f>
        <v>0</v>
      </c>
      <c r="L242">
        <f>MacReports!G242</f>
        <v>0</v>
      </c>
      <c r="M242" s="15" t="e" cm="1">
        <f t="array" ref="M242">--_xlfn.LET(
    _xlpm.txt, MacReports!H242,
    _xlpm.chars, MID(_xlpm.txt, _xlfn.SEQUENCE(LEN(_xlpm.txt)), 1),
    _xlfn.TEXTJOIN("", TRUE, IF(ISNUMBER(--_xlpm.chars), _xlpm.chars, ""))
)</f>
        <v>#VALUE!</v>
      </c>
      <c r="N242" s="16" t="str" cm="1">
        <f t="array" ref="N242">_xlfn.IFS(
   --MacReports!M242&lt;55,"Battery Defect",
  -- MacReports!M242&lt;=69,"Battery D",
  --MacReports!M242&lt;=80,"Battery C",
 --MacReports!M242&gt;80,""
)</f>
        <v>Battery Defect</v>
      </c>
      <c r="O242" s="16" t="str">
        <f>IF(MacReports!I242="Service","Battery Service","")</f>
        <v/>
      </c>
      <c r="P242" s="13">
        <f>MacReports!P242</f>
        <v>0</v>
      </c>
      <c r="Q242" s="13" t="str">
        <f>IF(MacReports!J242="Enabled","Apple ID Lock","")</f>
        <v/>
      </c>
      <c r="R242" s="13" t="str">
        <f>IF(MacReports!L242="y","Remote Locked","")</f>
        <v/>
      </c>
      <c r="S242" t="str">
        <f t="shared" si="9"/>
        <v>Battery Defect, 0</v>
      </c>
      <c r="T242" t="str">
        <f>_xlfn.XLOOKUP(B242,Disk_Pivot!G:G,Disk_Pivot!I:I)</f>
        <v>Yes</v>
      </c>
      <c r="U242" t="str">
        <f>_xlfn.XLOOKUP(B242,Disk_Pivot!G:G,Disk_Pivot!N:N)</f>
        <v>Fail</v>
      </c>
      <c r="V242">
        <f>IF(U242="Fail",MacReports!N242,"")</f>
        <v>0</v>
      </c>
      <c r="AB242" t="str">
        <f t="shared" si="10"/>
        <v/>
      </c>
    </row>
    <row r="243" spans="1:28">
      <c r="A243" t="str">
        <f>MacReports!A243</f>
        <v/>
      </c>
      <c r="B243">
        <f>MacReports!B243</f>
        <v>0</v>
      </c>
      <c r="C243">
        <f>MacReports!C243</f>
        <v>0</v>
      </c>
      <c r="E243" t="e">
        <f>_xlfn.XLOOKUP(G243,Models!A:A,Models!F:F)</f>
        <v>#N/A</v>
      </c>
      <c r="F243" t="str">
        <f>_xlfn.XLOOKUP(B243,MacReports!B:B,MacReports!D:D,"")</f>
        <v/>
      </c>
      <c r="G243" s="13">
        <f>MacReports!E243</f>
        <v>0</v>
      </c>
      <c r="H243" t="e">
        <f>_xlfn.XLOOKUP(G243,Models!A:A,Models!B:B)</f>
        <v>#N/A</v>
      </c>
      <c r="I243" t="e">
        <f>_xlfn.XLOOKUP(G243,Models!A:A,Models!E:E)</f>
        <v>#N/A</v>
      </c>
      <c r="J243" t="e">
        <f>_xlfn.XLOOKUP(G243,Models!A:A,Models!D:D)</f>
        <v>#N/A</v>
      </c>
      <c r="K243">
        <f>MacReports!F243</f>
        <v>0</v>
      </c>
      <c r="L243">
        <f>MacReports!G243</f>
        <v>0</v>
      </c>
      <c r="M243" s="15" t="e" cm="1">
        <f t="array" ref="M243">--_xlfn.LET(
    _xlpm.txt, MacReports!H243,
    _xlpm.chars, MID(_xlpm.txt, _xlfn.SEQUENCE(LEN(_xlpm.txt)), 1),
    _xlfn.TEXTJOIN("", TRUE, IF(ISNUMBER(--_xlpm.chars), _xlpm.chars, ""))
)</f>
        <v>#VALUE!</v>
      </c>
      <c r="N243" s="16" t="str" cm="1">
        <f t="array" ref="N243">_xlfn.IFS(
   --MacReports!M243&lt;55,"Battery Defect",
  -- MacReports!M243&lt;=69,"Battery D",
  --MacReports!M243&lt;=80,"Battery C",
 --MacReports!M243&gt;80,""
)</f>
        <v>Battery Defect</v>
      </c>
      <c r="O243" s="16" t="str">
        <f>IF(MacReports!I243="Service","Battery Service","")</f>
        <v/>
      </c>
      <c r="P243" s="13">
        <f>MacReports!P243</f>
        <v>0</v>
      </c>
      <c r="Q243" s="13" t="str">
        <f>IF(MacReports!J243="Enabled","Apple ID Lock","")</f>
        <v/>
      </c>
      <c r="R243" s="13" t="str">
        <f>IF(MacReports!L243="y","Remote Locked","")</f>
        <v/>
      </c>
      <c r="S243" t="str">
        <f t="shared" si="9"/>
        <v>Battery Defect, 0</v>
      </c>
      <c r="T243" t="str">
        <f>_xlfn.XLOOKUP(B243,Disk_Pivot!G:G,Disk_Pivot!I:I)</f>
        <v>Yes</v>
      </c>
      <c r="U243" t="str">
        <f>_xlfn.XLOOKUP(B243,Disk_Pivot!G:G,Disk_Pivot!N:N)</f>
        <v>Fail</v>
      </c>
      <c r="V243">
        <f>IF(U243="Fail",MacReports!N243,"")</f>
        <v>0</v>
      </c>
      <c r="AB243" t="str">
        <f t="shared" si="10"/>
        <v/>
      </c>
    </row>
    <row r="244" spans="1:28">
      <c r="A244">
        <f>MacReports!A244</f>
        <v>0</v>
      </c>
      <c r="B244">
        <f>MacReports!B244</f>
        <v>0</v>
      </c>
      <c r="C244">
        <f>MacReports!C244</f>
        <v>0</v>
      </c>
      <c r="E244" t="e">
        <f>_xlfn.XLOOKUP(G244,Models!A:A,Models!F:F)</f>
        <v>#N/A</v>
      </c>
      <c r="F244" t="str">
        <f>_xlfn.XLOOKUP(B244,MacReports!B:B,MacReports!D:D,"")</f>
        <v/>
      </c>
      <c r="G244" s="13">
        <f>MacReports!E244</f>
        <v>0</v>
      </c>
      <c r="H244" t="e">
        <f>_xlfn.XLOOKUP(G244,Models!A:A,Models!B:B)</f>
        <v>#N/A</v>
      </c>
      <c r="I244" t="e">
        <f>_xlfn.XLOOKUP(G244,Models!A:A,Models!E:E)</f>
        <v>#N/A</v>
      </c>
      <c r="J244" t="e">
        <f>_xlfn.XLOOKUP(G244,Models!A:A,Models!D:D)</f>
        <v>#N/A</v>
      </c>
      <c r="K244">
        <f>MacReports!F244</f>
        <v>0</v>
      </c>
      <c r="L244">
        <f>MacReports!G244</f>
        <v>0</v>
      </c>
      <c r="M244" s="15" t="e" cm="1">
        <f t="array" ref="M244">--_xlfn.LET(
    _xlpm.txt, MacReports!H244,
    _xlpm.chars, MID(_xlpm.txt, _xlfn.SEQUENCE(LEN(_xlpm.txt)), 1),
    _xlfn.TEXTJOIN("", TRUE, IF(ISNUMBER(--_xlpm.chars), _xlpm.chars, ""))
)</f>
        <v>#VALUE!</v>
      </c>
      <c r="N244" s="16" t="str" cm="1">
        <f t="array" ref="N244">_xlfn.IFS(
   --MacReports!M244&lt;55,"Battery Defect",
  -- MacReports!M244&lt;=69,"Battery D",
  --MacReports!M244&lt;=80,"Battery C",
 --MacReports!M244&gt;80,""
)</f>
        <v>Battery Defect</v>
      </c>
      <c r="O244" s="16" t="str">
        <f>IF(MacReports!I244="Service","Battery Service","")</f>
        <v/>
      </c>
      <c r="P244" s="13">
        <f>MacReports!P244</f>
        <v>0</v>
      </c>
      <c r="Q244" s="13" t="str">
        <f>IF(MacReports!J244="Enabled","Apple ID Lock","")</f>
        <v/>
      </c>
      <c r="R244" s="13" t="str">
        <f>IF(MacReports!L244="y","Remote Locked","")</f>
        <v/>
      </c>
      <c r="S244" t="str">
        <f t="shared" si="9"/>
        <v>Battery Defect, 0</v>
      </c>
      <c r="T244" t="str">
        <f>_xlfn.XLOOKUP(B244,Disk_Pivot!G:G,Disk_Pivot!I:I)</f>
        <v>Yes</v>
      </c>
      <c r="U244" t="str">
        <f>_xlfn.XLOOKUP(B244,Disk_Pivot!G:G,Disk_Pivot!N:N)</f>
        <v>Fail</v>
      </c>
      <c r="V244">
        <f>IF(U244="Fail",MacReports!N244,"")</f>
        <v>0</v>
      </c>
      <c r="AB244" t="str">
        <f t="shared" si="10"/>
        <v/>
      </c>
    </row>
    <row r="245" spans="1:28">
      <c r="A245">
        <f>MacReports!A245</f>
        <v>0</v>
      </c>
      <c r="B245">
        <f>MacReports!B245</f>
        <v>0</v>
      </c>
      <c r="C245">
        <f>MacReports!C245</f>
        <v>0</v>
      </c>
      <c r="E245" t="e">
        <f>_xlfn.XLOOKUP(G245,Models!A:A,Models!F:F)</f>
        <v>#N/A</v>
      </c>
      <c r="F245" t="str">
        <f>_xlfn.XLOOKUP(B245,MacReports!B:B,MacReports!D:D,"")</f>
        <v/>
      </c>
      <c r="G245" s="13">
        <f>MacReports!E245</f>
        <v>0</v>
      </c>
      <c r="H245" t="e">
        <f>_xlfn.XLOOKUP(G245,Models!A:A,Models!B:B)</f>
        <v>#N/A</v>
      </c>
      <c r="I245" t="e">
        <f>_xlfn.XLOOKUP(G245,Models!A:A,Models!E:E)</f>
        <v>#N/A</v>
      </c>
      <c r="J245" t="e">
        <f>_xlfn.XLOOKUP(G245,Models!A:A,Models!D:D)</f>
        <v>#N/A</v>
      </c>
      <c r="K245">
        <f>MacReports!F245</f>
        <v>0</v>
      </c>
      <c r="L245">
        <f>MacReports!G245</f>
        <v>0</v>
      </c>
      <c r="M245" s="15" t="e" cm="1">
        <f t="array" ref="M245">--_xlfn.LET(
    _xlpm.txt, MacReports!H245,
    _xlpm.chars, MID(_xlpm.txt, _xlfn.SEQUENCE(LEN(_xlpm.txt)), 1),
    _xlfn.TEXTJOIN("", TRUE, IF(ISNUMBER(--_xlpm.chars), _xlpm.chars, ""))
)</f>
        <v>#VALUE!</v>
      </c>
      <c r="N245" s="16" t="str" cm="1">
        <f t="array" ref="N245">_xlfn.IFS(
   --MacReports!M245&lt;55,"Battery Defect",
  -- MacReports!M245&lt;=69,"Battery D",
  --MacReports!M245&lt;=80,"Battery C",
 --MacReports!M245&gt;80,""
)</f>
        <v>Battery Defect</v>
      </c>
      <c r="O245" s="16" t="str">
        <f>IF(MacReports!I245="Service","Battery Service","")</f>
        <v/>
      </c>
      <c r="P245" s="13">
        <f>MacReports!P245</f>
        <v>0</v>
      </c>
      <c r="Q245" s="13" t="str">
        <f>IF(MacReports!J245="Enabled","Apple ID Lock","")</f>
        <v/>
      </c>
      <c r="R245" s="13" t="str">
        <f>IF(MacReports!L245="y","Remote Locked","")</f>
        <v/>
      </c>
      <c r="S245" t="str">
        <f t="shared" si="9"/>
        <v>Battery Defect, 0</v>
      </c>
      <c r="T245" t="str">
        <f>_xlfn.XLOOKUP(B245,Disk_Pivot!G:G,Disk_Pivot!I:I)</f>
        <v>Yes</v>
      </c>
      <c r="U245" t="str">
        <f>_xlfn.XLOOKUP(B245,Disk_Pivot!G:G,Disk_Pivot!N:N)</f>
        <v>Fail</v>
      </c>
      <c r="V245">
        <f>IF(U245="Fail",MacReports!N245,"")</f>
        <v>0</v>
      </c>
      <c r="AB245" t="str">
        <f t="shared" si="10"/>
        <v/>
      </c>
    </row>
    <row r="246" spans="1:28">
      <c r="A246">
        <f>MacReports!A246</f>
        <v>0</v>
      </c>
      <c r="B246">
        <f>MacReports!B246</f>
        <v>0</v>
      </c>
      <c r="C246">
        <f>MacReports!C246</f>
        <v>0</v>
      </c>
      <c r="E246" t="e">
        <f>_xlfn.XLOOKUP(G246,Models!A:A,Models!F:F)</f>
        <v>#N/A</v>
      </c>
      <c r="F246" t="str">
        <f>_xlfn.XLOOKUP(B246,MacReports!B:B,MacReports!D:D,"")</f>
        <v/>
      </c>
      <c r="G246" s="13">
        <f>MacReports!E246</f>
        <v>0</v>
      </c>
      <c r="H246" t="e">
        <f>_xlfn.XLOOKUP(G246,Models!A:A,Models!B:B)</f>
        <v>#N/A</v>
      </c>
      <c r="I246" t="e">
        <f>_xlfn.XLOOKUP(G246,Models!A:A,Models!E:E)</f>
        <v>#N/A</v>
      </c>
      <c r="J246" t="e">
        <f>_xlfn.XLOOKUP(G246,Models!A:A,Models!D:D)</f>
        <v>#N/A</v>
      </c>
      <c r="K246">
        <f>MacReports!F246</f>
        <v>0</v>
      </c>
      <c r="L246">
        <f>MacReports!G246</f>
        <v>0</v>
      </c>
      <c r="M246" s="15" t="e" cm="1">
        <f t="array" ref="M246">--_xlfn.LET(
    _xlpm.txt, MacReports!H246,
    _xlpm.chars, MID(_xlpm.txt, _xlfn.SEQUENCE(LEN(_xlpm.txt)), 1),
    _xlfn.TEXTJOIN("", TRUE, IF(ISNUMBER(--_xlpm.chars), _xlpm.chars, ""))
)</f>
        <v>#VALUE!</v>
      </c>
      <c r="N246" s="16" t="str" cm="1">
        <f t="array" ref="N246">_xlfn.IFS(
   --MacReports!M246&lt;55,"Battery Defect",
  -- MacReports!M246&lt;=69,"Battery D",
  --MacReports!M246&lt;=80,"Battery C",
 --MacReports!M246&gt;80,""
)</f>
        <v>Battery Defect</v>
      </c>
      <c r="O246" s="16" t="str">
        <f>IF(MacReports!I246="Service","Battery Service","")</f>
        <v/>
      </c>
      <c r="P246" s="13">
        <f>MacReports!P246</f>
        <v>0</v>
      </c>
      <c r="Q246" s="13" t="str">
        <f>IF(MacReports!J246="Enabled","Apple ID Lock","")</f>
        <v/>
      </c>
      <c r="R246" s="13" t="str">
        <f>IF(MacReports!L246="y","Remote Locked","")</f>
        <v/>
      </c>
      <c r="S246" t="str">
        <f t="shared" si="9"/>
        <v>Battery Defect, 0</v>
      </c>
      <c r="T246" t="str">
        <f>_xlfn.XLOOKUP(B246,Disk_Pivot!G:G,Disk_Pivot!I:I)</f>
        <v>Yes</v>
      </c>
      <c r="U246" t="str">
        <f>_xlfn.XLOOKUP(B246,Disk_Pivot!G:G,Disk_Pivot!N:N)</f>
        <v>Fail</v>
      </c>
      <c r="V246">
        <f>IF(U246="Fail",MacReports!N246,"")</f>
        <v>0</v>
      </c>
      <c r="AB246" t="str">
        <f t="shared" si="10"/>
        <v/>
      </c>
    </row>
    <row r="247" spans="1:28">
      <c r="A247">
        <f>MacReports!A247</f>
        <v>0</v>
      </c>
      <c r="B247">
        <f>MacReports!B247</f>
        <v>0</v>
      </c>
      <c r="C247">
        <f>MacReports!C247</f>
        <v>0</v>
      </c>
      <c r="E247" t="e">
        <f>_xlfn.XLOOKUP(G247,Models!A:A,Models!F:F)</f>
        <v>#N/A</v>
      </c>
      <c r="F247" t="str">
        <f>_xlfn.XLOOKUP(B247,MacReports!B:B,MacReports!D:D,"")</f>
        <v/>
      </c>
      <c r="G247" s="13">
        <f>MacReports!E247</f>
        <v>0</v>
      </c>
      <c r="H247" t="e">
        <f>_xlfn.XLOOKUP(G247,Models!A:A,Models!B:B)</f>
        <v>#N/A</v>
      </c>
      <c r="I247" t="e">
        <f>_xlfn.XLOOKUP(G247,Models!A:A,Models!E:E)</f>
        <v>#N/A</v>
      </c>
      <c r="J247" t="e">
        <f>_xlfn.XLOOKUP(G247,Models!A:A,Models!D:D)</f>
        <v>#N/A</v>
      </c>
      <c r="K247">
        <f>MacReports!F247</f>
        <v>0</v>
      </c>
      <c r="L247">
        <f>MacReports!G247</f>
        <v>0</v>
      </c>
      <c r="M247" s="15" t="e" cm="1">
        <f t="array" ref="M247">--_xlfn.LET(
    _xlpm.txt, MacReports!H247,
    _xlpm.chars, MID(_xlpm.txt, _xlfn.SEQUENCE(LEN(_xlpm.txt)), 1),
    _xlfn.TEXTJOIN("", TRUE, IF(ISNUMBER(--_xlpm.chars), _xlpm.chars, ""))
)</f>
        <v>#VALUE!</v>
      </c>
      <c r="N247" s="16" t="str" cm="1">
        <f t="array" ref="N247">_xlfn.IFS(
   --MacReports!M247&lt;55,"Battery Defect",
  -- MacReports!M247&lt;=69,"Battery D",
  --MacReports!M247&lt;=80,"Battery C",
 --MacReports!M247&gt;80,""
)</f>
        <v>Battery Defect</v>
      </c>
      <c r="O247" s="16" t="str">
        <f>IF(MacReports!I247="Service","Battery Service","")</f>
        <v/>
      </c>
      <c r="P247" s="13">
        <f>MacReports!P247</f>
        <v>0</v>
      </c>
      <c r="Q247" s="13" t="str">
        <f>IF(MacReports!J247="Enabled","Apple ID Lock","")</f>
        <v/>
      </c>
      <c r="R247" s="13" t="str">
        <f>IF(MacReports!L247="y","Remote Locked","")</f>
        <v/>
      </c>
      <c r="S247" t="str">
        <f t="shared" si="9"/>
        <v>Battery Defect, 0</v>
      </c>
      <c r="T247" t="str">
        <f>_xlfn.XLOOKUP(B247,Disk_Pivot!G:G,Disk_Pivot!I:I)</f>
        <v>Yes</v>
      </c>
      <c r="U247" t="str">
        <f>_xlfn.XLOOKUP(B247,Disk_Pivot!G:G,Disk_Pivot!N:N)</f>
        <v>Fail</v>
      </c>
      <c r="V247">
        <f>IF(U247="Fail",MacReports!N247,"")</f>
        <v>0</v>
      </c>
      <c r="AB247" t="str">
        <f t="shared" si="10"/>
        <v/>
      </c>
    </row>
    <row r="248" spans="1:28">
      <c r="A248">
        <f>MacReports!A248</f>
        <v>0</v>
      </c>
      <c r="B248">
        <f>MacReports!B248</f>
        <v>0</v>
      </c>
      <c r="C248">
        <f>MacReports!C248</f>
        <v>0</v>
      </c>
      <c r="E248" t="e">
        <f>_xlfn.XLOOKUP(G248,Models!A:A,Models!F:F)</f>
        <v>#N/A</v>
      </c>
      <c r="F248" t="str">
        <f>_xlfn.XLOOKUP(B248,MacReports!B:B,MacReports!D:D,"")</f>
        <v/>
      </c>
      <c r="G248" s="13">
        <f>MacReports!E248</f>
        <v>0</v>
      </c>
      <c r="H248" t="e">
        <f>_xlfn.XLOOKUP(G248,Models!A:A,Models!B:B)</f>
        <v>#N/A</v>
      </c>
      <c r="I248" t="e">
        <f>_xlfn.XLOOKUP(G248,Models!A:A,Models!E:E)</f>
        <v>#N/A</v>
      </c>
      <c r="J248" t="e">
        <f>_xlfn.XLOOKUP(G248,Models!A:A,Models!D:D)</f>
        <v>#N/A</v>
      </c>
      <c r="K248">
        <f>MacReports!F248</f>
        <v>0</v>
      </c>
      <c r="L248">
        <f>MacReports!G248</f>
        <v>0</v>
      </c>
      <c r="M248" s="15" t="e" cm="1">
        <f t="array" ref="M248">--_xlfn.LET(
    _xlpm.txt, MacReports!H248,
    _xlpm.chars, MID(_xlpm.txt, _xlfn.SEQUENCE(LEN(_xlpm.txt)), 1),
    _xlfn.TEXTJOIN("", TRUE, IF(ISNUMBER(--_xlpm.chars), _xlpm.chars, ""))
)</f>
        <v>#VALUE!</v>
      </c>
      <c r="N248" s="16" t="str" cm="1">
        <f t="array" ref="N248">_xlfn.IFS(
   --MacReports!M248&lt;55,"Battery Defect",
  -- MacReports!M248&lt;=69,"Battery D",
  --MacReports!M248&lt;=80,"Battery C",
 --MacReports!M248&gt;80,""
)</f>
        <v>Battery Defect</v>
      </c>
      <c r="O248" s="16" t="str">
        <f>IF(MacReports!I248="Service","Battery Service","")</f>
        <v/>
      </c>
      <c r="P248" s="13">
        <f>MacReports!P248</f>
        <v>0</v>
      </c>
      <c r="Q248" s="13" t="str">
        <f>IF(MacReports!J248="Enabled","Apple ID Lock","")</f>
        <v/>
      </c>
      <c r="R248" s="13" t="str">
        <f>IF(MacReports!L248="y","Remote Locked","")</f>
        <v/>
      </c>
      <c r="S248" t="str">
        <f t="shared" si="9"/>
        <v>Battery Defect, 0</v>
      </c>
      <c r="T248" t="str">
        <f>_xlfn.XLOOKUP(B248,Disk_Pivot!G:G,Disk_Pivot!I:I)</f>
        <v>Yes</v>
      </c>
      <c r="U248" t="str">
        <f>_xlfn.XLOOKUP(B248,Disk_Pivot!G:G,Disk_Pivot!N:N)</f>
        <v>Fail</v>
      </c>
      <c r="V248">
        <f>IF(U248="Fail",MacReports!N248,"")</f>
        <v>0</v>
      </c>
      <c r="AB248" t="str">
        <f t="shared" si="10"/>
        <v/>
      </c>
    </row>
    <row r="249" spans="1:28">
      <c r="A249">
        <f>MacReports!A249</f>
        <v>0</v>
      </c>
      <c r="B249">
        <f>MacReports!B249</f>
        <v>0</v>
      </c>
      <c r="C249">
        <f>MacReports!C249</f>
        <v>0</v>
      </c>
      <c r="E249" t="e">
        <f>_xlfn.XLOOKUP(G249,Models!A:A,Models!F:F)</f>
        <v>#N/A</v>
      </c>
      <c r="F249" t="str">
        <f>_xlfn.XLOOKUP(B249,MacReports!B:B,MacReports!D:D,"")</f>
        <v/>
      </c>
      <c r="G249" s="13">
        <f>MacReports!E249</f>
        <v>0</v>
      </c>
      <c r="H249" t="e">
        <f>_xlfn.XLOOKUP(G249,Models!A:A,Models!B:B)</f>
        <v>#N/A</v>
      </c>
      <c r="I249" t="e">
        <f>_xlfn.XLOOKUP(G249,Models!A:A,Models!E:E)</f>
        <v>#N/A</v>
      </c>
      <c r="J249" t="e">
        <f>_xlfn.XLOOKUP(G249,Models!A:A,Models!D:D)</f>
        <v>#N/A</v>
      </c>
      <c r="K249">
        <f>MacReports!F249</f>
        <v>0</v>
      </c>
      <c r="L249">
        <f>MacReports!G249</f>
        <v>0</v>
      </c>
      <c r="M249" s="15" t="e" cm="1">
        <f t="array" ref="M249">--_xlfn.LET(
    _xlpm.txt, MacReports!H249,
    _xlpm.chars, MID(_xlpm.txt, _xlfn.SEQUENCE(LEN(_xlpm.txt)), 1),
    _xlfn.TEXTJOIN("", TRUE, IF(ISNUMBER(--_xlpm.chars), _xlpm.chars, ""))
)</f>
        <v>#VALUE!</v>
      </c>
      <c r="N249" s="16" t="str" cm="1">
        <f t="array" ref="N249">_xlfn.IFS(
   --MacReports!M249&lt;55,"Battery Defect",
  -- MacReports!M249&lt;=69,"Battery D",
  --MacReports!M249&lt;=80,"Battery C",
 --MacReports!M249&gt;80,""
)</f>
        <v>Battery Defect</v>
      </c>
      <c r="O249" s="16" t="str">
        <f>IF(MacReports!I249="Service","Battery Service","")</f>
        <v/>
      </c>
      <c r="P249" s="13">
        <f>MacReports!P249</f>
        <v>0</v>
      </c>
      <c r="Q249" s="13" t="str">
        <f>IF(MacReports!J249="Enabled","Apple ID Lock","")</f>
        <v/>
      </c>
      <c r="R249" s="13" t="str">
        <f>IF(MacReports!L249="y","Remote Locked","")</f>
        <v/>
      </c>
      <c r="S249" t="str">
        <f t="shared" si="9"/>
        <v>Battery Defect, 0</v>
      </c>
      <c r="T249" t="str">
        <f>_xlfn.XLOOKUP(B249,Disk_Pivot!G:G,Disk_Pivot!I:I)</f>
        <v>Yes</v>
      </c>
      <c r="U249" t="str">
        <f>_xlfn.XLOOKUP(B249,Disk_Pivot!G:G,Disk_Pivot!N:N)</f>
        <v>Fail</v>
      </c>
      <c r="V249">
        <f>IF(U249="Fail",MacReports!N249,"")</f>
        <v>0</v>
      </c>
      <c r="AB249" t="str">
        <f t="shared" si="10"/>
        <v/>
      </c>
    </row>
    <row r="250" spans="1:28">
      <c r="A250">
        <f>MacReports!A250</f>
        <v>0</v>
      </c>
      <c r="B250">
        <f>MacReports!B250</f>
        <v>0</v>
      </c>
      <c r="C250">
        <f>MacReports!C250</f>
        <v>0</v>
      </c>
      <c r="E250" t="e">
        <f>_xlfn.XLOOKUP(G250,Models!A:A,Models!F:F)</f>
        <v>#N/A</v>
      </c>
      <c r="F250" t="str">
        <f>_xlfn.XLOOKUP(B250,MacReports!B:B,MacReports!D:D,"")</f>
        <v/>
      </c>
      <c r="G250" s="13">
        <f>MacReports!E250</f>
        <v>0</v>
      </c>
      <c r="H250" t="e">
        <f>_xlfn.XLOOKUP(G250,Models!A:A,Models!B:B)</f>
        <v>#N/A</v>
      </c>
      <c r="I250" t="e">
        <f>_xlfn.XLOOKUP(G250,Models!A:A,Models!E:E)</f>
        <v>#N/A</v>
      </c>
      <c r="J250" t="e">
        <f>_xlfn.XLOOKUP(G250,Models!A:A,Models!D:D)</f>
        <v>#N/A</v>
      </c>
      <c r="K250">
        <f>MacReports!F250</f>
        <v>0</v>
      </c>
      <c r="L250">
        <f>MacReports!G250</f>
        <v>0</v>
      </c>
      <c r="M250" s="15" t="e" cm="1">
        <f t="array" ref="M250">--_xlfn.LET(
    _xlpm.txt, MacReports!H250,
    _xlpm.chars, MID(_xlpm.txt, _xlfn.SEQUENCE(LEN(_xlpm.txt)), 1),
    _xlfn.TEXTJOIN("", TRUE, IF(ISNUMBER(--_xlpm.chars), _xlpm.chars, ""))
)</f>
        <v>#VALUE!</v>
      </c>
      <c r="N250" s="16" t="str" cm="1">
        <f t="array" ref="N250">_xlfn.IFS(
   --MacReports!M250&lt;55,"Battery Defect",
  -- MacReports!M250&lt;=69,"Battery D",
  --MacReports!M250&lt;=80,"Battery C",
 --MacReports!M250&gt;80,""
)</f>
        <v>Battery Defect</v>
      </c>
      <c r="O250" s="16" t="str">
        <f>IF(MacReports!I250="Service","Battery Service","")</f>
        <v/>
      </c>
      <c r="P250" s="13">
        <f>MacReports!P250</f>
        <v>0</v>
      </c>
      <c r="Q250" s="13" t="str">
        <f>IF(MacReports!J250="Enabled","Apple ID Lock","")</f>
        <v/>
      </c>
      <c r="R250" s="13" t="str">
        <f>IF(MacReports!L250="y","Remote Locked","")</f>
        <v/>
      </c>
      <c r="S250" t="str">
        <f t="shared" si="9"/>
        <v>Battery Defect, 0</v>
      </c>
      <c r="T250" t="str">
        <f>_xlfn.XLOOKUP(B250,Disk_Pivot!G:G,Disk_Pivot!I:I)</f>
        <v>Yes</v>
      </c>
      <c r="U250" t="str">
        <f>_xlfn.XLOOKUP(B250,Disk_Pivot!G:G,Disk_Pivot!N:N)</f>
        <v>Fail</v>
      </c>
      <c r="V250">
        <f>IF(U250="Fail",MacReports!N250,"")</f>
        <v>0</v>
      </c>
      <c r="AB250" t="str">
        <f t="shared" si="10"/>
        <v/>
      </c>
    </row>
    <row r="251" spans="1:28">
      <c r="A251">
        <f>MacReports!A251</f>
        <v>0</v>
      </c>
      <c r="B251">
        <f>MacReports!B251</f>
        <v>0</v>
      </c>
      <c r="C251">
        <f>MacReports!C251</f>
        <v>0</v>
      </c>
      <c r="E251" t="e">
        <f>_xlfn.XLOOKUP(G251,Models!A:A,Models!F:F)</f>
        <v>#N/A</v>
      </c>
      <c r="F251" t="str">
        <f>_xlfn.XLOOKUP(B251,MacReports!B:B,MacReports!D:D,"")</f>
        <v/>
      </c>
      <c r="G251" s="13">
        <f>MacReports!E251</f>
        <v>0</v>
      </c>
      <c r="H251" t="e">
        <f>_xlfn.XLOOKUP(G251,Models!A:A,Models!B:B)</f>
        <v>#N/A</v>
      </c>
      <c r="I251" t="e">
        <f>_xlfn.XLOOKUP(G251,Models!A:A,Models!E:E)</f>
        <v>#N/A</v>
      </c>
      <c r="J251" t="e">
        <f>_xlfn.XLOOKUP(G251,Models!A:A,Models!D:D)</f>
        <v>#N/A</v>
      </c>
      <c r="K251">
        <f>MacReports!F251</f>
        <v>0</v>
      </c>
      <c r="L251">
        <f>MacReports!G251</f>
        <v>0</v>
      </c>
      <c r="M251" s="15" t="e" cm="1">
        <f t="array" ref="M251">--_xlfn.LET(
    _xlpm.txt, MacReports!H251,
    _xlpm.chars, MID(_xlpm.txt, _xlfn.SEQUENCE(LEN(_xlpm.txt)), 1),
    _xlfn.TEXTJOIN("", TRUE, IF(ISNUMBER(--_xlpm.chars), _xlpm.chars, ""))
)</f>
        <v>#VALUE!</v>
      </c>
      <c r="N251" s="16" t="str" cm="1">
        <f t="array" ref="N251">_xlfn.IFS(
   --MacReports!M251&lt;55,"Battery Defect",
  -- MacReports!M251&lt;=69,"Battery D",
  --MacReports!M251&lt;=80,"Battery C",
 --MacReports!M251&gt;80,""
)</f>
        <v>Battery Defect</v>
      </c>
      <c r="O251" s="16" t="str">
        <f>IF(MacReports!I251="Service","Battery Service","")</f>
        <v/>
      </c>
      <c r="P251" s="13">
        <f>MacReports!P251</f>
        <v>0</v>
      </c>
      <c r="Q251" s="13" t="str">
        <f>IF(MacReports!J251="Enabled","Apple ID Lock","")</f>
        <v/>
      </c>
      <c r="R251" s="13" t="str">
        <f>IF(MacReports!L251="y","Remote Locked","")</f>
        <v/>
      </c>
      <c r="S251" t="str">
        <f t="shared" si="9"/>
        <v>Battery Defect, 0</v>
      </c>
      <c r="T251" t="str">
        <f>_xlfn.XLOOKUP(B251,Disk_Pivot!G:G,Disk_Pivot!I:I)</f>
        <v>Yes</v>
      </c>
      <c r="U251" t="str">
        <f>_xlfn.XLOOKUP(B251,Disk_Pivot!G:G,Disk_Pivot!N:N)</f>
        <v>Fail</v>
      </c>
      <c r="V251">
        <f>IF(U251="Fail",MacReports!N251,"")</f>
        <v>0</v>
      </c>
      <c r="AB251" t="str">
        <f t="shared" si="10"/>
        <v/>
      </c>
    </row>
    <row r="252" spans="1:28">
      <c r="A252">
        <f>MacReports!A252</f>
        <v>0</v>
      </c>
      <c r="B252">
        <f>MacReports!B252</f>
        <v>0</v>
      </c>
      <c r="C252">
        <f>MacReports!C252</f>
        <v>0</v>
      </c>
      <c r="E252" t="e">
        <f>_xlfn.XLOOKUP(G252,Models!A:A,Models!F:F)</f>
        <v>#N/A</v>
      </c>
      <c r="F252" t="str">
        <f>_xlfn.XLOOKUP(B252,MacReports!B:B,MacReports!D:D,"")</f>
        <v/>
      </c>
      <c r="G252" s="13">
        <f>MacReports!E252</f>
        <v>0</v>
      </c>
      <c r="H252" t="e">
        <f>_xlfn.XLOOKUP(G252,Models!A:A,Models!B:B)</f>
        <v>#N/A</v>
      </c>
      <c r="I252" t="e">
        <f>_xlfn.XLOOKUP(G252,Models!A:A,Models!E:E)</f>
        <v>#N/A</v>
      </c>
      <c r="J252" t="e">
        <f>_xlfn.XLOOKUP(G252,Models!A:A,Models!D:D)</f>
        <v>#N/A</v>
      </c>
      <c r="K252">
        <f>MacReports!F252</f>
        <v>0</v>
      </c>
      <c r="L252">
        <f>MacReports!G252</f>
        <v>0</v>
      </c>
      <c r="M252" s="15" t="e" cm="1">
        <f t="array" ref="M252">--_xlfn.LET(
    _xlpm.txt, MacReports!H252,
    _xlpm.chars, MID(_xlpm.txt, _xlfn.SEQUENCE(LEN(_xlpm.txt)), 1),
    _xlfn.TEXTJOIN("", TRUE, IF(ISNUMBER(--_xlpm.chars), _xlpm.chars, ""))
)</f>
        <v>#VALUE!</v>
      </c>
      <c r="N252" s="16" t="str" cm="1">
        <f t="array" ref="N252">_xlfn.IFS(
   --MacReports!M252&lt;55,"Battery Defect",
  -- MacReports!M252&lt;=69,"Battery D",
  --MacReports!M252&lt;=80,"Battery C",
 --MacReports!M252&gt;80,""
)</f>
        <v>Battery Defect</v>
      </c>
      <c r="O252" s="16" t="str">
        <f>IF(MacReports!I252="Service","Battery Service","")</f>
        <v/>
      </c>
      <c r="P252" s="13">
        <f>MacReports!P252</f>
        <v>0</v>
      </c>
      <c r="Q252" s="13" t="str">
        <f>IF(MacReports!J252="Enabled","Apple ID Lock","")</f>
        <v/>
      </c>
      <c r="R252" s="13" t="str">
        <f>IF(MacReports!L252="y","Remote Locked","")</f>
        <v/>
      </c>
      <c r="S252" t="str">
        <f t="shared" si="9"/>
        <v>Battery Defect, 0</v>
      </c>
      <c r="T252" t="str">
        <f>_xlfn.XLOOKUP(B252,Disk_Pivot!G:G,Disk_Pivot!I:I)</f>
        <v>Yes</v>
      </c>
      <c r="U252" t="str">
        <f>_xlfn.XLOOKUP(B252,Disk_Pivot!G:G,Disk_Pivot!N:N)</f>
        <v>Fail</v>
      </c>
      <c r="V252">
        <f>IF(U252="Fail",MacReports!N252,"")</f>
        <v>0</v>
      </c>
      <c r="AB252" t="str">
        <f t="shared" si="10"/>
        <v/>
      </c>
    </row>
    <row r="253" spans="1:28">
      <c r="A253">
        <f>MacReports!A253</f>
        <v>0</v>
      </c>
      <c r="B253">
        <f>MacReports!B253</f>
        <v>0</v>
      </c>
      <c r="C253">
        <f>MacReports!C253</f>
        <v>0</v>
      </c>
      <c r="E253" t="e">
        <f>_xlfn.XLOOKUP(G253,Models!A:A,Models!F:F)</f>
        <v>#N/A</v>
      </c>
      <c r="F253" t="str">
        <f>_xlfn.XLOOKUP(B253,MacReports!B:B,MacReports!D:D,"")</f>
        <v/>
      </c>
      <c r="G253" s="13">
        <f>MacReports!E253</f>
        <v>0</v>
      </c>
      <c r="H253" t="e">
        <f>_xlfn.XLOOKUP(G253,Models!A:A,Models!B:B)</f>
        <v>#N/A</v>
      </c>
      <c r="I253" t="e">
        <f>_xlfn.XLOOKUP(G253,Models!A:A,Models!E:E)</f>
        <v>#N/A</v>
      </c>
      <c r="J253" t="e">
        <f>_xlfn.XLOOKUP(G253,Models!A:A,Models!D:D)</f>
        <v>#N/A</v>
      </c>
      <c r="K253">
        <f>MacReports!F253</f>
        <v>0</v>
      </c>
      <c r="L253">
        <f>MacReports!G253</f>
        <v>0</v>
      </c>
      <c r="M253" s="15" t="e" cm="1">
        <f t="array" ref="M253">--_xlfn.LET(
    _xlpm.txt, MacReports!H253,
    _xlpm.chars, MID(_xlpm.txt, _xlfn.SEQUENCE(LEN(_xlpm.txt)), 1),
    _xlfn.TEXTJOIN("", TRUE, IF(ISNUMBER(--_xlpm.chars), _xlpm.chars, ""))
)</f>
        <v>#VALUE!</v>
      </c>
      <c r="N253" s="16" t="str" cm="1">
        <f t="array" ref="N253">_xlfn.IFS(
   --MacReports!M253&lt;55,"Battery Defect",
  -- MacReports!M253&lt;=69,"Battery D",
  --MacReports!M253&lt;=80,"Battery C",
 --MacReports!M253&gt;80,""
)</f>
        <v>Battery Defect</v>
      </c>
      <c r="O253" s="16" t="str">
        <f>IF(MacReports!I253="Service","Battery Service","")</f>
        <v/>
      </c>
      <c r="P253" s="13">
        <f>MacReports!P253</f>
        <v>0</v>
      </c>
      <c r="Q253" s="13" t="str">
        <f>IF(MacReports!J253="Enabled","Apple ID Lock","")</f>
        <v/>
      </c>
      <c r="R253" s="13" t="str">
        <f>IF(MacReports!L253="y","Remote Locked","")</f>
        <v/>
      </c>
      <c r="S253" t="str">
        <f t="shared" si="9"/>
        <v>Battery Defect, 0</v>
      </c>
      <c r="T253" t="str">
        <f>_xlfn.XLOOKUP(B253,Disk_Pivot!G:G,Disk_Pivot!I:I)</f>
        <v>Yes</v>
      </c>
      <c r="U253" t="str">
        <f>_xlfn.XLOOKUP(B253,Disk_Pivot!G:G,Disk_Pivot!N:N)</f>
        <v>Fail</v>
      </c>
      <c r="V253">
        <f>IF(U253="Fail",MacReports!N253,"")</f>
        <v>0</v>
      </c>
      <c r="AB253" t="str">
        <f t="shared" si="10"/>
        <v/>
      </c>
    </row>
    <row r="254" spans="1:28">
      <c r="A254">
        <f>MacReports!A254</f>
        <v>0</v>
      </c>
      <c r="B254">
        <f>MacReports!B254</f>
        <v>0</v>
      </c>
      <c r="C254">
        <f>MacReports!C254</f>
        <v>0</v>
      </c>
      <c r="E254" t="e">
        <f>_xlfn.XLOOKUP(G254,Models!A:A,Models!F:F)</f>
        <v>#N/A</v>
      </c>
      <c r="F254" t="str">
        <f>_xlfn.XLOOKUP(B254,MacReports!B:B,MacReports!D:D,"")</f>
        <v/>
      </c>
      <c r="G254" s="13">
        <f>MacReports!E254</f>
        <v>0</v>
      </c>
      <c r="H254" t="e">
        <f>_xlfn.XLOOKUP(G254,Models!A:A,Models!B:B)</f>
        <v>#N/A</v>
      </c>
      <c r="I254" t="e">
        <f>_xlfn.XLOOKUP(G254,Models!A:A,Models!E:E)</f>
        <v>#N/A</v>
      </c>
      <c r="J254" t="e">
        <f>_xlfn.XLOOKUP(G254,Models!A:A,Models!D:D)</f>
        <v>#N/A</v>
      </c>
      <c r="K254">
        <f>MacReports!F254</f>
        <v>0</v>
      </c>
      <c r="L254">
        <f>MacReports!G254</f>
        <v>0</v>
      </c>
      <c r="M254" s="15" t="e" cm="1">
        <f t="array" ref="M254">--_xlfn.LET(
    _xlpm.txt, MacReports!H254,
    _xlpm.chars, MID(_xlpm.txt, _xlfn.SEQUENCE(LEN(_xlpm.txt)), 1),
    _xlfn.TEXTJOIN("", TRUE, IF(ISNUMBER(--_xlpm.chars), _xlpm.chars, ""))
)</f>
        <v>#VALUE!</v>
      </c>
      <c r="N254" s="16" t="str" cm="1">
        <f t="array" ref="N254">_xlfn.IFS(
   --MacReports!M254&lt;55,"Battery Defect",
  -- MacReports!M254&lt;=69,"Battery D",
  --MacReports!M254&lt;=80,"Battery C",
 --MacReports!M254&gt;80,""
)</f>
        <v>Battery Defect</v>
      </c>
      <c r="O254" s="16" t="str">
        <f>IF(MacReports!I254="Service","Battery Service","")</f>
        <v/>
      </c>
      <c r="P254" s="13">
        <f>MacReports!P254</f>
        <v>0</v>
      </c>
      <c r="Q254" s="13" t="str">
        <f>IF(MacReports!J254="Enabled","Apple ID Lock","")</f>
        <v/>
      </c>
      <c r="R254" s="13" t="str">
        <f>IF(MacReports!L254="y","Remote Locked","")</f>
        <v/>
      </c>
      <c r="S254" t="str">
        <f t="shared" si="9"/>
        <v>Battery Defect, 0</v>
      </c>
      <c r="T254" t="str">
        <f>_xlfn.XLOOKUP(B254,Disk_Pivot!G:G,Disk_Pivot!I:I)</f>
        <v>Yes</v>
      </c>
      <c r="U254" t="str">
        <f>_xlfn.XLOOKUP(B254,Disk_Pivot!G:G,Disk_Pivot!N:N)</f>
        <v>Fail</v>
      </c>
      <c r="V254">
        <f>IF(U254="Fail",MacReports!N254,"")</f>
        <v>0</v>
      </c>
      <c r="AB254" t="str">
        <f t="shared" si="10"/>
        <v/>
      </c>
    </row>
    <row r="255" spans="1:28">
      <c r="A255">
        <f>MacReports!A255</f>
        <v>0</v>
      </c>
      <c r="B255">
        <f>MacReports!B255</f>
        <v>0</v>
      </c>
      <c r="C255">
        <f>MacReports!C255</f>
        <v>0</v>
      </c>
      <c r="E255" t="e">
        <f>_xlfn.XLOOKUP(G255,Models!A:A,Models!F:F)</f>
        <v>#N/A</v>
      </c>
      <c r="F255" t="str">
        <f>_xlfn.XLOOKUP(B255,MacReports!B:B,MacReports!D:D,"")</f>
        <v/>
      </c>
      <c r="G255" s="13">
        <f>MacReports!E255</f>
        <v>0</v>
      </c>
      <c r="H255" t="e">
        <f>_xlfn.XLOOKUP(G255,Models!A:A,Models!B:B)</f>
        <v>#N/A</v>
      </c>
      <c r="I255" t="e">
        <f>_xlfn.XLOOKUP(G255,Models!A:A,Models!E:E)</f>
        <v>#N/A</v>
      </c>
      <c r="J255" t="e">
        <f>_xlfn.XLOOKUP(G255,Models!A:A,Models!D:D)</f>
        <v>#N/A</v>
      </c>
      <c r="K255">
        <f>MacReports!F255</f>
        <v>0</v>
      </c>
      <c r="L255">
        <f>MacReports!G255</f>
        <v>0</v>
      </c>
      <c r="M255" s="15" t="e" cm="1">
        <f t="array" ref="M255">--_xlfn.LET(
    _xlpm.txt, MacReports!H255,
    _xlpm.chars, MID(_xlpm.txt, _xlfn.SEQUENCE(LEN(_xlpm.txt)), 1),
    _xlfn.TEXTJOIN("", TRUE, IF(ISNUMBER(--_xlpm.chars), _xlpm.chars, ""))
)</f>
        <v>#VALUE!</v>
      </c>
      <c r="N255" s="16" t="str" cm="1">
        <f t="array" ref="N255">_xlfn.IFS(
   --MacReports!M255&lt;55,"Battery Defect",
  -- MacReports!M255&lt;=69,"Battery D",
  --MacReports!M255&lt;=80,"Battery C",
 --MacReports!M255&gt;80,""
)</f>
        <v>Battery Defect</v>
      </c>
      <c r="O255" s="16" t="str">
        <f>IF(MacReports!I255="Service","Battery Service","")</f>
        <v/>
      </c>
      <c r="P255" s="13">
        <f>MacReports!P255</f>
        <v>0</v>
      </c>
      <c r="Q255" s="13" t="str">
        <f>IF(MacReports!J255="Enabled","Apple ID Lock","")</f>
        <v/>
      </c>
      <c r="R255" s="13" t="str">
        <f>IF(MacReports!L255="y","Remote Locked","")</f>
        <v/>
      </c>
      <c r="S255" t="str">
        <f t="shared" si="9"/>
        <v>Battery Defect, 0</v>
      </c>
      <c r="T255" t="str">
        <f>_xlfn.XLOOKUP(B255,Disk_Pivot!G:G,Disk_Pivot!I:I)</f>
        <v>Yes</v>
      </c>
      <c r="U255" t="str">
        <f>_xlfn.XLOOKUP(B255,Disk_Pivot!G:G,Disk_Pivot!N:N)</f>
        <v>Fail</v>
      </c>
      <c r="V255">
        <f>IF(U255="Fail",MacReports!N255,"")</f>
        <v>0</v>
      </c>
      <c r="AB255" t="str">
        <f t="shared" si="10"/>
        <v/>
      </c>
    </row>
    <row r="256" spans="1:28">
      <c r="A256">
        <f>MacReports!A256</f>
        <v>0</v>
      </c>
      <c r="B256">
        <f>MacReports!B256</f>
        <v>0</v>
      </c>
      <c r="C256">
        <f>MacReports!C256</f>
        <v>0</v>
      </c>
      <c r="E256" t="e">
        <f>_xlfn.XLOOKUP(G256,Models!A:A,Models!F:F)</f>
        <v>#N/A</v>
      </c>
      <c r="F256" t="str">
        <f>_xlfn.XLOOKUP(B256,MacReports!B:B,MacReports!D:D,"")</f>
        <v/>
      </c>
      <c r="G256" s="13">
        <f>MacReports!E256</f>
        <v>0</v>
      </c>
      <c r="H256" t="e">
        <f>_xlfn.XLOOKUP(G256,Models!A:A,Models!B:B)</f>
        <v>#N/A</v>
      </c>
      <c r="I256" t="e">
        <f>_xlfn.XLOOKUP(G256,Models!A:A,Models!E:E)</f>
        <v>#N/A</v>
      </c>
      <c r="J256" t="e">
        <f>_xlfn.XLOOKUP(G256,Models!A:A,Models!D:D)</f>
        <v>#N/A</v>
      </c>
      <c r="K256">
        <f>MacReports!F256</f>
        <v>0</v>
      </c>
      <c r="L256">
        <f>MacReports!G256</f>
        <v>0</v>
      </c>
      <c r="M256" s="15" t="e" cm="1">
        <f t="array" ref="M256">--_xlfn.LET(
    _xlpm.txt, MacReports!H256,
    _xlpm.chars, MID(_xlpm.txt, _xlfn.SEQUENCE(LEN(_xlpm.txt)), 1),
    _xlfn.TEXTJOIN("", TRUE, IF(ISNUMBER(--_xlpm.chars), _xlpm.chars, ""))
)</f>
        <v>#VALUE!</v>
      </c>
      <c r="N256" s="16" t="str" cm="1">
        <f t="array" ref="N256">_xlfn.IFS(
   --MacReports!M256&lt;55,"Battery Defect",
  -- MacReports!M256&lt;=69,"Battery D",
  --MacReports!M256&lt;=80,"Battery C",
 --MacReports!M256&gt;80,""
)</f>
        <v>Battery Defect</v>
      </c>
      <c r="O256" s="16" t="str">
        <f>IF(MacReports!I256="Service","Battery Service","")</f>
        <v/>
      </c>
      <c r="P256" s="13">
        <f>MacReports!P256</f>
        <v>0</v>
      </c>
      <c r="Q256" s="13" t="str">
        <f>IF(MacReports!J256="Enabled","Apple ID Lock","")</f>
        <v/>
      </c>
      <c r="R256" s="13" t="str">
        <f>IF(MacReports!L256="y","Remote Locked","")</f>
        <v/>
      </c>
      <c r="S256" t="str">
        <f t="shared" si="9"/>
        <v>Battery Defect, 0</v>
      </c>
      <c r="T256" t="str">
        <f>_xlfn.XLOOKUP(B256,Disk_Pivot!G:G,Disk_Pivot!I:I)</f>
        <v>Yes</v>
      </c>
      <c r="U256" t="str">
        <f>_xlfn.XLOOKUP(B256,Disk_Pivot!G:G,Disk_Pivot!N:N)</f>
        <v>Fail</v>
      </c>
      <c r="V256">
        <f>IF(U256="Fail",MacReports!N256,"")</f>
        <v>0</v>
      </c>
      <c r="AB256" t="str">
        <f t="shared" si="10"/>
        <v/>
      </c>
    </row>
    <row r="257" spans="1:28">
      <c r="A257">
        <f>MacReports!A257</f>
        <v>0</v>
      </c>
      <c r="B257">
        <f>MacReports!B257</f>
        <v>0</v>
      </c>
      <c r="C257">
        <f>MacReports!C257</f>
        <v>0</v>
      </c>
      <c r="E257" t="e">
        <f>_xlfn.XLOOKUP(G257,Models!A:A,Models!F:F)</f>
        <v>#N/A</v>
      </c>
      <c r="F257" t="str">
        <f>_xlfn.XLOOKUP(B257,MacReports!B:B,MacReports!D:D,"")</f>
        <v/>
      </c>
      <c r="G257" s="13">
        <f>MacReports!E257</f>
        <v>0</v>
      </c>
      <c r="H257" t="e">
        <f>_xlfn.XLOOKUP(G257,Models!A:A,Models!B:B)</f>
        <v>#N/A</v>
      </c>
      <c r="I257" t="e">
        <f>_xlfn.XLOOKUP(G257,Models!A:A,Models!E:E)</f>
        <v>#N/A</v>
      </c>
      <c r="J257" t="e">
        <f>_xlfn.XLOOKUP(G257,Models!A:A,Models!D:D)</f>
        <v>#N/A</v>
      </c>
      <c r="K257">
        <f>MacReports!F257</f>
        <v>0</v>
      </c>
      <c r="L257">
        <f>MacReports!G257</f>
        <v>0</v>
      </c>
      <c r="M257" s="15" t="e" cm="1">
        <f t="array" ref="M257">--_xlfn.LET(
    _xlpm.txt, MacReports!H257,
    _xlpm.chars, MID(_xlpm.txt, _xlfn.SEQUENCE(LEN(_xlpm.txt)), 1),
    _xlfn.TEXTJOIN("", TRUE, IF(ISNUMBER(--_xlpm.chars), _xlpm.chars, ""))
)</f>
        <v>#VALUE!</v>
      </c>
      <c r="N257" s="16" t="str" cm="1">
        <f t="array" ref="N257">_xlfn.IFS(
   --MacReports!M257&lt;55,"Battery Defect",
  -- MacReports!M257&lt;=69,"Battery D",
  --MacReports!M257&lt;=80,"Battery C",
 --MacReports!M257&gt;80,""
)</f>
        <v>Battery Defect</v>
      </c>
      <c r="O257" s="16" t="str">
        <f>IF(MacReports!I257="Service","Battery Service","")</f>
        <v/>
      </c>
      <c r="P257" s="13">
        <f>MacReports!P257</f>
        <v>0</v>
      </c>
      <c r="Q257" s="13" t="str">
        <f>IF(MacReports!J257="Enabled","Apple ID Lock","")</f>
        <v/>
      </c>
      <c r="R257" s="13" t="str">
        <f>IF(MacReports!L257="y","Remote Locked","")</f>
        <v/>
      </c>
      <c r="S257" t="str">
        <f t="shared" si="9"/>
        <v>Battery Defect, 0</v>
      </c>
      <c r="T257" t="str">
        <f>_xlfn.XLOOKUP(B257,Disk_Pivot!G:G,Disk_Pivot!I:I)</f>
        <v>Yes</v>
      </c>
      <c r="U257" t="str">
        <f>_xlfn.XLOOKUP(B257,Disk_Pivot!G:G,Disk_Pivot!N:N)</f>
        <v>Fail</v>
      </c>
      <c r="V257">
        <f>IF(U257="Fail",MacReports!N257,"")</f>
        <v>0</v>
      </c>
      <c r="AB257" t="str">
        <f t="shared" si="10"/>
        <v/>
      </c>
    </row>
    <row r="258" spans="1:28">
      <c r="A258">
        <f>MacReports!A258</f>
        <v>0</v>
      </c>
      <c r="B258">
        <f>MacReports!B258</f>
        <v>0</v>
      </c>
      <c r="C258">
        <f>MacReports!C258</f>
        <v>0</v>
      </c>
      <c r="E258" t="e">
        <f>_xlfn.XLOOKUP(G258,Models!A:A,Models!F:F)</f>
        <v>#N/A</v>
      </c>
      <c r="F258" t="str">
        <f>_xlfn.XLOOKUP(B258,MacReports!B:B,MacReports!D:D,"")</f>
        <v/>
      </c>
      <c r="G258" s="13">
        <f>MacReports!E258</f>
        <v>0</v>
      </c>
      <c r="H258" t="e">
        <f>_xlfn.XLOOKUP(G258,Models!A:A,Models!B:B)</f>
        <v>#N/A</v>
      </c>
      <c r="I258" t="e">
        <f>_xlfn.XLOOKUP(G258,Models!A:A,Models!E:E)</f>
        <v>#N/A</v>
      </c>
      <c r="J258" t="e">
        <f>_xlfn.XLOOKUP(G258,Models!A:A,Models!D:D)</f>
        <v>#N/A</v>
      </c>
      <c r="K258">
        <f>MacReports!F258</f>
        <v>0</v>
      </c>
      <c r="L258">
        <f>MacReports!G258</f>
        <v>0</v>
      </c>
      <c r="M258" s="15" t="e" cm="1">
        <f t="array" ref="M258">--_xlfn.LET(
    _xlpm.txt, MacReports!H258,
    _xlpm.chars, MID(_xlpm.txt, _xlfn.SEQUENCE(LEN(_xlpm.txt)), 1),
    _xlfn.TEXTJOIN("", TRUE, IF(ISNUMBER(--_xlpm.chars), _xlpm.chars, ""))
)</f>
        <v>#VALUE!</v>
      </c>
      <c r="N258" s="16" t="str" cm="1">
        <f t="array" ref="N258">_xlfn.IFS(
   --MacReports!M258&lt;55,"Battery Defect",
  -- MacReports!M258&lt;=69,"Battery D",
  --MacReports!M258&lt;=80,"Battery C",
 --MacReports!M258&gt;80,""
)</f>
        <v>Battery Defect</v>
      </c>
      <c r="O258" s="16" t="str">
        <f>IF(MacReports!I258="Service","Battery Service","")</f>
        <v/>
      </c>
      <c r="P258" s="13">
        <f>MacReports!P258</f>
        <v>0</v>
      </c>
      <c r="Q258" s="13" t="str">
        <f>IF(MacReports!J258="Enabled","Apple ID Lock","")</f>
        <v/>
      </c>
      <c r="R258" s="13" t="str">
        <f>IF(MacReports!L258="y","Remote Locked","")</f>
        <v/>
      </c>
      <c r="S258" t="str">
        <f t="shared" si="9"/>
        <v>Battery Defect, 0</v>
      </c>
      <c r="T258" t="str">
        <f>_xlfn.XLOOKUP(B258,Disk_Pivot!G:G,Disk_Pivot!I:I)</f>
        <v>Yes</v>
      </c>
      <c r="U258" t="str">
        <f>_xlfn.XLOOKUP(B258,Disk_Pivot!G:G,Disk_Pivot!N:N)</f>
        <v>Fail</v>
      </c>
      <c r="V258">
        <f>IF(U258="Fail",MacReports!N258,"")</f>
        <v>0</v>
      </c>
      <c r="AB258" t="str">
        <f t="shared" si="10"/>
        <v/>
      </c>
    </row>
    <row r="259" spans="1:28">
      <c r="A259">
        <f>MacReports!A259</f>
        <v>0</v>
      </c>
      <c r="B259">
        <f>MacReports!B259</f>
        <v>0</v>
      </c>
      <c r="C259">
        <f>MacReports!C259</f>
        <v>0</v>
      </c>
      <c r="E259" t="e">
        <f>_xlfn.XLOOKUP(G259,Models!A:A,Models!F:F)</f>
        <v>#N/A</v>
      </c>
      <c r="F259" t="str">
        <f>_xlfn.XLOOKUP(B259,MacReports!B:B,MacReports!D:D,"")</f>
        <v/>
      </c>
      <c r="G259" s="13">
        <f>MacReports!E259</f>
        <v>0</v>
      </c>
      <c r="H259" t="e">
        <f>_xlfn.XLOOKUP(G259,Models!A:A,Models!B:B)</f>
        <v>#N/A</v>
      </c>
      <c r="I259" t="e">
        <f>_xlfn.XLOOKUP(G259,Models!A:A,Models!E:E)</f>
        <v>#N/A</v>
      </c>
      <c r="J259" t="e">
        <f>_xlfn.XLOOKUP(G259,Models!A:A,Models!D:D)</f>
        <v>#N/A</v>
      </c>
      <c r="K259">
        <f>MacReports!F259</f>
        <v>0</v>
      </c>
      <c r="L259">
        <f>MacReports!G259</f>
        <v>0</v>
      </c>
      <c r="M259" s="15" t="e" cm="1">
        <f t="array" ref="M259">--_xlfn.LET(
    _xlpm.txt, MacReports!H259,
    _xlpm.chars, MID(_xlpm.txt, _xlfn.SEQUENCE(LEN(_xlpm.txt)), 1),
    _xlfn.TEXTJOIN("", TRUE, IF(ISNUMBER(--_xlpm.chars), _xlpm.chars, ""))
)</f>
        <v>#VALUE!</v>
      </c>
      <c r="N259" s="16" t="str" cm="1">
        <f t="array" ref="N259">_xlfn.IFS(
   --MacReports!M259&lt;55,"Battery Defect",
  -- MacReports!M259&lt;=69,"Battery D",
  --MacReports!M259&lt;=80,"Battery C",
 --MacReports!M259&gt;80,""
)</f>
        <v>Battery Defect</v>
      </c>
      <c r="O259" s="16" t="str">
        <f>IF(MacReports!I259="Service","Battery Service","")</f>
        <v/>
      </c>
      <c r="P259" s="13">
        <f>MacReports!P259</f>
        <v>0</v>
      </c>
      <c r="Q259" s="13" t="str">
        <f>IF(MacReports!J259="Enabled","Apple ID Lock","")</f>
        <v/>
      </c>
      <c r="R259" s="13" t="str">
        <f>IF(MacReports!L259="y","Remote Locked","")</f>
        <v/>
      </c>
      <c r="S259" t="str">
        <f t="shared" si="9"/>
        <v>Battery Defect, 0</v>
      </c>
      <c r="T259" t="str">
        <f>_xlfn.XLOOKUP(B259,Disk_Pivot!G:G,Disk_Pivot!I:I)</f>
        <v>Yes</v>
      </c>
      <c r="U259" t="str">
        <f>_xlfn.XLOOKUP(B259,Disk_Pivot!G:G,Disk_Pivot!N:N)</f>
        <v>Fail</v>
      </c>
      <c r="V259">
        <f>IF(U259="Fail",MacReports!N259,"")</f>
        <v>0</v>
      </c>
      <c r="AB259" t="str">
        <f t="shared" si="10"/>
        <v/>
      </c>
    </row>
    <row r="260" spans="1:28">
      <c r="A260">
        <f>MacReports!A260</f>
        <v>0</v>
      </c>
      <c r="B260">
        <f>MacReports!B260</f>
        <v>0</v>
      </c>
      <c r="C260">
        <f>MacReports!C260</f>
        <v>0</v>
      </c>
      <c r="E260" t="e">
        <f>_xlfn.XLOOKUP(G260,Models!A:A,Models!F:F)</f>
        <v>#N/A</v>
      </c>
      <c r="F260" t="str">
        <f>_xlfn.XLOOKUP(B260,MacReports!B:B,MacReports!D:D,"")</f>
        <v/>
      </c>
      <c r="G260" s="13">
        <f>MacReports!E260</f>
        <v>0</v>
      </c>
      <c r="H260" t="e">
        <f>_xlfn.XLOOKUP(G260,Models!A:A,Models!B:B)</f>
        <v>#N/A</v>
      </c>
      <c r="I260" t="e">
        <f>_xlfn.XLOOKUP(G260,Models!A:A,Models!E:E)</f>
        <v>#N/A</v>
      </c>
      <c r="J260" t="e">
        <f>_xlfn.XLOOKUP(G260,Models!A:A,Models!D:D)</f>
        <v>#N/A</v>
      </c>
      <c r="K260">
        <f>MacReports!F260</f>
        <v>0</v>
      </c>
      <c r="L260">
        <f>MacReports!G260</f>
        <v>0</v>
      </c>
      <c r="M260" s="15" t="e" cm="1">
        <f t="array" ref="M260">--_xlfn.LET(
    _xlpm.txt, MacReports!H260,
    _xlpm.chars, MID(_xlpm.txt, _xlfn.SEQUENCE(LEN(_xlpm.txt)), 1),
    _xlfn.TEXTJOIN("", TRUE, IF(ISNUMBER(--_xlpm.chars), _xlpm.chars, ""))
)</f>
        <v>#VALUE!</v>
      </c>
      <c r="N260" s="16" t="str" cm="1">
        <f t="array" ref="N260">_xlfn.IFS(
   --MacReports!M260&lt;55,"Battery Defect",
  -- MacReports!M260&lt;=69,"Battery D",
  --MacReports!M260&lt;=80,"Battery C",
 --MacReports!M260&gt;80,""
)</f>
        <v>Battery Defect</v>
      </c>
      <c r="O260" s="16" t="str">
        <f>IF(MacReports!I260="Service","Battery Service","")</f>
        <v/>
      </c>
      <c r="P260" s="13">
        <f>MacReports!P260</f>
        <v>0</v>
      </c>
      <c r="Q260" s="13" t="str">
        <f>IF(MacReports!J260="Enabled","Apple ID Lock","")</f>
        <v/>
      </c>
      <c r="R260" s="13" t="str">
        <f>IF(MacReports!L260="y","Remote Locked","")</f>
        <v/>
      </c>
      <c r="S260" t="str">
        <f t="shared" si="9"/>
        <v>Battery Defect, 0</v>
      </c>
      <c r="T260" t="str">
        <f>_xlfn.XLOOKUP(B260,Disk_Pivot!G:G,Disk_Pivot!I:I)</f>
        <v>Yes</v>
      </c>
      <c r="U260" t="str">
        <f>_xlfn.XLOOKUP(B260,Disk_Pivot!G:G,Disk_Pivot!N:N)</f>
        <v>Fail</v>
      </c>
      <c r="V260">
        <f>IF(U260="Fail",MacReports!N260,"")</f>
        <v>0</v>
      </c>
      <c r="AB260" t="str">
        <f t="shared" si="10"/>
        <v/>
      </c>
    </row>
    <row r="261" spans="1:28">
      <c r="A261">
        <f>MacReports!A261</f>
        <v>0</v>
      </c>
      <c r="B261">
        <f>MacReports!B261</f>
        <v>0</v>
      </c>
      <c r="C261">
        <f>MacReports!C261</f>
        <v>0</v>
      </c>
      <c r="E261" t="e">
        <f>_xlfn.XLOOKUP(G261,Models!A:A,Models!F:F)</f>
        <v>#N/A</v>
      </c>
      <c r="F261" t="str">
        <f>_xlfn.XLOOKUP(B261,MacReports!B:B,MacReports!D:D,"")</f>
        <v/>
      </c>
      <c r="G261" s="13">
        <f>MacReports!E261</f>
        <v>0</v>
      </c>
      <c r="H261" t="e">
        <f>_xlfn.XLOOKUP(G261,Models!A:A,Models!B:B)</f>
        <v>#N/A</v>
      </c>
      <c r="I261" t="e">
        <f>_xlfn.XLOOKUP(G261,Models!A:A,Models!E:E)</f>
        <v>#N/A</v>
      </c>
      <c r="J261" t="e">
        <f>_xlfn.XLOOKUP(G261,Models!A:A,Models!D:D)</f>
        <v>#N/A</v>
      </c>
      <c r="K261">
        <f>MacReports!F261</f>
        <v>0</v>
      </c>
      <c r="L261">
        <f>MacReports!G261</f>
        <v>0</v>
      </c>
      <c r="M261" s="15" t="e" cm="1">
        <f t="array" ref="M261">--_xlfn.LET(
    _xlpm.txt, MacReports!H261,
    _xlpm.chars, MID(_xlpm.txt, _xlfn.SEQUENCE(LEN(_xlpm.txt)), 1),
    _xlfn.TEXTJOIN("", TRUE, IF(ISNUMBER(--_xlpm.chars), _xlpm.chars, ""))
)</f>
        <v>#VALUE!</v>
      </c>
      <c r="N261" s="16" t="str" cm="1">
        <f t="array" ref="N261">_xlfn.IFS(
   --MacReports!M261&lt;55,"Battery Defect",
  -- MacReports!M261&lt;=69,"Battery D",
  --MacReports!M261&lt;=80,"Battery C",
 --MacReports!M261&gt;80,""
)</f>
        <v>Battery Defect</v>
      </c>
      <c r="O261" s="16" t="str">
        <f>IF(MacReports!I261="Service","Battery Service","")</f>
        <v/>
      </c>
      <c r="P261" s="13">
        <f>MacReports!P261</f>
        <v>0</v>
      </c>
      <c r="Q261" s="13" t="str">
        <f>IF(MacReports!J261="Enabled","Apple ID Lock","")</f>
        <v/>
      </c>
      <c r="R261" s="13" t="str">
        <f>IF(MacReports!L261="y","Remote Locked","")</f>
        <v/>
      </c>
      <c r="S261" t="str">
        <f t="shared" si="9"/>
        <v>Battery Defect, 0</v>
      </c>
      <c r="T261" t="str">
        <f>_xlfn.XLOOKUP(B261,Disk_Pivot!G:G,Disk_Pivot!I:I)</f>
        <v>Yes</v>
      </c>
      <c r="U261" t="str">
        <f>_xlfn.XLOOKUP(B261,Disk_Pivot!G:G,Disk_Pivot!N:N)</f>
        <v>Fail</v>
      </c>
      <c r="V261">
        <f>IF(U261="Fail",MacReports!N261,"")</f>
        <v>0</v>
      </c>
      <c r="AB261" t="str">
        <f t="shared" si="10"/>
        <v/>
      </c>
    </row>
    <row r="262" spans="1:28">
      <c r="A262">
        <f>MacReports!A262</f>
        <v>0</v>
      </c>
      <c r="B262">
        <f>MacReports!B262</f>
        <v>0</v>
      </c>
      <c r="C262">
        <f>MacReports!C262</f>
        <v>0</v>
      </c>
      <c r="E262" t="e">
        <f>_xlfn.XLOOKUP(G262,Models!A:A,Models!F:F)</f>
        <v>#N/A</v>
      </c>
      <c r="F262" t="str">
        <f>_xlfn.XLOOKUP(B262,MacReports!B:B,MacReports!D:D,"")</f>
        <v/>
      </c>
      <c r="G262" s="13">
        <f>MacReports!E262</f>
        <v>0</v>
      </c>
      <c r="H262" t="e">
        <f>_xlfn.XLOOKUP(G262,Models!A:A,Models!B:B)</f>
        <v>#N/A</v>
      </c>
      <c r="I262" t="e">
        <f>_xlfn.XLOOKUP(G262,Models!A:A,Models!E:E)</f>
        <v>#N/A</v>
      </c>
      <c r="J262" t="e">
        <f>_xlfn.XLOOKUP(G262,Models!A:A,Models!D:D)</f>
        <v>#N/A</v>
      </c>
      <c r="K262">
        <f>MacReports!F262</f>
        <v>0</v>
      </c>
      <c r="L262">
        <f>MacReports!G262</f>
        <v>0</v>
      </c>
      <c r="M262" s="15" t="e" cm="1">
        <f t="array" ref="M262">--_xlfn.LET(
    _xlpm.txt, MacReports!H262,
    _xlpm.chars, MID(_xlpm.txt, _xlfn.SEQUENCE(LEN(_xlpm.txt)), 1),
    _xlfn.TEXTJOIN("", TRUE, IF(ISNUMBER(--_xlpm.chars), _xlpm.chars, ""))
)</f>
        <v>#VALUE!</v>
      </c>
      <c r="N262" s="16" t="str" cm="1">
        <f t="array" ref="N262">_xlfn.IFS(
   --MacReports!M262&lt;55,"Battery Defect",
  -- MacReports!M262&lt;=69,"Battery D",
  --MacReports!M262&lt;=80,"Battery C",
 --MacReports!M262&gt;80,""
)</f>
        <v>Battery Defect</v>
      </c>
      <c r="O262" s="16" t="str">
        <f>IF(MacReports!I262="Service","Battery Service","")</f>
        <v/>
      </c>
      <c r="P262" s="13">
        <f>MacReports!P262</f>
        <v>0</v>
      </c>
      <c r="Q262" s="13" t="str">
        <f>IF(MacReports!J262="Enabled","Apple ID Lock","")</f>
        <v/>
      </c>
      <c r="R262" s="13" t="str">
        <f>IF(MacReports!L262="y","Remote Locked","")</f>
        <v/>
      </c>
      <c r="S262" t="str">
        <f t="shared" si="9"/>
        <v>Battery Defect, 0</v>
      </c>
      <c r="T262" t="str">
        <f>_xlfn.XLOOKUP(B262,Disk_Pivot!G:G,Disk_Pivot!I:I)</f>
        <v>Yes</v>
      </c>
      <c r="U262" t="str">
        <f>_xlfn.XLOOKUP(B262,Disk_Pivot!G:G,Disk_Pivot!N:N)</f>
        <v>Fail</v>
      </c>
      <c r="V262">
        <f>IF(U262="Fail",MacReports!N262,"")</f>
        <v>0</v>
      </c>
      <c r="AB262" t="str">
        <f t="shared" si="10"/>
        <v/>
      </c>
    </row>
    <row r="263" spans="1:28">
      <c r="A263">
        <f>MacReports!A263</f>
        <v>0</v>
      </c>
      <c r="B263">
        <f>MacReports!B263</f>
        <v>0</v>
      </c>
      <c r="C263">
        <f>MacReports!C263</f>
        <v>0</v>
      </c>
      <c r="E263" t="e">
        <f>_xlfn.XLOOKUP(G263,Models!A:A,Models!F:F)</f>
        <v>#N/A</v>
      </c>
      <c r="F263" t="str">
        <f>_xlfn.XLOOKUP(B263,MacReports!B:B,MacReports!D:D,"")</f>
        <v/>
      </c>
      <c r="G263" s="13">
        <f>MacReports!E263</f>
        <v>0</v>
      </c>
      <c r="H263" t="e">
        <f>_xlfn.XLOOKUP(G263,Models!A:A,Models!B:B)</f>
        <v>#N/A</v>
      </c>
      <c r="I263" t="e">
        <f>_xlfn.XLOOKUP(G263,Models!A:A,Models!E:E)</f>
        <v>#N/A</v>
      </c>
      <c r="J263" t="e">
        <f>_xlfn.XLOOKUP(G263,Models!A:A,Models!D:D)</f>
        <v>#N/A</v>
      </c>
      <c r="K263">
        <f>MacReports!F263</f>
        <v>0</v>
      </c>
      <c r="L263">
        <f>MacReports!G263</f>
        <v>0</v>
      </c>
      <c r="M263" s="15" t="e" cm="1">
        <f t="array" ref="M263">--_xlfn.LET(
    _xlpm.txt, MacReports!H263,
    _xlpm.chars, MID(_xlpm.txt, _xlfn.SEQUENCE(LEN(_xlpm.txt)), 1),
    _xlfn.TEXTJOIN("", TRUE, IF(ISNUMBER(--_xlpm.chars), _xlpm.chars, ""))
)</f>
        <v>#VALUE!</v>
      </c>
      <c r="N263" s="16" t="str" cm="1">
        <f t="array" ref="N263">_xlfn.IFS(
   --MacReports!M263&lt;55,"Battery Defect",
  -- MacReports!M263&lt;=69,"Battery D",
  --MacReports!M263&lt;=80,"Battery C",
 --MacReports!M263&gt;80,""
)</f>
        <v>Battery Defect</v>
      </c>
      <c r="O263" s="16" t="str">
        <f>IF(MacReports!I263="Service","Battery Service","")</f>
        <v/>
      </c>
      <c r="P263" s="13">
        <f>MacReports!P263</f>
        <v>0</v>
      </c>
      <c r="Q263" s="13" t="str">
        <f>IF(MacReports!J263="Enabled","Apple ID Lock","")</f>
        <v/>
      </c>
      <c r="R263" s="13" t="str">
        <f>IF(MacReports!L263="y","Remote Locked","")</f>
        <v/>
      </c>
      <c r="S263" t="str">
        <f t="shared" si="9"/>
        <v>Battery Defect, 0</v>
      </c>
      <c r="T263" t="str">
        <f>_xlfn.XLOOKUP(B263,Disk_Pivot!G:G,Disk_Pivot!I:I)</f>
        <v>Yes</v>
      </c>
      <c r="U263" t="str">
        <f>_xlfn.XLOOKUP(B263,Disk_Pivot!G:G,Disk_Pivot!N:N)</f>
        <v>Fail</v>
      </c>
      <c r="V263">
        <f>IF(U263="Fail",MacReports!N263,"")</f>
        <v>0</v>
      </c>
      <c r="AB263" t="str">
        <f t="shared" si="10"/>
        <v/>
      </c>
    </row>
    <row r="264" spans="1:28">
      <c r="A264">
        <f>MacReports!A264</f>
        <v>0</v>
      </c>
      <c r="B264">
        <f>MacReports!B264</f>
        <v>0</v>
      </c>
      <c r="C264">
        <f>MacReports!C264</f>
        <v>0</v>
      </c>
      <c r="E264" t="e">
        <f>_xlfn.XLOOKUP(G264,Models!A:A,Models!F:F)</f>
        <v>#N/A</v>
      </c>
      <c r="F264" t="str">
        <f>_xlfn.XLOOKUP(B264,MacReports!B:B,MacReports!D:D,"")</f>
        <v/>
      </c>
      <c r="G264" s="13">
        <f>MacReports!E264</f>
        <v>0</v>
      </c>
      <c r="H264" t="e">
        <f>_xlfn.XLOOKUP(G264,Models!A:A,Models!B:B)</f>
        <v>#N/A</v>
      </c>
      <c r="I264" t="e">
        <f>_xlfn.XLOOKUP(G264,Models!A:A,Models!E:E)</f>
        <v>#N/A</v>
      </c>
      <c r="J264" t="e">
        <f>_xlfn.XLOOKUP(G264,Models!A:A,Models!D:D)</f>
        <v>#N/A</v>
      </c>
      <c r="K264">
        <f>MacReports!F264</f>
        <v>0</v>
      </c>
      <c r="L264">
        <f>MacReports!G264</f>
        <v>0</v>
      </c>
      <c r="M264" s="15" t="e" cm="1">
        <f t="array" ref="M264">--_xlfn.LET(
    _xlpm.txt, MacReports!H264,
    _xlpm.chars, MID(_xlpm.txt, _xlfn.SEQUENCE(LEN(_xlpm.txt)), 1),
    _xlfn.TEXTJOIN("", TRUE, IF(ISNUMBER(--_xlpm.chars), _xlpm.chars, ""))
)</f>
        <v>#VALUE!</v>
      </c>
      <c r="N264" s="16" t="str" cm="1">
        <f t="array" ref="N264">_xlfn.IFS(
   --MacReports!M264&lt;55,"Battery Defect",
  -- MacReports!M264&lt;=69,"Battery D",
  --MacReports!M264&lt;=80,"Battery C",
 --MacReports!M264&gt;80,""
)</f>
        <v>Battery Defect</v>
      </c>
      <c r="O264" s="16" t="str">
        <f>IF(MacReports!I264="Service","Battery Service","")</f>
        <v/>
      </c>
      <c r="P264" s="13">
        <f>MacReports!P264</f>
        <v>0</v>
      </c>
      <c r="Q264" s="13" t="str">
        <f>IF(MacReports!J264="Enabled","Apple ID Lock","")</f>
        <v/>
      </c>
      <c r="R264" s="13" t="str">
        <f>IF(MacReports!L264="y","Remote Locked","")</f>
        <v/>
      </c>
      <c r="S264" t="str">
        <f t="shared" si="9"/>
        <v>Battery Defect, 0</v>
      </c>
      <c r="T264" t="str">
        <f>_xlfn.XLOOKUP(B264,Disk_Pivot!G:G,Disk_Pivot!I:I)</f>
        <v>Yes</v>
      </c>
      <c r="U264" t="str">
        <f>_xlfn.XLOOKUP(B264,Disk_Pivot!G:G,Disk_Pivot!N:N)</f>
        <v>Fail</v>
      </c>
      <c r="V264">
        <f>IF(U264="Fail",MacReports!N264,"")</f>
        <v>0</v>
      </c>
      <c r="AB264" t="str">
        <f t="shared" si="10"/>
        <v/>
      </c>
    </row>
    <row r="265" spans="1:28">
      <c r="A265">
        <f>MacReports!A265</f>
        <v>0</v>
      </c>
      <c r="B265">
        <f>MacReports!B265</f>
        <v>0</v>
      </c>
      <c r="C265">
        <f>MacReports!C265</f>
        <v>0</v>
      </c>
      <c r="E265" t="e">
        <f>_xlfn.XLOOKUP(G265,Models!A:A,Models!F:F)</f>
        <v>#N/A</v>
      </c>
      <c r="F265" t="str">
        <f>_xlfn.XLOOKUP(B265,MacReports!B:B,MacReports!D:D,"")</f>
        <v/>
      </c>
      <c r="G265" s="13">
        <f>MacReports!E265</f>
        <v>0</v>
      </c>
      <c r="H265" t="e">
        <f>_xlfn.XLOOKUP(G265,Models!A:A,Models!B:B)</f>
        <v>#N/A</v>
      </c>
      <c r="I265" t="e">
        <f>_xlfn.XLOOKUP(G265,Models!A:A,Models!E:E)</f>
        <v>#N/A</v>
      </c>
      <c r="J265" t="e">
        <f>_xlfn.XLOOKUP(G265,Models!A:A,Models!D:D)</f>
        <v>#N/A</v>
      </c>
      <c r="K265">
        <f>MacReports!F265</f>
        <v>0</v>
      </c>
      <c r="L265">
        <f>MacReports!G265</f>
        <v>0</v>
      </c>
      <c r="M265" s="15" t="e" cm="1">
        <f t="array" ref="M265">--_xlfn.LET(
    _xlpm.txt, MacReports!H265,
    _xlpm.chars, MID(_xlpm.txt, _xlfn.SEQUENCE(LEN(_xlpm.txt)), 1),
    _xlfn.TEXTJOIN("", TRUE, IF(ISNUMBER(--_xlpm.chars), _xlpm.chars, ""))
)</f>
        <v>#VALUE!</v>
      </c>
      <c r="N265" s="16" t="str" cm="1">
        <f t="array" ref="N265">_xlfn.IFS(
   --MacReports!M265&lt;55,"Battery Defect",
  -- MacReports!M265&lt;=69,"Battery D",
  --MacReports!M265&lt;=80,"Battery C",
 --MacReports!M265&gt;80,""
)</f>
        <v>Battery Defect</v>
      </c>
      <c r="O265" s="16" t="str">
        <f>IF(MacReports!I265="Service","Battery Service","")</f>
        <v/>
      </c>
      <c r="P265" s="13">
        <f>MacReports!P265</f>
        <v>0</v>
      </c>
      <c r="Q265" s="13" t="str">
        <f>IF(MacReports!J265="Enabled","Apple ID Lock","")</f>
        <v/>
      </c>
      <c r="R265" s="13" t="str">
        <f>IF(MacReports!L265="y","Remote Locked","")</f>
        <v/>
      </c>
      <c r="S265" t="str">
        <f t="shared" si="9"/>
        <v>Battery Defect, 0</v>
      </c>
      <c r="T265" t="str">
        <f>_xlfn.XLOOKUP(B265,Disk_Pivot!G:G,Disk_Pivot!I:I)</f>
        <v>Yes</v>
      </c>
      <c r="U265" t="str">
        <f>_xlfn.XLOOKUP(B265,Disk_Pivot!G:G,Disk_Pivot!N:N)</f>
        <v>Fail</v>
      </c>
      <c r="V265">
        <f>IF(U265="Fail",MacReports!N265,"")</f>
        <v>0</v>
      </c>
      <c r="AB265" t="str">
        <f t="shared" si="10"/>
        <v/>
      </c>
    </row>
    <row r="266" spans="1:28">
      <c r="A266">
        <f>MacReports!A266</f>
        <v>0</v>
      </c>
      <c r="B266">
        <f>MacReports!B266</f>
        <v>0</v>
      </c>
      <c r="C266">
        <f>MacReports!C266</f>
        <v>0</v>
      </c>
      <c r="E266" t="e">
        <f>_xlfn.XLOOKUP(G266,Models!A:A,Models!F:F)</f>
        <v>#N/A</v>
      </c>
      <c r="F266" t="str">
        <f>_xlfn.XLOOKUP(B266,MacReports!B:B,MacReports!D:D,"")</f>
        <v/>
      </c>
      <c r="G266" s="13">
        <f>MacReports!E266</f>
        <v>0</v>
      </c>
      <c r="H266" t="e">
        <f>_xlfn.XLOOKUP(G266,Models!A:A,Models!B:B)</f>
        <v>#N/A</v>
      </c>
      <c r="I266" t="e">
        <f>_xlfn.XLOOKUP(G266,Models!A:A,Models!E:E)</f>
        <v>#N/A</v>
      </c>
      <c r="J266" t="e">
        <f>_xlfn.XLOOKUP(G266,Models!A:A,Models!D:D)</f>
        <v>#N/A</v>
      </c>
      <c r="K266">
        <f>MacReports!F266</f>
        <v>0</v>
      </c>
      <c r="L266">
        <f>MacReports!G266</f>
        <v>0</v>
      </c>
      <c r="M266" s="15" t="e" cm="1">
        <f t="array" ref="M266">--_xlfn.LET(
    _xlpm.txt, MacReports!H266,
    _xlpm.chars, MID(_xlpm.txt, _xlfn.SEQUENCE(LEN(_xlpm.txt)), 1),
    _xlfn.TEXTJOIN("", TRUE, IF(ISNUMBER(--_xlpm.chars), _xlpm.chars, ""))
)</f>
        <v>#VALUE!</v>
      </c>
      <c r="N266" s="16" t="str" cm="1">
        <f t="array" ref="N266">_xlfn.IFS(
   --MacReports!M266&lt;55,"Battery Defect",
  -- MacReports!M266&lt;=69,"Battery D",
  --MacReports!M266&lt;=80,"Battery C",
 --MacReports!M266&gt;80,""
)</f>
        <v>Battery Defect</v>
      </c>
      <c r="O266" s="16" t="str">
        <f>IF(MacReports!I266="Service","Battery Service","")</f>
        <v/>
      </c>
      <c r="P266" s="13">
        <f>MacReports!P266</f>
        <v>0</v>
      </c>
      <c r="Q266" s="13" t="str">
        <f>IF(MacReports!J266="Enabled","Apple ID Lock","")</f>
        <v/>
      </c>
      <c r="R266" s="13" t="str">
        <f>IF(MacReports!L266="y","Remote Locked","")</f>
        <v/>
      </c>
      <c r="S266" t="str">
        <f t="shared" si="9"/>
        <v>Battery Defect, 0</v>
      </c>
      <c r="T266" t="str">
        <f>_xlfn.XLOOKUP(B266,Disk_Pivot!G:G,Disk_Pivot!I:I)</f>
        <v>Yes</v>
      </c>
      <c r="U266" t="str">
        <f>_xlfn.XLOOKUP(B266,Disk_Pivot!G:G,Disk_Pivot!N:N)</f>
        <v>Fail</v>
      </c>
      <c r="V266">
        <f>IF(U266="Fail",MacReports!N266,"")</f>
        <v>0</v>
      </c>
      <c r="AB266" t="str">
        <f t="shared" si="10"/>
        <v/>
      </c>
    </row>
    <row r="267" spans="1:28">
      <c r="A267">
        <f>MacReports!A267</f>
        <v>0</v>
      </c>
      <c r="B267">
        <f>MacReports!B267</f>
        <v>0</v>
      </c>
      <c r="C267">
        <f>MacReports!C267</f>
        <v>0</v>
      </c>
      <c r="E267" t="e">
        <f>_xlfn.XLOOKUP(G267,Models!A:A,Models!F:F)</f>
        <v>#N/A</v>
      </c>
      <c r="F267" t="str">
        <f>_xlfn.XLOOKUP(B267,MacReports!B:B,MacReports!D:D,"")</f>
        <v/>
      </c>
      <c r="G267" s="13">
        <f>MacReports!E267</f>
        <v>0</v>
      </c>
      <c r="H267" t="e">
        <f>_xlfn.XLOOKUP(G267,Models!A:A,Models!B:B)</f>
        <v>#N/A</v>
      </c>
      <c r="I267" t="e">
        <f>_xlfn.XLOOKUP(G267,Models!A:A,Models!E:E)</f>
        <v>#N/A</v>
      </c>
      <c r="J267" t="e">
        <f>_xlfn.XLOOKUP(G267,Models!A:A,Models!D:D)</f>
        <v>#N/A</v>
      </c>
      <c r="K267">
        <f>MacReports!F267</f>
        <v>0</v>
      </c>
      <c r="L267">
        <f>MacReports!G267</f>
        <v>0</v>
      </c>
      <c r="M267" s="15" t="e" cm="1">
        <f t="array" ref="M267">--_xlfn.LET(
    _xlpm.txt, MacReports!H267,
    _xlpm.chars, MID(_xlpm.txt, _xlfn.SEQUENCE(LEN(_xlpm.txt)), 1),
    _xlfn.TEXTJOIN("", TRUE, IF(ISNUMBER(--_xlpm.chars), _xlpm.chars, ""))
)</f>
        <v>#VALUE!</v>
      </c>
      <c r="N267" s="16" t="str" cm="1">
        <f t="array" ref="N267">_xlfn.IFS(
   --MacReports!M267&lt;55,"Battery Defect",
  -- MacReports!M267&lt;=69,"Battery D",
  --MacReports!M267&lt;=80,"Battery C",
 --MacReports!M267&gt;80,""
)</f>
        <v>Battery Defect</v>
      </c>
      <c r="O267" s="16" t="str">
        <f>IF(MacReports!I267="Service","Battery Service","")</f>
        <v/>
      </c>
      <c r="P267" s="13">
        <f>MacReports!P267</f>
        <v>0</v>
      </c>
      <c r="Q267" s="13" t="str">
        <f>IF(MacReports!J267="Enabled","Apple ID Lock","")</f>
        <v/>
      </c>
      <c r="R267" s="13" t="str">
        <f>IF(MacReports!L267="y","Remote Locked","")</f>
        <v/>
      </c>
      <c r="S267" t="str">
        <f t="shared" si="9"/>
        <v>Battery Defect, 0</v>
      </c>
      <c r="T267" t="str">
        <f>_xlfn.XLOOKUP(B267,Disk_Pivot!G:G,Disk_Pivot!I:I)</f>
        <v>Yes</v>
      </c>
      <c r="U267" t="str">
        <f>_xlfn.XLOOKUP(B267,Disk_Pivot!G:G,Disk_Pivot!N:N)</f>
        <v>Fail</v>
      </c>
      <c r="V267">
        <f>IF(U267="Fail",MacReports!N267,"")</f>
        <v>0</v>
      </c>
      <c r="AB267" t="str">
        <f t="shared" si="10"/>
        <v/>
      </c>
    </row>
    <row r="268" spans="1:28">
      <c r="A268">
        <f>MacReports!A268</f>
        <v>0</v>
      </c>
      <c r="B268">
        <f>MacReports!B268</f>
        <v>0</v>
      </c>
      <c r="C268">
        <f>MacReports!C268</f>
        <v>0</v>
      </c>
      <c r="E268" t="e">
        <f>_xlfn.XLOOKUP(G268,Models!A:A,Models!F:F)</f>
        <v>#N/A</v>
      </c>
      <c r="F268" t="str">
        <f>_xlfn.XLOOKUP(B268,MacReports!B:B,MacReports!D:D,"")</f>
        <v/>
      </c>
      <c r="G268" s="13">
        <f>MacReports!E268</f>
        <v>0</v>
      </c>
      <c r="H268" t="e">
        <f>_xlfn.XLOOKUP(G268,Models!A:A,Models!B:B)</f>
        <v>#N/A</v>
      </c>
      <c r="I268" t="e">
        <f>_xlfn.XLOOKUP(G268,Models!A:A,Models!E:E)</f>
        <v>#N/A</v>
      </c>
      <c r="J268" t="e">
        <f>_xlfn.XLOOKUP(G268,Models!A:A,Models!D:D)</f>
        <v>#N/A</v>
      </c>
      <c r="K268">
        <f>MacReports!F268</f>
        <v>0</v>
      </c>
      <c r="L268">
        <f>MacReports!G268</f>
        <v>0</v>
      </c>
      <c r="M268" s="15" t="e" cm="1">
        <f t="array" ref="M268">--_xlfn.LET(
    _xlpm.txt, MacReports!H268,
    _xlpm.chars, MID(_xlpm.txt, _xlfn.SEQUENCE(LEN(_xlpm.txt)), 1),
    _xlfn.TEXTJOIN("", TRUE, IF(ISNUMBER(--_xlpm.chars), _xlpm.chars, ""))
)</f>
        <v>#VALUE!</v>
      </c>
      <c r="N268" s="16" t="str" cm="1">
        <f t="array" ref="N268">_xlfn.IFS(
   --MacReports!M268&lt;55,"Battery Defect",
  -- MacReports!M268&lt;=69,"Battery D",
  --MacReports!M268&lt;=80,"Battery C",
 --MacReports!M268&gt;80,""
)</f>
        <v>Battery Defect</v>
      </c>
      <c r="O268" s="16" t="str">
        <f>IF(MacReports!I268="Service","Battery Service","")</f>
        <v/>
      </c>
      <c r="P268" s="13">
        <f>MacReports!P268</f>
        <v>0</v>
      </c>
      <c r="Q268" s="13" t="str">
        <f>IF(MacReports!J268="Enabled","Apple ID Lock","")</f>
        <v/>
      </c>
      <c r="R268" s="13" t="str">
        <f>IF(MacReports!L268="y","Remote Locked","")</f>
        <v/>
      </c>
      <c r="S268" t="str">
        <f t="shared" si="9"/>
        <v>Battery Defect, 0</v>
      </c>
      <c r="T268" t="str">
        <f>_xlfn.XLOOKUP(B268,Disk_Pivot!G:G,Disk_Pivot!I:I)</f>
        <v>Yes</v>
      </c>
      <c r="U268" t="str">
        <f>_xlfn.XLOOKUP(B268,Disk_Pivot!G:G,Disk_Pivot!N:N)</f>
        <v>Fail</v>
      </c>
      <c r="V268">
        <f>IF(U268="Fail",MacReports!N268,"")</f>
        <v>0</v>
      </c>
      <c r="AB268" t="str">
        <f t="shared" si="10"/>
        <v/>
      </c>
    </row>
    <row r="269" spans="1:28">
      <c r="A269">
        <f>MacReports!A269</f>
        <v>0</v>
      </c>
      <c r="B269">
        <f>MacReports!B269</f>
        <v>0</v>
      </c>
      <c r="C269">
        <f>MacReports!C269</f>
        <v>0</v>
      </c>
      <c r="E269" t="e">
        <f>_xlfn.XLOOKUP(G269,Models!A:A,Models!F:F)</f>
        <v>#N/A</v>
      </c>
      <c r="F269" t="str">
        <f>_xlfn.XLOOKUP(B269,MacReports!B:B,MacReports!D:D,"")</f>
        <v/>
      </c>
      <c r="G269" s="13">
        <f>MacReports!E269</f>
        <v>0</v>
      </c>
      <c r="H269" t="e">
        <f>_xlfn.XLOOKUP(G269,Models!A:A,Models!B:B)</f>
        <v>#N/A</v>
      </c>
      <c r="I269" t="e">
        <f>_xlfn.XLOOKUP(G269,Models!A:A,Models!E:E)</f>
        <v>#N/A</v>
      </c>
      <c r="J269" t="e">
        <f>_xlfn.XLOOKUP(G269,Models!A:A,Models!D:D)</f>
        <v>#N/A</v>
      </c>
      <c r="K269">
        <f>MacReports!F269</f>
        <v>0</v>
      </c>
      <c r="L269">
        <f>MacReports!G269</f>
        <v>0</v>
      </c>
      <c r="M269" s="15" t="e" cm="1">
        <f t="array" ref="M269">--_xlfn.LET(
    _xlpm.txt, MacReports!H269,
    _xlpm.chars, MID(_xlpm.txt, _xlfn.SEQUENCE(LEN(_xlpm.txt)), 1),
    _xlfn.TEXTJOIN("", TRUE, IF(ISNUMBER(--_xlpm.chars), _xlpm.chars, ""))
)</f>
        <v>#VALUE!</v>
      </c>
      <c r="N269" s="16" t="str" cm="1">
        <f t="array" ref="N269">_xlfn.IFS(
   --MacReports!M269&lt;55,"Battery Defect",
  -- MacReports!M269&lt;=69,"Battery D",
  --MacReports!M269&lt;=80,"Battery C",
 --MacReports!M269&gt;80,""
)</f>
        <v>Battery Defect</v>
      </c>
      <c r="O269" s="16" t="str">
        <f>IF(MacReports!I269="Service","Battery Service","")</f>
        <v/>
      </c>
      <c r="P269" s="13">
        <f>MacReports!P269</f>
        <v>0</v>
      </c>
      <c r="Q269" s="13" t="str">
        <f>IF(MacReports!J269="Enabled","Apple ID Lock","")</f>
        <v/>
      </c>
      <c r="R269" s="13" t="str">
        <f>IF(MacReports!L269="y","Remote Locked","")</f>
        <v/>
      </c>
      <c r="S269" t="str">
        <f t="shared" si="9"/>
        <v>Battery Defect, 0</v>
      </c>
      <c r="T269" t="str">
        <f>_xlfn.XLOOKUP(B269,Disk_Pivot!G:G,Disk_Pivot!I:I)</f>
        <v>Yes</v>
      </c>
      <c r="U269" t="str">
        <f>_xlfn.XLOOKUP(B269,Disk_Pivot!G:G,Disk_Pivot!N:N)</f>
        <v>Fail</v>
      </c>
      <c r="V269">
        <f>IF(U269="Fail",MacReports!N269,"")</f>
        <v>0</v>
      </c>
      <c r="AB269" t="str">
        <f t="shared" si="10"/>
        <v/>
      </c>
    </row>
    <row r="270" spans="1:28">
      <c r="A270">
        <f>MacReports!A270</f>
        <v>0</v>
      </c>
      <c r="B270">
        <f>MacReports!B270</f>
        <v>0</v>
      </c>
      <c r="C270">
        <f>MacReports!C270</f>
        <v>0</v>
      </c>
      <c r="E270" t="e">
        <f>_xlfn.XLOOKUP(G270,Models!A:A,Models!F:F)</f>
        <v>#N/A</v>
      </c>
      <c r="F270" t="str">
        <f>_xlfn.XLOOKUP(B270,MacReports!B:B,MacReports!D:D,"")</f>
        <v/>
      </c>
      <c r="G270" s="13">
        <f>MacReports!E270</f>
        <v>0</v>
      </c>
      <c r="H270" t="e">
        <f>_xlfn.XLOOKUP(G270,Models!A:A,Models!B:B)</f>
        <v>#N/A</v>
      </c>
      <c r="I270" t="e">
        <f>_xlfn.XLOOKUP(G270,Models!A:A,Models!E:E)</f>
        <v>#N/A</v>
      </c>
      <c r="J270" t="e">
        <f>_xlfn.XLOOKUP(G270,Models!A:A,Models!D:D)</f>
        <v>#N/A</v>
      </c>
      <c r="K270">
        <f>MacReports!F270</f>
        <v>0</v>
      </c>
      <c r="L270">
        <f>MacReports!G270</f>
        <v>0</v>
      </c>
      <c r="M270" s="15" t="e" cm="1">
        <f t="array" ref="M270">--_xlfn.LET(
    _xlpm.txt, MacReports!H270,
    _xlpm.chars, MID(_xlpm.txt, _xlfn.SEQUENCE(LEN(_xlpm.txt)), 1),
    _xlfn.TEXTJOIN("", TRUE, IF(ISNUMBER(--_xlpm.chars), _xlpm.chars, ""))
)</f>
        <v>#VALUE!</v>
      </c>
      <c r="N270" s="16" t="str" cm="1">
        <f t="array" ref="N270">_xlfn.IFS(
   --MacReports!M270&lt;55,"Battery Defect",
  -- MacReports!M270&lt;=69,"Battery D",
  --MacReports!M270&lt;=80,"Battery C",
 --MacReports!M270&gt;80,""
)</f>
        <v>Battery Defect</v>
      </c>
      <c r="O270" s="16" t="str">
        <f>IF(MacReports!I270="Service","Battery Service","")</f>
        <v/>
      </c>
      <c r="P270" s="13">
        <f>MacReports!P270</f>
        <v>0</v>
      </c>
      <c r="Q270" s="13" t="str">
        <f>IF(MacReports!J270="Enabled","Apple ID Lock","")</f>
        <v/>
      </c>
      <c r="R270" s="13" t="str">
        <f>IF(MacReports!L270="y","Remote Locked","")</f>
        <v/>
      </c>
      <c r="S270" t="str">
        <f t="shared" si="9"/>
        <v>Battery Defect, 0</v>
      </c>
      <c r="T270" t="str">
        <f>_xlfn.XLOOKUP(B270,Disk_Pivot!G:G,Disk_Pivot!I:I)</f>
        <v>Yes</v>
      </c>
      <c r="U270" t="str">
        <f>_xlfn.XLOOKUP(B270,Disk_Pivot!G:G,Disk_Pivot!N:N)</f>
        <v>Fail</v>
      </c>
      <c r="V270">
        <f>IF(U270="Fail",MacReports!N270,"")</f>
        <v>0</v>
      </c>
      <c r="AB270" t="str">
        <f t="shared" si="10"/>
        <v/>
      </c>
    </row>
    <row r="271" spans="1:28">
      <c r="A271">
        <f>MacReports!A271</f>
        <v>0</v>
      </c>
      <c r="B271">
        <f>MacReports!B271</f>
        <v>0</v>
      </c>
      <c r="C271">
        <f>MacReports!C271</f>
        <v>0</v>
      </c>
      <c r="E271" t="e">
        <f>_xlfn.XLOOKUP(G271,Models!A:A,Models!F:F)</f>
        <v>#N/A</v>
      </c>
      <c r="F271" t="str">
        <f>_xlfn.XLOOKUP(B271,MacReports!B:B,MacReports!D:D,"")</f>
        <v/>
      </c>
      <c r="G271" s="13">
        <f>MacReports!E271</f>
        <v>0</v>
      </c>
      <c r="H271" t="e">
        <f>_xlfn.XLOOKUP(G271,Models!A:A,Models!B:B)</f>
        <v>#N/A</v>
      </c>
      <c r="I271" t="e">
        <f>_xlfn.XLOOKUP(G271,Models!A:A,Models!E:E)</f>
        <v>#N/A</v>
      </c>
      <c r="J271" t="e">
        <f>_xlfn.XLOOKUP(G271,Models!A:A,Models!D:D)</f>
        <v>#N/A</v>
      </c>
      <c r="K271">
        <f>MacReports!F271</f>
        <v>0</v>
      </c>
      <c r="L271">
        <f>MacReports!G271</f>
        <v>0</v>
      </c>
      <c r="M271" s="15" t="e" cm="1">
        <f t="array" ref="M271">--_xlfn.LET(
    _xlpm.txt, MacReports!H271,
    _xlpm.chars, MID(_xlpm.txt, _xlfn.SEQUENCE(LEN(_xlpm.txt)), 1),
    _xlfn.TEXTJOIN("", TRUE, IF(ISNUMBER(--_xlpm.chars), _xlpm.chars, ""))
)</f>
        <v>#VALUE!</v>
      </c>
      <c r="N271" s="16" t="str" cm="1">
        <f t="array" ref="N271">_xlfn.IFS(
   --MacReports!M271&lt;55,"Battery Defect",
  -- MacReports!M271&lt;=69,"Battery D",
  --MacReports!M271&lt;=80,"Battery C",
 --MacReports!M271&gt;80,""
)</f>
        <v>Battery Defect</v>
      </c>
      <c r="O271" s="16" t="str">
        <f>IF(MacReports!I271="Service","Battery Service","")</f>
        <v/>
      </c>
      <c r="P271" s="13">
        <f>MacReports!P271</f>
        <v>0</v>
      </c>
      <c r="Q271" s="13" t="str">
        <f>IF(MacReports!J271="Enabled","Apple ID Lock","")</f>
        <v/>
      </c>
      <c r="R271" s="13" t="str">
        <f>IF(MacReports!L271="y","Remote Locked","")</f>
        <v/>
      </c>
      <c r="S271" t="str">
        <f t="shared" si="9"/>
        <v>Battery Defect, 0</v>
      </c>
      <c r="T271" t="str">
        <f>_xlfn.XLOOKUP(B271,Disk_Pivot!G:G,Disk_Pivot!I:I)</f>
        <v>Yes</v>
      </c>
      <c r="U271" t="str">
        <f>_xlfn.XLOOKUP(B271,Disk_Pivot!G:G,Disk_Pivot!N:N)</f>
        <v>Fail</v>
      </c>
      <c r="V271">
        <f>IF(U271="Fail",MacReports!N271,"")</f>
        <v>0</v>
      </c>
      <c r="AB271" t="str">
        <f t="shared" si="10"/>
        <v/>
      </c>
    </row>
    <row r="272" spans="1:28">
      <c r="A272">
        <f>MacReports!A272</f>
        <v>0</v>
      </c>
      <c r="B272">
        <f>MacReports!B272</f>
        <v>0</v>
      </c>
      <c r="C272">
        <f>MacReports!C272</f>
        <v>0</v>
      </c>
      <c r="E272" t="e">
        <f>_xlfn.XLOOKUP(G272,Models!A:A,Models!F:F)</f>
        <v>#N/A</v>
      </c>
      <c r="F272" t="str">
        <f>_xlfn.XLOOKUP(B272,MacReports!B:B,MacReports!D:D,"")</f>
        <v/>
      </c>
      <c r="G272" s="13">
        <f>MacReports!E272</f>
        <v>0</v>
      </c>
      <c r="H272" t="e">
        <f>_xlfn.XLOOKUP(G272,Models!A:A,Models!B:B)</f>
        <v>#N/A</v>
      </c>
      <c r="I272" t="e">
        <f>_xlfn.XLOOKUP(G272,Models!A:A,Models!E:E)</f>
        <v>#N/A</v>
      </c>
      <c r="J272" t="e">
        <f>_xlfn.XLOOKUP(G272,Models!A:A,Models!D:D)</f>
        <v>#N/A</v>
      </c>
      <c r="K272">
        <f>MacReports!F272</f>
        <v>0</v>
      </c>
      <c r="L272">
        <f>MacReports!G272</f>
        <v>0</v>
      </c>
      <c r="M272" s="15" t="e" cm="1">
        <f t="array" ref="M272">--_xlfn.LET(
    _xlpm.txt, MacReports!H272,
    _xlpm.chars, MID(_xlpm.txt, _xlfn.SEQUENCE(LEN(_xlpm.txt)), 1),
    _xlfn.TEXTJOIN("", TRUE, IF(ISNUMBER(--_xlpm.chars), _xlpm.chars, ""))
)</f>
        <v>#VALUE!</v>
      </c>
      <c r="N272" s="16" t="str" cm="1">
        <f t="array" ref="N272">_xlfn.IFS(
   --MacReports!M272&lt;55,"Battery Defect",
  -- MacReports!M272&lt;=69,"Battery D",
  --MacReports!M272&lt;=80,"Battery C",
 --MacReports!M272&gt;80,""
)</f>
        <v>Battery Defect</v>
      </c>
      <c r="O272" s="16" t="str">
        <f>IF(MacReports!I272="Service","Battery Service","")</f>
        <v/>
      </c>
      <c r="P272" s="13">
        <f>MacReports!P272</f>
        <v>0</v>
      </c>
      <c r="Q272" s="13" t="str">
        <f>IF(MacReports!J272="Enabled","Apple ID Lock","")</f>
        <v/>
      </c>
      <c r="R272" s="13" t="str">
        <f>IF(MacReports!L272="y","Remote Locked","")</f>
        <v/>
      </c>
      <c r="S272" t="str">
        <f t="shared" si="9"/>
        <v>Battery Defect, 0</v>
      </c>
      <c r="T272" t="str">
        <f>_xlfn.XLOOKUP(B272,Disk_Pivot!G:G,Disk_Pivot!I:I)</f>
        <v>Yes</v>
      </c>
      <c r="U272" t="str">
        <f>_xlfn.XLOOKUP(B272,Disk_Pivot!G:G,Disk_Pivot!N:N)</f>
        <v>Fail</v>
      </c>
      <c r="V272">
        <f>IF(U272="Fail",MacReports!N272,"")</f>
        <v>0</v>
      </c>
      <c r="AB272" t="str">
        <f t="shared" si="10"/>
        <v/>
      </c>
    </row>
    <row r="273" spans="1:28">
      <c r="A273">
        <f>MacReports!A273</f>
        <v>0</v>
      </c>
      <c r="B273">
        <f>MacReports!B273</f>
        <v>0</v>
      </c>
      <c r="C273">
        <f>MacReports!C273</f>
        <v>0</v>
      </c>
      <c r="E273" t="e">
        <f>_xlfn.XLOOKUP(G273,Models!A:A,Models!F:F)</f>
        <v>#N/A</v>
      </c>
      <c r="F273" t="str">
        <f>_xlfn.XLOOKUP(B273,MacReports!B:B,MacReports!D:D,"")</f>
        <v/>
      </c>
      <c r="G273" s="13">
        <f>MacReports!E273</f>
        <v>0</v>
      </c>
      <c r="H273" t="e">
        <f>_xlfn.XLOOKUP(G273,Models!A:A,Models!B:B)</f>
        <v>#N/A</v>
      </c>
      <c r="I273" t="e">
        <f>_xlfn.XLOOKUP(G273,Models!A:A,Models!E:E)</f>
        <v>#N/A</v>
      </c>
      <c r="J273" t="e">
        <f>_xlfn.XLOOKUP(G273,Models!A:A,Models!D:D)</f>
        <v>#N/A</v>
      </c>
      <c r="K273">
        <f>MacReports!F273</f>
        <v>0</v>
      </c>
      <c r="L273">
        <f>MacReports!G273</f>
        <v>0</v>
      </c>
      <c r="M273" s="15" t="e" cm="1">
        <f t="array" ref="M273">--_xlfn.LET(
    _xlpm.txt, MacReports!H273,
    _xlpm.chars, MID(_xlpm.txt, _xlfn.SEQUENCE(LEN(_xlpm.txt)), 1),
    _xlfn.TEXTJOIN("", TRUE, IF(ISNUMBER(--_xlpm.chars), _xlpm.chars, ""))
)</f>
        <v>#VALUE!</v>
      </c>
      <c r="N273" s="16" t="str" cm="1">
        <f t="array" ref="N273">_xlfn.IFS(
   --MacReports!M273&lt;55,"Battery Defect",
  -- MacReports!M273&lt;=69,"Battery D",
  --MacReports!M273&lt;=80,"Battery C",
 --MacReports!M273&gt;80,""
)</f>
        <v>Battery Defect</v>
      </c>
      <c r="O273" s="16" t="str">
        <f>IF(MacReports!I273="Service","Battery Service","")</f>
        <v/>
      </c>
      <c r="P273" s="13">
        <f>MacReports!P273</f>
        <v>0</v>
      </c>
      <c r="Q273" s="13" t="str">
        <f>IF(MacReports!J273="Enabled","Apple ID Lock","")</f>
        <v/>
      </c>
      <c r="R273" s="13" t="str">
        <f>IF(MacReports!L273="y","Remote Locked","")</f>
        <v/>
      </c>
      <c r="S273" t="str">
        <f t="shared" si="9"/>
        <v>Battery Defect, 0</v>
      </c>
      <c r="T273" t="str">
        <f>_xlfn.XLOOKUP(B273,Disk_Pivot!G:G,Disk_Pivot!I:I)</f>
        <v>Yes</v>
      </c>
      <c r="U273" t="str">
        <f>_xlfn.XLOOKUP(B273,Disk_Pivot!G:G,Disk_Pivot!N:N)</f>
        <v>Fail</v>
      </c>
      <c r="V273">
        <f>IF(U273="Fail",MacReports!N273,"")</f>
        <v>0</v>
      </c>
      <c r="AB273" t="str">
        <f t="shared" si="10"/>
        <v/>
      </c>
    </row>
    <row r="274" spans="1:28">
      <c r="A274">
        <f>MacReports!A274</f>
        <v>0</v>
      </c>
      <c r="B274">
        <f>MacReports!B274</f>
        <v>0</v>
      </c>
      <c r="C274">
        <f>MacReports!C274</f>
        <v>0</v>
      </c>
      <c r="E274" t="e">
        <f>_xlfn.XLOOKUP(G274,Models!A:A,Models!F:F)</f>
        <v>#N/A</v>
      </c>
      <c r="F274" t="str">
        <f>_xlfn.XLOOKUP(B274,MacReports!B:B,MacReports!D:D,"")</f>
        <v/>
      </c>
      <c r="G274" s="13">
        <f>MacReports!E274</f>
        <v>0</v>
      </c>
      <c r="H274" t="e">
        <f>_xlfn.XLOOKUP(G274,Models!A:A,Models!B:B)</f>
        <v>#N/A</v>
      </c>
      <c r="I274" t="e">
        <f>_xlfn.XLOOKUP(G274,Models!A:A,Models!E:E)</f>
        <v>#N/A</v>
      </c>
      <c r="J274" t="e">
        <f>_xlfn.XLOOKUP(G274,Models!A:A,Models!D:D)</f>
        <v>#N/A</v>
      </c>
      <c r="K274">
        <f>MacReports!F274</f>
        <v>0</v>
      </c>
      <c r="L274">
        <f>MacReports!G274</f>
        <v>0</v>
      </c>
      <c r="M274" s="15" t="e" cm="1">
        <f t="array" ref="M274">--_xlfn.LET(
    _xlpm.txt, MacReports!H274,
    _xlpm.chars, MID(_xlpm.txt, _xlfn.SEQUENCE(LEN(_xlpm.txt)), 1),
    _xlfn.TEXTJOIN("", TRUE, IF(ISNUMBER(--_xlpm.chars), _xlpm.chars, ""))
)</f>
        <v>#VALUE!</v>
      </c>
      <c r="N274" s="16" t="str" cm="1">
        <f t="array" ref="N274">_xlfn.IFS(
   --MacReports!M274&lt;55,"Battery Defect",
  -- MacReports!M274&lt;=69,"Battery D",
  --MacReports!M274&lt;=80,"Battery C",
 --MacReports!M274&gt;80,""
)</f>
        <v>Battery Defect</v>
      </c>
      <c r="O274" s="16" t="str">
        <f>IF(MacReports!I274="Service","Battery Service","")</f>
        <v/>
      </c>
      <c r="P274" s="13">
        <f>MacReports!P274</f>
        <v>0</v>
      </c>
      <c r="Q274" s="13" t="str">
        <f>IF(MacReports!J274="Enabled","Apple ID Lock","")</f>
        <v/>
      </c>
      <c r="R274" s="13" t="str">
        <f>IF(MacReports!L274="y","Remote Locked","")</f>
        <v/>
      </c>
      <c r="S274" t="str">
        <f t="shared" si="9"/>
        <v>Battery Defect, 0</v>
      </c>
      <c r="T274" t="str">
        <f>_xlfn.XLOOKUP(B274,Disk_Pivot!G:G,Disk_Pivot!I:I)</f>
        <v>Yes</v>
      </c>
      <c r="U274" t="str">
        <f>_xlfn.XLOOKUP(B274,Disk_Pivot!G:G,Disk_Pivot!N:N)</f>
        <v>Fail</v>
      </c>
      <c r="V274">
        <f>IF(U274="Fail",MacReports!N274,"")</f>
        <v>0</v>
      </c>
      <c r="AB274" t="str">
        <f t="shared" si="10"/>
        <v/>
      </c>
    </row>
    <row r="275" spans="1:28">
      <c r="A275">
        <f>MacReports!A275</f>
        <v>0</v>
      </c>
      <c r="B275">
        <f>MacReports!B275</f>
        <v>0</v>
      </c>
      <c r="C275">
        <f>MacReports!C275</f>
        <v>0</v>
      </c>
      <c r="E275" t="e">
        <f>_xlfn.XLOOKUP(G275,Models!A:A,Models!F:F)</f>
        <v>#N/A</v>
      </c>
      <c r="F275" t="str">
        <f>_xlfn.XLOOKUP(B275,MacReports!B:B,MacReports!D:D,"")</f>
        <v/>
      </c>
      <c r="G275" s="13">
        <f>MacReports!E275</f>
        <v>0</v>
      </c>
      <c r="H275" t="e">
        <f>_xlfn.XLOOKUP(G275,Models!A:A,Models!B:B)</f>
        <v>#N/A</v>
      </c>
      <c r="I275" t="e">
        <f>_xlfn.XLOOKUP(G275,Models!A:A,Models!E:E)</f>
        <v>#N/A</v>
      </c>
      <c r="J275" t="e">
        <f>_xlfn.XLOOKUP(G275,Models!A:A,Models!D:D)</f>
        <v>#N/A</v>
      </c>
      <c r="K275">
        <f>MacReports!F275</f>
        <v>0</v>
      </c>
      <c r="L275">
        <f>MacReports!G275</f>
        <v>0</v>
      </c>
      <c r="M275" s="15" t="e" cm="1">
        <f t="array" ref="M275">--_xlfn.LET(
    _xlpm.txt, MacReports!H275,
    _xlpm.chars, MID(_xlpm.txt, _xlfn.SEQUENCE(LEN(_xlpm.txt)), 1),
    _xlfn.TEXTJOIN("", TRUE, IF(ISNUMBER(--_xlpm.chars), _xlpm.chars, ""))
)</f>
        <v>#VALUE!</v>
      </c>
      <c r="N275" s="16" t="str" cm="1">
        <f t="array" ref="N275">_xlfn.IFS(
   --MacReports!M275&lt;55,"Battery Defect",
  -- MacReports!M275&lt;=69,"Battery D",
  --MacReports!M275&lt;=80,"Battery C",
 --MacReports!M275&gt;80,""
)</f>
        <v>Battery Defect</v>
      </c>
      <c r="O275" s="16" t="str">
        <f>IF(MacReports!I275="Service","Battery Service","")</f>
        <v/>
      </c>
      <c r="P275" s="13">
        <f>MacReports!P275</f>
        <v>0</v>
      </c>
      <c r="Q275" s="13" t="str">
        <f>IF(MacReports!J275="Enabled","Apple ID Lock","")</f>
        <v/>
      </c>
      <c r="R275" s="13" t="str">
        <f>IF(MacReports!L275="y","Remote Locked","")</f>
        <v/>
      </c>
      <c r="S275" t="str">
        <f t="shared" si="9"/>
        <v>Battery Defect, 0</v>
      </c>
      <c r="T275" t="str">
        <f>_xlfn.XLOOKUP(B275,Disk_Pivot!G:G,Disk_Pivot!I:I)</f>
        <v>Yes</v>
      </c>
      <c r="U275" t="str">
        <f>_xlfn.XLOOKUP(B275,Disk_Pivot!G:G,Disk_Pivot!N:N)</f>
        <v>Fail</v>
      </c>
      <c r="V275">
        <f>IF(U275="Fail",MacReports!N275,"")</f>
        <v>0</v>
      </c>
      <c r="AB275" t="str">
        <f t="shared" si="10"/>
        <v/>
      </c>
    </row>
    <row r="276" spans="1:28">
      <c r="A276">
        <f>MacReports!A276</f>
        <v>0</v>
      </c>
      <c r="B276">
        <f>MacReports!B276</f>
        <v>0</v>
      </c>
      <c r="C276">
        <f>MacReports!C276</f>
        <v>0</v>
      </c>
      <c r="E276" t="e">
        <f>_xlfn.XLOOKUP(G276,Models!A:A,Models!F:F)</f>
        <v>#N/A</v>
      </c>
      <c r="F276" t="str">
        <f>_xlfn.XLOOKUP(B276,MacReports!B:B,MacReports!D:D,"")</f>
        <v/>
      </c>
      <c r="G276" s="13">
        <f>MacReports!E276</f>
        <v>0</v>
      </c>
      <c r="H276" t="e">
        <f>_xlfn.XLOOKUP(G276,Models!A:A,Models!B:B)</f>
        <v>#N/A</v>
      </c>
      <c r="I276" t="e">
        <f>_xlfn.XLOOKUP(G276,Models!A:A,Models!E:E)</f>
        <v>#N/A</v>
      </c>
      <c r="J276" t="e">
        <f>_xlfn.XLOOKUP(G276,Models!A:A,Models!D:D)</f>
        <v>#N/A</v>
      </c>
      <c r="K276">
        <f>MacReports!F276</f>
        <v>0</v>
      </c>
      <c r="L276">
        <f>MacReports!G276</f>
        <v>0</v>
      </c>
      <c r="M276" s="15" t="e" cm="1">
        <f t="array" ref="M276">--_xlfn.LET(
    _xlpm.txt, MacReports!H276,
    _xlpm.chars, MID(_xlpm.txt, _xlfn.SEQUENCE(LEN(_xlpm.txt)), 1),
    _xlfn.TEXTJOIN("", TRUE, IF(ISNUMBER(--_xlpm.chars), _xlpm.chars, ""))
)</f>
        <v>#VALUE!</v>
      </c>
      <c r="N276" s="16" t="str" cm="1">
        <f t="array" ref="N276">_xlfn.IFS(
   --MacReports!M276&lt;55,"Battery Defect",
  -- MacReports!M276&lt;=69,"Battery D",
  --MacReports!M276&lt;=80,"Battery C",
 --MacReports!M276&gt;80,""
)</f>
        <v>Battery Defect</v>
      </c>
      <c r="O276" s="16" t="str">
        <f>IF(MacReports!I276="Service","Battery Service","")</f>
        <v/>
      </c>
      <c r="P276" s="13">
        <f>MacReports!P276</f>
        <v>0</v>
      </c>
      <c r="Q276" s="13" t="str">
        <f>IF(MacReports!J276="Enabled","Apple ID Lock","")</f>
        <v/>
      </c>
      <c r="R276" s="13" t="str">
        <f>IF(MacReports!L276="y","Remote Locked","")</f>
        <v/>
      </c>
      <c r="S276" t="str">
        <f t="shared" si="9"/>
        <v>Battery Defect, 0</v>
      </c>
      <c r="T276" t="str">
        <f>_xlfn.XLOOKUP(B276,Disk_Pivot!G:G,Disk_Pivot!I:I)</f>
        <v>Yes</v>
      </c>
      <c r="U276" t="str">
        <f>_xlfn.XLOOKUP(B276,Disk_Pivot!G:G,Disk_Pivot!N:N)</f>
        <v>Fail</v>
      </c>
      <c r="V276">
        <f>IF(U276="Fail",MacReports!N276,"")</f>
        <v>0</v>
      </c>
      <c r="AB276" t="str">
        <f t="shared" si="10"/>
        <v/>
      </c>
    </row>
    <row r="277" spans="1:28">
      <c r="A277">
        <f>MacReports!A277</f>
        <v>0</v>
      </c>
      <c r="B277">
        <f>MacReports!B277</f>
        <v>0</v>
      </c>
      <c r="C277">
        <f>MacReports!C277</f>
        <v>0</v>
      </c>
      <c r="E277" t="e">
        <f>_xlfn.XLOOKUP(G277,Models!A:A,Models!F:F)</f>
        <v>#N/A</v>
      </c>
      <c r="F277" t="str">
        <f>_xlfn.XLOOKUP(B277,MacReports!B:B,MacReports!D:D,"")</f>
        <v/>
      </c>
      <c r="G277" s="13">
        <f>MacReports!E277</f>
        <v>0</v>
      </c>
      <c r="H277" t="e">
        <f>_xlfn.XLOOKUP(G277,Models!A:A,Models!B:B)</f>
        <v>#N/A</v>
      </c>
      <c r="I277" t="e">
        <f>_xlfn.XLOOKUP(G277,Models!A:A,Models!E:E)</f>
        <v>#N/A</v>
      </c>
      <c r="J277" t="e">
        <f>_xlfn.XLOOKUP(G277,Models!A:A,Models!D:D)</f>
        <v>#N/A</v>
      </c>
      <c r="K277">
        <f>MacReports!F277</f>
        <v>0</v>
      </c>
      <c r="L277">
        <f>MacReports!G277</f>
        <v>0</v>
      </c>
      <c r="M277" s="15" t="e" cm="1">
        <f t="array" ref="M277">--_xlfn.LET(
    _xlpm.txt, MacReports!H277,
    _xlpm.chars, MID(_xlpm.txt, _xlfn.SEQUENCE(LEN(_xlpm.txt)), 1),
    _xlfn.TEXTJOIN("", TRUE, IF(ISNUMBER(--_xlpm.chars), _xlpm.chars, ""))
)</f>
        <v>#VALUE!</v>
      </c>
      <c r="N277" s="16" t="str" cm="1">
        <f t="array" ref="N277">_xlfn.IFS(
   --MacReports!M277&lt;55,"Battery Defect",
  -- MacReports!M277&lt;=69,"Battery D",
  --MacReports!M277&lt;=80,"Battery C",
 --MacReports!M277&gt;80,""
)</f>
        <v>Battery Defect</v>
      </c>
      <c r="O277" s="16" t="str">
        <f>IF(MacReports!I277="Service","Battery Service","")</f>
        <v/>
      </c>
      <c r="P277" s="13">
        <f>MacReports!P277</f>
        <v>0</v>
      </c>
      <c r="Q277" s="13" t="str">
        <f>IF(MacReports!J277="Enabled","Apple ID Lock","")</f>
        <v/>
      </c>
      <c r="R277" s="13" t="str">
        <f>IF(MacReports!L277="y","Remote Locked","")</f>
        <v/>
      </c>
      <c r="S277" t="str">
        <f t="shared" si="9"/>
        <v>Battery Defect, 0</v>
      </c>
      <c r="T277" t="str">
        <f>_xlfn.XLOOKUP(B277,Disk_Pivot!G:G,Disk_Pivot!I:I)</f>
        <v>Yes</v>
      </c>
      <c r="U277" t="str">
        <f>_xlfn.XLOOKUP(B277,Disk_Pivot!G:G,Disk_Pivot!N:N)</f>
        <v>Fail</v>
      </c>
      <c r="V277">
        <f>IF(U277="Fail",MacReports!N277,"")</f>
        <v>0</v>
      </c>
      <c r="AB277" t="str">
        <f t="shared" si="10"/>
        <v/>
      </c>
    </row>
    <row r="278" spans="1:28">
      <c r="A278">
        <f>MacReports!A278</f>
        <v>0</v>
      </c>
      <c r="B278">
        <f>MacReports!B278</f>
        <v>0</v>
      </c>
      <c r="C278">
        <f>MacReports!C278</f>
        <v>0</v>
      </c>
      <c r="E278" t="e">
        <f>_xlfn.XLOOKUP(G278,Models!A:A,Models!F:F)</f>
        <v>#N/A</v>
      </c>
      <c r="F278" t="str">
        <f>_xlfn.XLOOKUP(B278,MacReports!B:B,MacReports!D:D,"")</f>
        <v/>
      </c>
      <c r="G278" s="13">
        <f>MacReports!E278</f>
        <v>0</v>
      </c>
      <c r="H278" t="e">
        <f>_xlfn.XLOOKUP(G278,Models!A:A,Models!B:B)</f>
        <v>#N/A</v>
      </c>
      <c r="I278" t="e">
        <f>_xlfn.XLOOKUP(G278,Models!A:A,Models!E:E)</f>
        <v>#N/A</v>
      </c>
      <c r="J278" t="e">
        <f>_xlfn.XLOOKUP(G278,Models!A:A,Models!D:D)</f>
        <v>#N/A</v>
      </c>
      <c r="K278">
        <f>MacReports!F278</f>
        <v>0</v>
      </c>
      <c r="L278">
        <f>MacReports!G278</f>
        <v>0</v>
      </c>
      <c r="M278" s="15" t="e" cm="1">
        <f t="array" ref="M278">--_xlfn.LET(
    _xlpm.txt, MacReports!H278,
    _xlpm.chars, MID(_xlpm.txt, _xlfn.SEQUENCE(LEN(_xlpm.txt)), 1),
    _xlfn.TEXTJOIN("", TRUE, IF(ISNUMBER(--_xlpm.chars), _xlpm.chars, ""))
)</f>
        <v>#VALUE!</v>
      </c>
      <c r="N278" s="16" t="str" cm="1">
        <f t="array" ref="N278">_xlfn.IFS(
   --MacReports!M278&lt;55,"Battery Defect",
  -- MacReports!M278&lt;=69,"Battery D",
  --MacReports!M278&lt;=80,"Battery C",
 --MacReports!M278&gt;80,""
)</f>
        <v>Battery Defect</v>
      </c>
      <c r="O278" s="16" t="str">
        <f>IF(MacReports!I278="Service","Battery Service","")</f>
        <v/>
      </c>
      <c r="P278" s="13">
        <f>MacReports!P278</f>
        <v>0</v>
      </c>
      <c r="Q278" s="13" t="str">
        <f>IF(MacReports!J278="Enabled","Apple ID Lock","")</f>
        <v/>
      </c>
      <c r="R278" s="13" t="str">
        <f>IF(MacReports!L278="y","Remote Locked","")</f>
        <v/>
      </c>
      <c r="S278" t="str">
        <f t="shared" si="9"/>
        <v>Battery Defect, 0</v>
      </c>
      <c r="T278" t="str">
        <f>_xlfn.XLOOKUP(B278,Disk_Pivot!G:G,Disk_Pivot!I:I)</f>
        <v>Yes</v>
      </c>
      <c r="U278" t="str">
        <f>_xlfn.XLOOKUP(B278,Disk_Pivot!G:G,Disk_Pivot!N:N)</f>
        <v>Fail</v>
      </c>
      <c r="V278">
        <f>IF(U278="Fail",MacReports!N278,"")</f>
        <v>0</v>
      </c>
      <c r="AB278" t="str">
        <f t="shared" si="10"/>
        <v/>
      </c>
    </row>
    <row r="279" spans="1:28">
      <c r="A279">
        <f>MacReports!A279</f>
        <v>0</v>
      </c>
      <c r="B279">
        <f>MacReports!B279</f>
        <v>0</v>
      </c>
      <c r="C279">
        <f>MacReports!C279</f>
        <v>0</v>
      </c>
      <c r="E279" t="e">
        <f>_xlfn.XLOOKUP(G279,Models!A:A,Models!F:F)</f>
        <v>#N/A</v>
      </c>
      <c r="F279" t="str">
        <f>_xlfn.XLOOKUP(B279,MacReports!B:B,MacReports!D:D,"")</f>
        <v/>
      </c>
      <c r="G279" s="13">
        <f>MacReports!E279</f>
        <v>0</v>
      </c>
      <c r="H279" t="e">
        <f>_xlfn.XLOOKUP(G279,Models!A:A,Models!B:B)</f>
        <v>#N/A</v>
      </c>
      <c r="I279" t="e">
        <f>_xlfn.XLOOKUP(G279,Models!A:A,Models!E:E)</f>
        <v>#N/A</v>
      </c>
      <c r="J279" t="e">
        <f>_xlfn.XLOOKUP(G279,Models!A:A,Models!D:D)</f>
        <v>#N/A</v>
      </c>
      <c r="K279">
        <f>MacReports!F279</f>
        <v>0</v>
      </c>
      <c r="L279">
        <f>MacReports!G279</f>
        <v>0</v>
      </c>
      <c r="M279" s="15" t="e" cm="1">
        <f t="array" ref="M279">--_xlfn.LET(
    _xlpm.txt, MacReports!H279,
    _xlpm.chars, MID(_xlpm.txt, _xlfn.SEQUENCE(LEN(_xlpm.txt)), 1),
    _xlfn.TEXTJOIN("", TRUE, IF(ISNUMBER(--_xlpm.chars), _xlpm.chars, ""))
)</f>
        <v>#VALUE!</v>
      </c>
      <c r="N279" s="16" t="str" cm="1">
        <f t="array" ref="N279">_xlfn.IFS(
   --MacReports!M279&lt;55,"Battery Defect",
  -- MacReports!M279&lt;=69,"Battery D",
  --MacReports!M279&lt;=80,"Battery C",
 --MacReports!M279&gt;80,""
)</f>
        <v>Battery Defect</v>
      </c>
      <c r="O279" s="16" t="str">
        <f>IF(MacReports!I279="Service","Battery Service","")</f>
        <v/>
      </c>
      <c r="P279" s="13">
        <f>MacReports!P279</f>
        <v>0</v>
      </c>
      <c r="Q279" s="13" t="str">
        <f>IF(MacReports!J279="Enabled","Apple ID Lock","")</f>
        <v/>
      </c>
      <c r="R279" s="13" t="str">
        <f>IF(MacReports!L279="y","Remote Locked","")</f>
        <v/>
      </c>
      <c r="S279" t="str">
        <f t="shared" si="9"/>
        <v>Battery Defect, 0</v>
      </c>
      <c r="T279" t="str">
        <f>_xlfn.XLOOKUP(B279,Disk_Pivot!G:G,Disk_Pivot!I:I)</f>
        <v>Yes</v>
      </c>
      <c r="U279" t="str">
        <f>_xlfn.XLOOKUP(B279,Disk_Pivot!G:G,Disk_Pivot!N:N)</f>
        <v>Fail</v>
      </c>
      <c r="V279">
        <f>IF(U279="Fail",MacReports!N279,"")</f>
        <v>0</v>
      </c>
      <c r="AB279" t="str">
        <f t="shared" si="10"/>
        <v/>
      </c>
    </row>
    <row r="280" spans="1:28">
      <c r="A280">
        <f>MacReports!A280</f>
        <v>0</v>
      </c>
      <c r="B280">
        <f>MacReports!B280</f>
        <v>0</v>
      </c>
      <c r="C280">
        <f>MacReports!C280</f>
        <v>0</v>
      </c>
      <c r="E280" t="e">
        <f>_xlfn.XLOOKUP(G280,Models!A:A,Models!F:F)</f>
        <v>#N/A</v>
      </c>
      <c r="F280" t="str">
        <f>_xlfn.XLOOKUP(B280,MacReports!B:B,MacReports!D:D,"")</f>
        <v/>
      </c>
      <c r="G280" s="13">
        <f>MacReports!E280</f>
        <v>0</v>
      </c>
      <c r="H280" t="e">
        <f>_xlfn.XLOOKUP(G280,Models!A:A,Models!B:B)</f>
        <v>#N/A</v>
      </c>
      <c r="I280" t="e">
        <f>_xlfn.XLOOKUP(G280,Models!A:A,Models!E:E)</f>
        <v>#N/A</v>
      </c>
      <c r="J280" t="e">
        <f>_xlfn.XLOOKUP(G280,Models!A:A,Models!D:D)</f>
        <v>#N/A</v>
      </c>
      <c r="K280">
        <f>MacReports!F280</f>
        <v>0</v>
      </c>
      <c r="L280">
        <f>MacReports!G280</f>
        <v>0</v>
      </c>
      <c r="M280" s="15" t="e" cm="1">
        <f t="array" ref="M280">--_xlfn.LET(
    _xlpm.txt, MacReports!H280,
    _xlpm.chars, MID(_xlpm.txt, _xlfn.SEQUENCE(LEN(_xlpm.txt)), 1),
    _xlfn.TEXTJOIN("", TRUE, IF(ISNUMBER(--_xlpm.chars), _xlpm.chars, ""))
)</f>
        <v>#VALUE!</v>
      </c>
      <c r="N280" s="16" t="str" cm="1">
        <f t="array" ref="N280">_xlfn.IFS(
   --MacReports!M280&lt;55,"Battery Defect",
  -- MacReports!M280&lt;=69,"Battery D",
  --MacReports!M280&lt;=80,"Battery C",
 --MacReports!M280&gt;80,""
)</f>
        <v>Battery Defect</v>
      </c>
      <c r="O280" s="16" t="str">
        <f>IF(MacReports!I280="Service","Battery Service","")</f>
        <v/>
      </c>
      <c r="P280" s="13">
        <f>MacReports!P280</f>
        <v>0</v>
      </c>
      <c r="Q280" s="13" t="str">
        <f>IF(MacReports!J280="Enabled","Apple ID Lock","")</f>
        <v/>
      </c>
      <c r="R280" s="13" t="str">
        <f>IF(MacReports!L280="y","Remote Locked","")</f>
        <v/>
      </c>
      <c r="S280" t="str">
        <f t="shared" si="9"/>
        <v>Battery Defect, 0</v>
      </c>
      <c r="T280" t="str">
        <f>_xlfn.XLOOKUP(B280,Disk_Pivot!G:G,Disk_Pivot!I:I)</f>
        <v>Yes</v>
      </c>
      <c r="U280" t="str">
        <f>_xlfn.XLOOKUP(B280,Disk_Pivot!G:G,Disk_Pivot!N:N)</f>
        <v>Fail</v>
      </c>
      <c r="V280">
        <f>IF(U280="Fail",MacReports!N280,"")</f>
        <v>0</v>
      </c>
      <c r="AB280" t="str">
        <f t="shared" si="10"/>
        <v/>
      </c>
    </row>
    <row r="281" spans="1:28">
      <c r="A281">
        <f>MacReports!A281</f>
        <v>0</v>
      </c>
      <c r="B281">
        <f>MacReports!B281</f>
        <v>0</v>
      </c>
      <c r="C281">
        <f>MacReports!C281</f>
        <v>0</v>
      </c>
      <c r="E281" t="e">
        <f>_xlfn.XLOOKUP(G281,Models!A:A,Models!F:F)</f>
        <v>#N/A</v>
      </c>
      <c r="F281" t="str">
        <f>_xlfn.XLOOKUP(B281,MacReports!B:B,MacReports!D:D,"")</f>
        <v/>
      </c>
      <c r="G281" s="13">
        <f>MacReports!E281</f>
        <v>0</v>
      </c>
      <c r="H281" t="e">
        <f>_xlfn.XLOOKUP(G281,Models!A:A,Models!B:B)</f>
        <v>#N/A</v>
      </c>
      <c r="I281" t="e">
        <f>_xlfn.XLOOKUP(G281,Models!A:A,Models!E:E)</f>
        <v>#N/A</v>
      </c>
      <c r="J281" t="e">
        <f>_xlfn.XLOOKUP(G281,Models!A:A,Models!D:D)</f>
        <v>#N/A</v>
      </c>
      <c r="K281">
        <f>MacReports!F281</f>
        <v>0</v>
      </c>
      <c r="L281">
        <f>MacReports!G281</f>
        <v>0</v>
      </c>
      <c r="M281" s="15" t="e" cm="1">
        <f t="array" ref="M281">--_xlfn.LET(
    _xlpm.txt, MacReports!H281,
    _xlpm.chars, MID(_xlpm.txt, _xlfn.SEQUENCE(LEN(_xlpm.txt)), 1),
    _xlfn.TEXTJOIN("", TRUE, IF(ISNUMBER(--_xlpm.chars), _xlpm.chars, ""))
)</f>
        <v>#VALUE!</v>
      </c>
      <c r="N281" s="16" t="str" cm="1">
        <f t="array" ref="N281">_xlfn.IFS(
   --MacReports!M281&lt;55,"Battery Defect",
  -- MacReports!M281&lt;=69,"Battery D",
  --MacReports!M281&lt;=80,"Battery C",
 --MacReports!M281&gt;80,""
)</f>
        <v>Battery Defect</v>
      </c>
      <c r="O281" s="16" t="str">
        <f>IF(MacReports!I281="Service","Battery Service","")</f>
        <v/>
      </c>
      <c r="P281" s="13">
        <f>MacReports!P281</f>
        <v>0</v>
      </c>
      <c r="Q281" s="13" t="str">
        <f>IF(MacReports!J281="Enabled","Apple ID Lock","")</f>
        <v/>
      </c>
      <c r="R281" s="13" t="str">
        <f>IF(MacReports!L281="y","Remote Locked","")</f>
        <v/>
      </c>
      <c r="S281" t="str">
        <f t="shared" si="9"/>
        <v>Battery Defect, 0</v>
      </c>
      <c r="T281" t="str">
        <f>_xlfn.XLOOKUP(B281,Disk_Pivot!G:G,Disk_Pivot!I:I)</f>
        <v>Yes</v>
      </c>
      <c r="U281" t="str">
        <f>_xlfn.XLOOKUP(B281,Disk_Pivot!G:G,Disk_Pivot!N:N)</f>
        <v>Fail</v>
      </c>
      <c r="V281">
        <f>IF(U281="Fail",MacReports!N281,"")</f>
        <v>0</v>
      </c>
      <c r="AB281" t="str">
        <f t="shared" si="10"/>
        <v/>
      </c>
    </row>
    <row r="282" spans="1:28">
      <c r="A282">
        <f>MacReports!A282</f>
        <v>0</v>
      </c>
      <c r="B282">
        <f>MacReports!B282</f>
        <v>0</v>
      </c>
      <c r="C282">
        <f>MacReports!C282</f>
        <v>0</v>
      </c>
      <c r="E282" t="e">
        <f>_xlfn.XLOOKUP(G282,Models!A:A,Models!F:F)</f>
        <v>#N/A</v>
      </c>
      <c r="F282" t="str">
        <f>_xlfn.XLOOKUP(B282,MacReports!B:B,MacReports!D:D,"")</f>
        <v/>
      </c>
      <c r="G282" s="13">
        <f>MacReports!E282</f>
        <v>0</v>
      </c>
      <c r="H282" t="e">
        <f>_xlfn.XLOOKUP(G282,Models!A:A,Models!B:B)</f>
        <v>#N/A</v>
      </c>
      <c r="I282" t="e">
        <f>_xlfn.XLOOKUP(G282,Models!A:A,Models!E:E)</f>
        <v>#N/A</v>
      </c>
      <c r="J282" t="e">
        <f>_xlfn.XLOOKUP(G282,Models!A:A,Models!D:D)</f>
        <v>#N/A</v>
      </c>
      <c r="K282">
        <f>MacReports!F282</f>
        <v>0</v>
      </c>
      <c r="L282">
        <f>MacReports!G282</f>
        <v>0</v>
      </c>
      <c r="M282" s="15" t="e" cm="1">
        <f t="array" ref="M282">--_xlfn.LET(
    _xlpm.txt, MacReports!H282,
    _xlpm.chars, MID(_xlpm.txt, _xlfn.SEQUENCE(LEN(_xlpm.txt)), 1),
    _xlfn.TEXTJOIN("", TRUE, IF(ISNUMBER(--_xlpm.chars), _xlpm.chars, ""))
)</f>
        <v>#VALUE!</v>
      </c>
      <c r="N282" s="16" t="str" cm="1">
        <f t="array" ref="N282">_xlfn.IFS(
   --MacReports!M282&lt;55,"Battery Defect",
  -- MacReports!M282&lt;=69,"Battery D",
  --MacReports!M282&lt;=80,"Battery C",
 --MacReports!M282&gt;80,""
)</f>
        <v>Battery Defect</v>
      </c>
      <c r="O282" s="16" t="str">
        <f>IF(MacReports!I282="Service","Battery Service","")</f>
        <v/>
      </c>
      <c r="P282" s="13">
        <f>MacReports!P282</f>
        <v>0</v>
      </c>
      <c r="Q282" s="13" t="str">
        <f>IF(MacReports!J282="Enabled","Apple ID Lock","")</f>
        <v/>
      </c>
      <c r="R282" s="13" t="str">
        <f>IF(MacReports!L282="y","Remote Locked","")</f>
        <v/>
      </c>
      <c r="S282" t="str">
        <f t="shared" si="9"/>
        <v>Battery Defect, 0</v>
      </c>
      <c r="T282" t="str">
        <f>_xlfn.XLOOKUP(B282,Disk_Pivot!G:G,Disk_Pivot!I:I)</f>
        <v>Yes</v>
      </c>
      <c r="U282" t="str">
        <f>_xlfn.XLOOKUP(B282,Disk_Pivot!G:G,Disk_Pivot!N:N)</f>
        <v>Fail</v>
      </c>
      <c r="V282">
        <f>IF(U282="Fail",MacReports!N282,"")</f>
        <v>0</v>
      </c>
      <c r="AB282" t="str">
        <f t="shared" si="10"/>
        <v/>
      </c>
    </row>
    <row r="283" spans="1:28">
      <c r="A283">
        <f>MacReports!A283</f>
        <v>0</v>
      </c>
      <c r="B283">
        <f>MacReports!B283</f>
        <v>0</v>
      </c>
      <c r="C283">
        <f>MacReports!C283</f>
        <v>0</v>
      </c>
      <c r="E283" t="e">
        <f>_xlfn.XLOOKUP(G283,Models!A:A,Models!F:F)</f>
        <v>#N/A</v>
      </c>
      <c r="F283" t="str">
        <f>_xlfn.XLOOKUP(B283,MacReports!B:B,MacReports!D:D,"")</f>
        <v/>
      </c>
      <c r="G283" s="13">
        <f>MacReports!E283</f>
        <v>0</v>
      </c>
      <c r="H283" t="e">
        <f>_xlfn.XLOOKUP(G283,Models!A:A,Models!B:B)</f>
        <v>#N/A</v>
      </c>
      <c r="I283" t="e">
        <f>_xlfn.XLOOKUP(G283,Models!A:A,Models!E:E)</f>
        <v>#N/A</v>
      </c>
      <c r="J283" t="e">
        <f>_xlfn.XLOOKUP(G283,Models!A:A,Models!D:D)</f>
        <v>#N/A</v>
      </c>
      <c r="K283">
        <f>MacReports!F283</f>
        <v>0</v>
      </c>
      <c r="L283">
        <f>MacReports!G283</f>
        <v>0</v>
      </c>
      <c r="M283" s="15" t="e" cm="1">
        <f t="array" ref="M283">--_xlfn.LET(
    _xlpm.txt, MacReports!H283,
    _xlpm.chars, MID(_xlpm.txt, _xlfn.SEQUENCE(LEN(_xlpm.txt)), 1),
    _xlfn.TEXTJOIN("", TRUE, IF(ISNUMBER(--_xlpm.chars), _xlpm.chars, ""))
)</f>
        <v>#VALUE!</v>
      </c>
      <c r="N283" s="16" t="str" cm="1">
        <f t="array" ref="N283">_xlfn.IFS(
   --MacReports!M283&lt;55,"Battery Defect",
  -- MacReports!M283&lt;=69,"Battery D",
  --MacReports!M283&lt;=80,"Battery C",
 --MacReports!M283&gt;80,""
)</f>
        <v>Battery Defect</v>
      </c>
      <c r="O283" s="16" t="str">
        <f>IF(MacReports!I283="Service","Battery Service","")</f>
        <v/>
      </c>
      <c r="P283" s="13">
        <f>MacReports!P283</f>
        <v>0</v>
      </c>
      <c r="Q283" s="13" t="str">
        <f>IF(MacReports!J283="Enabled","Apple ID Lock","")</f>
        <v/>
      </c>
      <c r="R283" s="13" t="str">
        <f>IF(MacReports!L283="y","Remote Locked","")</f>
        <v/>
      </c>
      <c r="S283" t="str">
        <f t="shared" si="9"/>
        <v>Battery Defect, 0</v>
      </c>
      <c r="T283" t="str">
        <f>_xlfn.XLOOKUP(B283,Disk_Pivot!G:G,Disk_Pivot!I:I)</f>
        <v>Yes</v>
      </c>
      <c r="U283" t="str">
        <f>_xlfn.XLOOKUP(B283,Disk_Pivot!G:G,Disk_Pivot!N:N)</f>
        <v>Fail</v>
      </c>
      <c r="V283">
        <f>IF(U283="Fail",MacReports!N283,"")</f>
        <v>0</v>
      </c>
      <c r="AB283" t="str">
        <f t="shared" si="10"/>
        <v/>
      </c>
    </row>
    <row r="284" spans="1:28">
      <c r="A284">
        <f>MacReports!A284</f>
        <v>0</v>
      </c>
      <c r="B284">
        <f>MacReports!B284</f>
        <v>0</v>
      </c>
      <c r="C284">
        <f>MacReports!C284</f>
        <v>0</v>
      </c>
      <c r="E284" t="e">
        <f>_xlfn.XLOOKUP(G284,Models!A:A,Models!F:F)</f>
        <v>#N/A</v>
      </c>
      <c r="F284" t="str">
        <f>_xlfn.XLOOKUP(B284,MacReports!B:B,MacReports!D:D,"")</f>
        <v/>
      </c>
      <c r="G284" s="13">
        <f>MacReports!E284</f>
        <v>0</v>
      </c>
      <c r="H284" t="e">
        <f>_xlfn.XLOOKUP(G284,Models!A:A,Models!B:B)</f>
        <v>#N/A</v>
      </c>
      <c r="I284" t="e">
        <f>_xlfn.XLOOKUP(G284,Models!A:A,Models!E:E)</f>
        <v>#N/A</v>
      </c>
      <c r="J284" t="e">
        <f>_xlfn.XLOOKUP(G284,Models!A:A,Models!D:D)</f>
        <v>#N/A</v>
      </c>
      <c r="K284">
        <f>MacReports!F284</f>
        <v>0</v>
      </c>
      <c r="L284">
        <f>MacReports!G284</f>
        <v>0</v>
      </c>
      <c r="M284" s="15" t="e" cm="1">
        <f t="array" ref="M284">--_xlfn.LET(
    _xlpm.txt, MacReports!H284,
    _xlpm.chars, MID(_xlpm.txt, _xlfn.SEQUENCE(LEN(_xlpm.txt)), 1),
    _xlfn.TEXTJOIN("", TRUE, IF(ISNUMBER(--_xlpm.chars), _xlpm.chars, ""))
)</f>
        <v>#VALUE!</v>
      </c>
      <c r="N284" s="16" t="str" cm="1">
        <f t="array" ref="N284">_xlfn.IFS(
   --MacReports!M284&lt;55,"Battery Defect",
  -- MacReports!M284&lt;=69,"Battery D",
  --MacReports!M284&lt;=80,"Battery C",
 --MacReports!M284&gt;80,""
)</f>
        <v>Battery Defect</v>
      </c>
      <c r="O284" s="16" t="str">
        <f>IF(MacReports!I284="Service","Battery Service","")</f>
        <v/>
      </c>
      <c r="P284" s="13">
        <f>MacReports!P284</f>
        <v>0</v>
      </c>
      <c r="Q284" s="13" t="str">
        <f>IF(MacReports!J284="Enabled","Apple ID Lock","")</f>
        <v/>
      </c>
      <c r="R284" s="13" t="str">
        <f>IF(MacReports!L284="y","Remote Locked","")</f>
        <v/>
      </c>
      <c r="S284" t="str">
        <f t="shared" si="9"/>
        <v>Battery Defect, 0</v>
      </c>
      <c r="T284" t="str">
        <f>_xlfn.XLOOKUP(B284,Disk_Pivot!G:G,Disk_Pivot!I:I)</f>
        <v>Yes</v>
      </c>
      <c r="U284" t="str">
        <f>_xlfn.XLOOKUP(B284,Disk_Pivot!G:G,Disk_Pivot!N:N)</f>
        <v>Fail</v>
      </c>
      <c r="V284">
        <f>IF(U284="Fail",MacReports!N284,"")</f>
        <v>0</v>
      </c>
      <c r="AB284" t="str">
        <f t="shared" si="10"/>
        <v/>
      </c>
    </row>
    <row r="285" spans="1:28">
      <c r="A285">
        <f>MacReports!A285</f>
        <v>0</v>
      </c>
      <c r="B285">
        <f>MacReports!B285</f>
        <v>0</v>
      </c>
      <c r="C285">
        <f>MacReports!C285</f>
        <v>0</v>
      </c>
      <c r="E285" t="e">
        <f>_xlfn.XLOOKUP(G285,Models!A:A,Models!F:F)</f>
        <v>#N/A</v>
      </c>
      <c r="F285" t="str">
        <f>_xlfn.XLOOKUP(B285,MacReports!B:B,MacReports!D:D,"")</f>
        <v/>
      </c>
      <c r="G285" s="13">
        <f>MacReports!E285</f>
        <v>0</v>
      </c>
      <c r="H285" t="e">
        <f>_xlfn.XLOOKUP(G285,Models!A:A,Models!B:B)</f>
        <v>#N/A</v>
      </c>
      <c r="I285" t="e">
        <f>_xlfn.XLOOKUP(G285,Models!A:A,Models!E:E)</f>
        <v>#N/A</v>
      </c>
      <c r="J285" t="e">
        <f>_xlfn.XLOOKUP(G285,Models!A:A,Models!D:D)</f>
        <v>#N/A</v>
      </c>
      <c r="K285">
        <f>MacReports!F285</f>
        <v>0</v>
      </c>
      <c r="L285">
        <f>MacReports!G285</f>
        <v>0</v>
      </c>
      <c r="M285" s="15" t="e" cm="1">
        <f t="array" ref="M285">--_xlfn.LET(
    _xlpm.txt, MacReports!H285,
    _xlpm.chars, MID(_xlpm.txt, _xlfn.SEQUENCE(LEN(_xlpm.txt)), 1),
    _xlfn.TEXTJOIN("", TRUE, IF(ISNUMBER(--_xlpm.chars), _xlpm.chars, ""))
)</f>
        <v>#VALUE!</v>
      </c>
      <c r="N285" s="16" t="str" cm="1">
        <f t="array" ref="N285">_xlfn.IFS(
   --MacReports!M285&lt;55,"Battery Defect",
  -- MacReports!M285&lt;=69,"Battery D",
  --MacReports!M285&lt;=80,"Battery C",
 --MacReports!M285&gt;80,""
)</f>
        <v>Battery Defect</v>
      </c>
      <c r="O285" s="16" t="str">
        <f>IF(MacReports!I285="Service","Battery Service","")</f>
        <v/>
      </c>
      <c r="P285" s="13">
        <f>MacReports!P285</f>
        <v>0</v>
      </c>
      <c r="Q285" s="13" t="str">
        <f>IF(MacReports!J285="Enabled","Apple ID Lock","")</f>
        <v/>
      </c>
      <c r="R285" s="13" t="str">
        <f>IF(MacReports!L285="y","Remote Locked","")</f>
        <v/>
      </c>
      <c r="S285" t="str">
        <f t="shared" si="9"/>
        <v>Battery Defect, 0</v>
      </c>
      <c r="T285" t="str">
        <f>_xlfn.XLOOKUP(B285,Disk_Pivot!G:G,Disk_Pivot!I:I)</f>
        <v>Yes</v>
      </c>
      <c r="U285" t="str">
        <f>_xlfn.XLOOKUP(B285,Disk_Pivot!G:G,Disk_Pivot!N:N)</f>
        <v>Fail</v>
      </c>
      <c r="V285">
        <f>IF(U285="Fail",MacReports!N285,"")</f>
        <v>0</v>
      </c>
      <c r="AB285" t="str">
        <f t="shared" si="10"/>
        <v/>
      </c>
    </row>
    <row r="286" spans="1:28">
      <c r="A286">
        <f>MacReports!A286</f>
        <v>0</v>
      </c>
      <c r="B286">
        <f>MacReports!B286</f>
        <v>0</v>
      </c>
      <c r="C286">
        <f>MacReports!C286</f>
        <v>0</v>
      </c>
      <c r="E286" t="e">
        <f>_xlfn.XLOOKUP(G286,Models!A:A,Models!F:F)</f>
        <v>#N/A</v>
      </c>
      <c r="F286" t="str">
        <f>_xlfn.XLOOKUP(B286,MacReports!B:B,MacReports!D:D,"")</f>
        <v/>
      </c>
      <c r="G286" s="13">
        <f>MacReports!E286</f>
        <v>0</v>
      </c>
      <c r="H286" t="e">
        <f>_xlfn.XLOOKUP(G286,Models!A:A,Models!B:B)</f>
        <v>#N/A</v>
      </c>
      <c r="I286" t="e">
        <f>_xlfn.XLOOKUP(G286,Models!A:A,Models!E:E)</f>
        <v>#N/A</v>
      </c>
      <c r="J286" t="e">
        <f>_xlfn.XLOOKUP(G286,Models!A:A,Models!D:D)</f>
        <v>#N/A</v>
      </c>
      <c r="K286">
        <f>MacReports!F286</f>
        <v>0</v>
      </c>
      <c r="L286">
        <f>MacReports!G286</f>
        <v>0</v>
      </c>
      <c r="M286" s="15" t="e" cm="1">
        <f t="array" ref="M286">--_xlfn.LET(
    _xlpm.txt, MacReports!H286,
    _xlpm.chars, MID(_xlpm.txt, _xlfn.SEQUENCE(LEN(_xlpm.txt)), 1),
    _xlfn.TEXTJOIN("", TRUE, IF(ISNUMBER(--_xlpm.chars), _xlpm.chars, ""))
)</f>
        <v>#VALUE!</v>
      </c>
      <c r="N286" s="16" t="str" cm="1">
        <f t="array" ref="N286">_xlfn.IFS(
   --MacReports!M286&lt;55,"Battery Defect",
  -- MacReports!M286&lt;=69,"Battery D",
  --MacReports!M286&lt;=80,"Battery C",
 --MacReports!M286&gt;80,""
)</f>
        <v>Battery Defect</v>
      </c>
      <c r="O286" s="16" t="str">
        <f>IF(MacReports!I286="Service","Battery Service","")</f>
        <v/>
      </c>
      <c r="P286" s="13">
        <f>MacReports!P286</f>
        <v>0</v>
      </c>
      <c r="Q286" s="13" t="str">
        <f>IF(MacReports!J286="Enabled","Apple ID Lock","")</f>
        <v/>
      </c>
      <c r="R286" s="13" t="str">
        <f>IF(MacReports!L286="y","Remote Locked","")</f>
        <v/>
      </c>
      <c r="S286" t="str">
        <f t="shared" si="9"/>
        <v>Battery Defect, 0</v>
      </c>
      <c r="T286" t="str">
        <f>_xlfn.XLOOKUP(B286,Disk_Pivot!G:G,Disk_Pivot!I:I)</f>
        <v>Yes</v>
      </c>
      <c r="U286" t="str">
        <f>_xlfn.XLOOKUP(B286,Disk_Pivot!G:G,Disk_Pivot!N:N)</f>
        <v>Fail</v>
      </c>
      <c r="V286">
        <f>IF(U286="Fail",MacReports!N286,"")</f>
        <v>0</v>
      </c>
      <c r="AB286" t="str">
        <f t="shared" si="10"/>
        <v/>
      </c>
    </row>
    <row r="287" spans="1:28">
      <c r="A287">
        <f>MacReports!A287</f>
        <v>0</v>
      </c>
      <c r="B287">
        <f>MacReports!B287</f>
        <v>0</v>
      </c>
      <c r="C287">
        <f>MacReports!C287</f>
        <v>0</v>
      </c>
      <c r="E287" t="e">
        <f>_xlfn.XLOOKUP(G287,Models!A:A,Models!F:F)</f>
        <v>#N/A</v>
      </c>
      <c r="F287" t="str">
        <f>_xlfn.XLOOKUP(B287,MacReports!B:B,MacReports!D:D,"")</f>
        <v/>
      </c>
      <c r="G287" s="13">
        <f>MacReports!E287</f>
        <v>0</v>
      </c>
      <c r="H287" t="e">
        <f>_xlfn.XLOOKUP(G287,Models!A:A,Models!B:B)</f>
        <v>#N/A</v>
      </c>
      <c r="I287" t="e">
        <f>_xlfn.XLOOKUP(G287,Models!A:A,Models!E:E)</f>
        <v>#N/A</v>
      </c>
      <c r="J287" t="e">
        <f>_xlfn.XLOOKUP(G287,Models!A:A,Models!D:D)</f>
        <v>#N/A</v>
      </c>
      <c r="K287">
        <f>MacReports!F287</f>
        <v>0</v>
      </c>
      <c r="L287">
        <f>MacReports!G287</f>
        <v>0</v>
      </c>
      <c r="M287" s="15" t="e" cm="1">
        <f t="array" ref="M287">--_xlfn.LET(
    _xlpm.txt, MacReports!H287,
    _xlpm.chars, MID(_xlpm.txt, _xlfn.SEQUENCE(LEN(_xlpm.txt)), 1),
    _xlfn.TEXTJOIN("", TRUE, IF(ISNUMBER(--_xlpm.chars), _xlpm.chars, ""))
)</f>
        <v>#VALUE!</v>
      </c>
      <c r="N287" s="16" t="str" cm="1">
        <f t="array" ref="N287">_xlfn.IFS(
   --MacReports!M287&lt;55,"Battery Defect",
  -- MacReports!M287&lt;=69,"Battery D",
  --MacReports!M287&lt;=80,"Battery C",
 --MacReports!M287&gt;80,""
)</f>
        <v>Battery Defect</v>
      </c>
      <c r="O287" s="16" t="str">
        <f>IF(MacReports!I287="Service","Battery Service","")</f>
        <v/>
      </c>
      <c r="P287" s="13">
        <f>MacReports!P287</f>
        <v>0</v>
      </c>
      <c r="Q287" s="13" t="str">
        <f>IF(MacReports!J287="Enabled","Apple ID Lock","")</f>
        <v/>
      </c>
      <c r="R287" s="13" t="str">
        <f>IF(MacReports!L287="y","Remote Locked","")</f>
        <v/>
      </c>
      <c r="S287" t="str">
        <f t="shared" si="9"/>
        <v>Battery Defect, 0</v>
      </c>
      <c r="T287" t="str">
        <f>_xlfn.XLOOKUP(B287,Disk_Pivot!G:G,Disk_Pivot!I:I)</f>
        <v>Yes</v>
      </c>
      <c r="U287" t="str">
        <f>_xlfn.XLOOKUP(B287,Disk_Pivot!G:G,Disk_Pivot!N:N)</f>
        <v>Fail</v>
      </c>
      <c r="V287">
        <f>IF(U287="Fail",MacReports!N287,"")</f>
        <v>0</v>
      </c>
      <c r="AB287" t="str">
        <f t="shared" si="10"/>
        <v/>
      </c>
    </row>
    <row r="288" spans="1:28">
      <c r="A288">
        <f>MacReports!A288</f>
        <v>0</v>
      </c>
      <c r="B288">
        <f>MacReports!B288</f>
        <v>0</v>
      </c>
      <c r="C288">
        <f>MacReports!C288</f>
        <v>0</v>
      </c>
      <c r="E288" t="e">
        <f>_xlfn.XLOOKUP(G288,Models!A:A,Models!F:F)</f>
        <v>#N/A</v>
      </c>
      <c r="F288" t="str">
        <f>_xlfn.XLOOKUP(B288,MacReports!B:B,MacReports!D:D,"")</f>
        <v/>
      </c>
      <c r="G288" s="13">
        <f>MacReports!E288</f>
        <v>0</v>
      </c>
      <c r="H288" t="e">
        <f>_xlfn.XLOOKUP(G288,Models!A:A,Models!B:B)</f>
        <v>#N/A</v>
      </c>
      <c r="I288" t="e">
        <f>_xlfn.XLOOKUP(G288,Models!A:A,Models!E:E)</f>
        <v>#N/A</v>
      </c>
      <c r="J288" t="e">
        <f>_xlfn.XLOOKUP(G288,Models!A:A,Models!D:D)</f>
        <v>#N/A</v>
      </c>
      <c r="K288">
        <f>MacReports!F288</f>
        <v>0</v>
      </c>
      <c r="L288">
        <f>MacReports!G288</f>
        <v>0</v>
      </c>
      <c r="M288" s="15" t="e" cm="1">
        <f t="array" ref="M288">--_xlfn.LET(
    _xlpm.txt, MacReports!H288,
    _xlpm.chars, MID(_xlpm.txt, _xlfn.SEQUENCE(LEN(_xlpm.txt)), 1),
    _xlfn.TEXTJOIN("", TRUE, IF(ISNUMBER(--_xlpm.chars), _xlpm.chars, ""))
)</f>
        <v>#VALUE!</v>
      </c>
      <c r="N288" s="16" t="str" cm="1">
        <f t="array" ref="N288">_xlfn.IFS(
   --MacReports!M288&lt;55,"Battery Defect",
  -- MacReports!M288&lt;=69,"Battery D",
  --MacReports!M288&lt;=80,"Battery C",
 --MacReports!M288&gt;80,""
)</f>
        <v>Battery Defect</v>
      </c>
      <c r="O288" s="16" t="str">
        <f>IF(MacReports!I288="Service","Battery Service","")</f>
        <v/>
      </c>
      <c r="P288" s="13">
        <f>MacReports!P288</f>
        <v>0</v>
      </c>
      <c r="Q288" s="13" t="str">
        <f>IF(MacReports!J288="Enabled","Apple ID Lock","")</f>
        <v/>
      </c>
      <c r="R288" s="13" t="str">
        <f>IF(MacReports!L288="y","Remote Locked","")</f>
        <v/>
      </c>
      <c r="S288" t="str">
        <f t="shared" si="9"/>
        <v>Battery Defect, 0</v>
      </c>
      <c r="T288" t="str">
        <f>_xlfn.XLOOKUP(B288,Disk_Pivot!G:G,Disk_Pivot!I:I)</f>
        <v>Yes</v>
      </c>
      <c r="U288" t="str">
        <f>_xlfn.XLOOKUP(B288,Disk_Pivot!G:G,Disk_Pivot!N:N)</f>
        <v>Fail</v>
      </c>
      <c r="V288">
        <f>IF(U288="Fail",MacReports!N288,"")</f>
        <v>0</v>
      </c>
      <c r="AB288" t="str">
        <f t="shared" si="10"/>
        <v/>
      </c>
    </row>
    <row r="289" spans="1:28">
      <c r="A289">
        <f>MacReports!A289</f>
        <v>0</v>
      </c>
      <c r="B289">
        <f>MacReports!B289</f>
        <v>0</v>
      </c>
      <c r="C289">
        <f>MacReports!C289</f>
        <v>0</v>
      </c>
      <c r="E289" t="e">
        <f>_xlfn.XLOOKUP(G289,Models!A:A,Models!F:F)</f>
        <v>#N/A</v>
      </c>
      <c r="F289" t="str">
        <f>_xlfn.XLOOKUP(B289,MacReports!B:B,MacReports!D:D,"")</f>
        <v/>
      </c>
      <c r="G289" s="13">
        <f>MacReports!E289</f>
        <v>0</v>
      </c>
      <c r="H289" t="e">
        <f>_xlfn.XLOOKUP(G289,Models!A:A,Models!B:B)</f>
        <v>#N/A</v>
      </c>
      <c r="I289" t="e">
        <f>_xlfn.XLOOKUP(G289,Models!A:A,Models!E:E)</f>
        <v>#N/A</v>
      </c>
      <c r="J289" t="e">
        <f>_xlfn.XLOOKUP(G289,Models!A:A,Models!D:D)</f>
        <v>#N/A</v>
      </c>
      <c r="K289">
        <f>MacReports!F289</f>
        <v>0</v>
      </c>
      <c r="L289">
        <f>MacReports!G289</f>
        <v>0</v>
      </c>
      <c r="M289" s="15" t="e" cm="1">
        <f t="array" ref="M289">--_xlfn.LET(
    _xlpm.txt, MacReports!H289,
    _xlpm.chars, MID(_xlpm.txt, _xlfn.SEQUENCE(LEN(_xlpm.txt)), 1),
    _xlfn.TEXTJOIN("", TRUE, IF(ISNUMBER(--_xlpm.chars), _xlpm.chars, ""))
)</f>
        <v>#VALUE!</v>
      </c>
      <c r="N289" s="16" t="str" cm="1">
        <f t="array" ref="N289">_xlfn.IFS(
   --MacReports!M289&lt;55,"Battery Defect",
  -- MacReports!M289&lt;=69,"Battery D",
  --MacReports!M289&lt;=80,"Battery C",
 --MacReports!M289&gt;80,""
)</f>
        <v>Battery Defect</v>
      </c>
      <c r="O289" s="16" t="str">
        <f>IF(MacReports!I289="Service","Battery Service","")</f>
        <v/>
      </c>
      <c r="P289" s="13">
        <f>MacReports!P289</f>
        <v>0</v>
      </c>
      <c r="Q289" s="13" t="str">
        <f>IF(MacReports!J289="Enabled","Apple ID Lock","")</f>
        <v/>
      </c>
      <c r="R289" s="13" t="str">
        <f>IF(MacReports!L289="y","Remote Locked","")</f>
        <v/>
      </c>
      <c r="S289" t="str">
        <f t="shared" si="9"/>
        <v>Battery Defect, 0</v>
      </c>
      <c r="T289" t="str">
        <f>_xlfn.XLOOKUP(B289,Disk_Pivot!G:G,Disk_Pivot!I:I)</f>
        <v>Yes</v>
      </c>
      <c r="U289" t="str">
        <f>_xlfn.XLOOKUP(B289,Disk_Pivot!G:G,Disk_Pivot!N:N)</f>
        <v>Fail</v>
      </c>
      <c r="V289">
        <f>IF(U289="Fail",MacReports!N289,"")</f>
        <v>0</v>
      </c>
      <c r="AB289" t="str">
        <f t="shared" si="10"/>
        <v/>
      </c>
    </row>
    <row r="290" spans="1:28">
      <c r="A290">
        <f>MacReports!A290</f>
        <v>0</v>
      </c>
      <c r="B290">
        <f>MacReports!B290</f>
        <v>0</v>
      </c>
      <c r="C290">
        <f>MacReports!C290</f>
        <v>0</v>
      </c>
      <c r="E290" t="e">
        <f>_xlfn.XLOOKUP(G290,Models!A:A,Models!F:F)</f>
        <v>#N/A</v>
      </c>
      <c r="F290" t="str">
        <f>_xlfn.XLOOKUP(B290,MacReports!B:B,MacReports!D:D,"")</f>
        <v/>
      </c>
      <c r="G290" s="13">
        <f>MacReports!E290</f>
        <v>0</v>
      </c>
      <c r="H290" t="e">
        <f>_xlfn.XLOOKUP(G290,Models!A:A,Models!B:B)</f>
        <v>#N/A</v>
      </c>
      <c r="I290" t="e">
        <f>_xlfn.XLOOKUP(G290,Models!A:A,Models!E:E)</f>
        <v>#N/A</v>
      </c>
      <c r="J290" t="e">
        <f>_xlfn.XLOOKUP(G290,Models!A:A,Models!D:D)</f>
        <v>#N/A</v>
      </c>
      <c r="K290">
        <f>MacReports!F290</f>
        <v>0</v>
      </c>
      <c r="L290">
        <f>MacReports!G290</f>
        <v>0</v>
      </c>
      <c r="M290" s="15" t="e" cm="1">
        <f t="array" ref="M290">--_xlfn.LET(
    _xlpm.txt, MacReports!H290,
    _xlpm.chars, MID(_xlpm.txt, _xlfn.SEQUENCE(LEN(_xlpm.txt)), 1),
    _xlfn.TEXTJOIN("", TRUE, IF(ISNUMBER(--_xlpm.chars), _xlpm.chars, ""))
)</f>
        <v>#VALUE!</v>
      </c>
      <c r="N290" s="16" t="str" cm="1">
        <f t="array" ref="N290">_xlfn.IFS(
   --MacReports!M290&lt;55,"Battery Defect",
  -- MacReports!M290&lt;=69,"Battery D",
  --MacReports!M290&lt;=80,"Battery C",
 --MacReports!M290&gt;80,""
)</f>
        <v>Battery Defect</v>
      </c>
      <c r="O290" s="16" t="str">
        <f>IF(MacReports!I290="Service","Battery Service","")</f>
        <v/>
      </c>
      <c r="P290" s="13">
        <f>MacReports!P290</f>
        <v>0</v>
      </c>
      <c r="Q290" s="13" t="str">
        <f>IF(MacReports!J290="Enabled","Apple ID Lock","")</f>
        <v/>
      </c>
      <c r="R290" s="13" t="str">
        <f>IF(MacReports!L290="y","Remote Locked","")</f>
        <v/>
      </c>
      <c r="S290" t="str">
        <f t="shared" si="9"/>
        <v>Battery Defect, 0</v>
      </c>
      <c r="T290" t="str">
        <f>_xlfn.XLOOKUP(B290,Disk_Pivot!G:G,Disk_Pivot!I:I)</f>
        <v>Yes</v>
      </c>
      <c r="U290" t="str">
        <f>_xlfn.XLOOKUP(B290,Disk_Pivot!G:G,Disk_Pivot!N:N)</f>
        <v>Fail</v>
      </c>
      <c r="V290">
        <f>IF(U290="Fail",MacReports!N290,"")</f>
        <v>0</v>
      </c>
      <c r="AB290" t="str">
        <f t="shared" si="10"/>
        <v/>
      </c>
    </row>
    <row r="291" spans="1:28">
      <c r="A291">
        <f>MacReports!A291</f>
        <v>0</v>
      </c>
      <c r="B291">
        <f>MacReports!B291</f>
        <v>0</v>
      </c>
      <c r="C291">
        <f>MacReports!C291</f>
        <v>0</v>
      </c>
      <c r="E291" t="e">
        <f>_xlfn.XLOOKUP(G291,Models!A:A,Models!F:F)</f>
        <v>#N/A</v>
      </c>
      <c r="F291" t="str">
        <f>_xlfn.XLOOKUP(B291,MacReports!B:B,MacReports!D:D,"")</f>
        <v/>
      </c>
      <c r="G291" s="13">
        <f>MacReports!E291</f>
        <v>0</v>
      </c>
      <c r="H291" t="e">
        <f>_xlfn.XLOOKUP(G291,Models!A:A,Models!B:B)</f>
        <v>#N/A</v>
      </c>
      <c r="I291" t="e">
        <f>_xlfn.XLOOKUP(G291,Models!A:A,Models!E:E)</f>
        <v>#N/A</v>
      </c>
      <c r="J291" t="e">
        <f>_xlfn.XLOOKUP(G291,Models!A:A,Models!D:D)</f>
        <v>#N/A</v>
      </c>
      <c r="K291">
        <f>MacReports!F291</f>
        <v>0</v>
      </c>
      <c r="L291">
        <f>MacReports!G291</f>
        <v>0</v>
      </c>
      <c r="M291" s="15" t="e" cm="1">
        <f t="array" ref="M291">--_xlfn.LET(
    _xlpm.txt, MacReports!H291,
    _xlpm.chars, MID(_xlpm.txt, _xlfn.SEQUENCE(LEN(_xlpm.txt)), 1),
    _xlfn.TEXTJOIN("", TRUE, IF(ISNUMBER(--_xlpm.chars), _xlpm.chars, ""))
)</f>
        <v>#VALUE!</v>
      </c>
      <c r="N291" s="16" t="str" cm="1">
        <f t="array" ref="N291">_xlfn.IFS(
   --MacReports!M291&lt;55,"Battery Defect",
  -- MacReports!M291&lt;=69,"Battery D",
  --MacReports!M291&lt;=80,"Battery C",
 --MacReports!M291&gt;80,""
)</f>
        <v>Battery Defect</v>
      </c>
      <c r="O291" s="16" t="str">
        <f>IF(MacReports!I291="Service","Battery Service","")</f>
        <v/>
      </c>
      <c r="P291" s="13">
        <f>MacReports!P291</f>
        <v>0</v>
      </c>
      <c r="Q291" s="13" t="str">
        <f>IF(MacReports!J291="Enabled","Apple ID Lock","")</f>
        <v/>
      </c>
      <c r="R291" s="13" t="str">
        <f>IF(MacReports!L291="y","Remote Locked","")</f>
        <v/>
      </c>
      <c r="S291" t="str">
        <f t="shared" ref="S291:S354" si="11">_xlfn.TEXTJOIN(", ",TRUE,Q291,R291,N291,O291,P291)</f>
        <v>Battery Defect, 0</v>
      </c>
      <c r="T291" t="str">
        <f>_xlfn.XLOOKUP(B291,Disk_Pivot!G:G,Disk_Pivot!I:I)</f>
        <v>Yes</v>
      </c>
      <c r="U291" t="str">
        <f>_xlfn.XLOOKUP(B291,Disk_Pivot!G:G,Disk_Pivot!N:N)</f>
        <v>Fail</v>
      </c>
      <c r="V291">
        <f>IF(U291="Fail",MacReports!N291,"")</f>
        <v>0</v>
      </c>
      <c r="AB291" t="str">
        <f t="shared" ref="AB291:AB354" si="12">_xlfn.TEXTJOIN(", ",TRUE,Q291,R291)</f>
        <v/>
      </c>
    </row>
    <row r="292" spans="1:28">
      <c r="A292">
        <f>MacReports!A292</f>
        <v>0</v>
      </c>
      <c r="B292">
        <f>MacReports!B292</f>
        <v>0</v>
      </c>
      <c r="C292">
        <f>MacReports!C292</f>
        <v>0</v>
      </c>
      <c r="E292" t="e">
        <f>_xlfn.XLOOKUP(G292,Models!A:A,Models!F:F)</f>
        <v>#N/A</v>
      </c>
      <c r="F292" t="str">
        <f>_xlfn.XLOOKUP(B292,MacReports!B:B,MacReports!D:D,"")</f>
        <v/>
      </c>
      <c r="G292" s="13">
        <f>MacReports!E292</f>
        <v>0</v>
      </c>
      <c r="H292" t="e">
        <f>_xlfn.XLOOKUP(G292,Models!A:A,Models!B:B)</f>
        <v>#N/A</v>
      </c>
      <c r="I292" t="e">
        <f>_xlfn.XLOOKUP(G292,Models!A:A,Models!E:E)</f>
        <v>#N/A</v>
      </c>
      <c r="J292" t="e">
        <f>_xlfn.XLOOKUP(G292,Models!A:A,Models!D:D)</f>
        <v>#N/A</v>
      </c>
      <c r="K292">
        <f>MacReports!F292</f>
        <v>0</v>
      </c>
      <c r="L292">
        <f>MacReports!G292</f>
        <v>0</v>
      </c>
      <c r="M292" s="15" t="e" cm="1">
        <f t="array" ref="M292">--_xlfn.LET(
    _xlpm.txt, MacReports!H292,
    _xlpm.chars, MID(_xlpm.txt, _xlfn.SEQUENCE(LEN(_xlpm.txt)), 1),
    _xlfn.TEXTJOIN("", TRUE, IF(ISNUMBER(--_xlpm.chars), _xlpm.chars, ""))
)</f>
        <v>#VALUE!</v>
      </c>
      <c r="N292" s="16" t="str" cm="1">
        <f t="array" ref="N292">_xlfn.IFS(
   --MacReports!M292&lt;55,"Battery Defect",
  -- MacReports!M292&lt;=69,"Battery D",
  --MacReports!M292&lt;=80,"Battery C",
 --MacReports!M292&gt;80,""
)</f>
        <v>Battery Defect</v>
      </c>
      <c r="O292" s="16" t="str">
        <f>IF(MacReports!I292="Service","Battery Service","")</f>
        <v/>
      </c>
      <c r="P292" s="13">
        <f>MacReports!P292</f>
        <v>0</v>
      </c>
      <c r="Q292" s="13" t="str">
        <f>IF(MacReports!J292="Enabled","Apple ID Lock","")</f>
        <v/>
      </c>
      <c r="R292" s="13" t="str">
        <f>IF(MacReports!L292="y","Remote Locked","")</f>
        <v/>
      </c>
      <c r="S292" t="str">
        <f t="shared" si="11"/>
        <v>Battery Defect, 0</v>
      </c>
      <c r="T292" t="str">
        <f>_xlfn.XLOOKUP(B292,Disk_Pivot!G:G,Disk_Pivot!I:I)</f>
        <v>Yes</v>
      </c>
      <c r="U292" t="str">
        <f>_xlfn.XLOOKUP(B292,Disk_Pivot!G:G,Disk_Pivot!N:N)</f>
        <v>Fail</v>
      </c>
      <c r="V292">
        <f>IF(U292="Fail",MacReports!N292,"")</f>
        <v>0</v>
      </c>
      <c r="AB292" t="str">
        <f t="shared" si="12"/>
        <v/>
      </c>
    </row>
    <row r="293" spans="1:28">
      <c r="A293">
        <f>MacReports!A293</f>
        <v>0</v>
      </c>
      <c r="B293">
        <f>MacReports!B293</f>
        <v>0</v>
      </c>
      <c r="C293">
        <f>MacReports!C293</f>
        <v>0</v>
      </c>
      <c r="E293" t="e">
        <f>_xlfn.XLOOKUP(G293,Models!A:A,Models!F:F)</f>
        <v>#N/A</v>
      </c>
      <c r="F293" t="str">
        <f>_xlfn.XLOOKUP(B293,MacReports!B:B,MacReports!D:D,"")</f>
        <v/>
      </c>
      <c r="G293" s="13">
        <f>MacReports!E293</f>
        <v>0</v>
      </c>
      <c r="H293" t="e">
        <f>_xlfn.XLOOKUP(G293,Models!A:A,Models!B:B)</f>
        <v>#N/A</v>
      </c>
      <c r="I293" t="e">
        <f>_xlfn.XLOOKUP(G293,Models!A:A,Models!E:E)</f>
        <v>#N/A</v>
      </c>
      <c r="J293" t="e">
        <f>_xlfn.XLOOKUP(G293,Models!A:A,Models!D:D)</f>
        <v>#N/A</v>
      </c>
      <c r="K293">
        <f>MacReports!F293</f>
        <v>0</v>
      </c>
      <c r="L293">
        <f>MacReports!G293</f>
        <v>0</v>
      </c>
      <c r="M293" s="15" t="e" cm="1">
        <f t="array" ref="M293">--_xlfn.LET(
    _xlpm.txt, MacReports!H293,
    _xlpm.chars, MID(_xlpm.txt, _xlfn.SEQUENCE(LEN(_xlpm.txt)), 1),
    _xlfn.TEXTJOIN("", TRUE, IF(ISNUMBER(--_xlpm.chars), _xlpm.chars, ""))
)</f>
        <v>#VALUE!</v>
      </c>
      <c r="N293" s="16" t="str" cm="1">
        <f t="array" ref="N293">_xlfn.IFS(
   --MacReports!M293&lt;55,"Battery Defect",
  -- MacReports!M293&lt;=69,"Battery D",
  --MacReports!M293&lt;=80,"Battery C",
 --MacReports!M293&gt;80,""
)</f>
        <v>Battery Defect</v>
      </c>
      <c r="O293" s="16" t="str">
        <f>IF(MacReports!I293="Service","Battery Service","")</f>
        <v/>
      </c>
      <c r="P293" s="13">
        <f>MacReports!P293</f>
        <v>0</v>
      </c>
      <c r="Q293" s="13" t="str">
        <f>IF(MacReports!J293="Enabled","Apple ID Lock","")</f>
        <v/>
      </c>
      <c r="R293" s="13" t="str">
        <f>IF(MacReports!L293="y","Remote Locked","")</f>
        <v/>
      </c>
      <c r="S293" t="str">
        <f t="shared" si="11"/>
        <v>Battery Defect, 0</v>
      </c>
      <c r="T293" t="str">
        <f>_xlfn.XLOOKUP(B293,Disk_Pivot!G:G,Disk_Pivot!I:I)</f>
        <v>Yes</v>
      </c>
      <c r="U293" t="str">
        <f>_xlfn.XLOOKUP(B293,Disk_Pivot!G:G,Disk_Pivot!N:N)</f>
        <v>Fail</v>
      </c>
      <c r="V293">
        <f>IF(U293="Fail",MacReports!N293,"")</f>
        <v>0</v>
      </c>
      <c r="AB293" t="str">
        <f t="shared" si="12"/>
        <v/>
      </c>
    </row>
    <row r="294" spans="1:28">
      <c r="A294">
        <f>MacReports!A294</f>
        <v>0</v>
      </c>
      <c r="B294">
        <f>MacReports!B294</f>
        <v>0</v>
      </c>
      <c r="C294">
        <f>MacReports!C294</f>
        <v>0</v>
      </c>
      <c r="E294" t="e">
        <f>_xlfn.XLOOKUP(G294,Models!A:A,Models!F:F)</f>
        <v>#N/A</v>
      </c>
      <c r="F294" t="str">
        <f>_xlfn.XLOOKUP(B294,MacReports!B:B,MacReports!D:D,"")</f>
        <v/>
      </c>
      <c r="G294" s="13">
        <f>MacReports!E294</f>
        <v>0</v>
      </c>
      <c r="H294" t="e">
        <f>_xlfn.XLOOKUP(G294,Models!A:A,Models!B:B)</f>
        <v>#N/A</v>
      </c>
      <c r="I294" t="e">
        <f>_xlfn.XLOOKUP(G294,Models!A:A,Models!E:E)</f>
        <v>#N/A</v>
      </c>
      <c r="J294" t="e">
        <f>_xlfn.XLOOKUP(G294,Models!A:A,Models!D:D)</f>
        <v>#N/A</v>
      </c>
      <c r="K294">
        <f>MacReports!F294</f>
        <v>0</v>
      </c>
      <c r="L294">
        <f>MacReports!G294</f>
        <v>0</v>
      </c>
      <c r="M294" s="15" t="e" cm="1">
        <f t="array" ref="M294">--_xlfn.LET(
    _xlpm.txt, MacReports!H294,
    _xlpm.chars, MID(_xlpm.txt, _xlfn.SEQUENCE(LEN(_xlpm.txt)), 1),
    _xlfn.TEXTJOIN("", TRUE, IF(ISNUMBER(--_xlpm.chars), _xlpm.chars, ""))
)</f>
        <v>#VALUE!</v>
      </c>
      <c r="N294" s="16" t="str" cm="1">
        <f t="array" ref="N294">_xlfn.IFS(
   --MacReports!M294&lt;55,"Battery Defect",
  -- MacReports!M294&lt;=69,"Battery D",
  --MacReports!M294&lt;=80,"Battery C",
 --MacReports!M294&gt;80,""
)</f>
        <v>Battery Defect</v>
      </c>
      <c r="O294" s="16" t="str">
        <f>IF(MacReports!I294="Service","Battery Service","")</f>
        <v/>
      </c>
      <c r="P294" s="13">
        <f>MacReports!P294</f>
        <v>0</v>
      </c>
      <c r="Q294" s="13" t="str">
        <f>IF(MacReports!J294="Enabled","Apple ID Lock","")</f>
        <v/>
      </c>
      <c r="R294" s="13" t="str">
        <f>IF(MacReports!L294="y","Remote Locked","")</f>
        <v/>
      </c>
      <c r="S294" t="str">
        <f t="shared" si="11"/>
        <v>Battery Defect, 0</v>
      </c>
      <c r="T294" t="str">
        <f>_xlfn.XLOOKUP(B294,Disk_Pivot!G:G,Disk_Pivot!I:I)</f>
        <v>Yes</v>
      </c>
      <c r="U294" t="str">
        <f>_xlfn.XLOOKUP(B294,Disk_Pivot!G:G,Disk_Pivot!N:N)</f>
        <v>Fail</v>
      </c>
      <c r="V294">
        <f>IF(U294="Fail",MacReports!N294,"")</f>
        <v>0</v>
      </c>
      <c r="AB294" t="str">
        <f t="shared" si="12"/>
        <v/>
      </c>
    </row>
    <row r="295" spans="1:28">
      <c r="A295">
        <f>MacReports!A295</f>
        <v>0</v>
      </c>
      <c r="B295">
        <f>MacReports!B295</f>
        <v>0</v>
      </c>
      <c r="C295">
        <f>MacReports!C295</f>
        <v>0</v>
      </c>
      <c r="E295" t="e">
        <f>_xlfn.XLOOKUP(G295,Models!A:A,Models!F:F)</f>
        <v>#N/A</v>
      </c>
      <c r="F295" t="str">
        <f>_xlfn.XLOOKUP(B295,MacReports!B:B,MacReports!D:D,"")</f>
        <v/>
      </c>
      <c r="G295" s="13">
        <f>MacReports!E295</f>
        <v>0</v>
      </c>
      <c r="H295" t="e">
        <f>_xlfn.XLOOKUP(G295,Models!A:A,Models!B:B)</f>
        <v>#N/A</v>
      </c>
      <c r="I295" t="e">
        <f>_xlfn.XLOOKUP(G295,Models!A:A,Models!E:E)</f>
        <v>#N/A</v>
      </c>
      <c r="J295" t="e">
        <f>_xlfn.XLOOKUP(G295,Models!A:A,Models!D:D)</f>
        <v>#N/A</v>
      </c>
      <c r="K295">
        <f>MacReports!F295</f>
        <v>0</v>
      </c>
      <c r="L295">
        <f>MacReports!G295</f>
        <v>0</v>
      </c>
      <c r="M295" s="15" t="e" cm="1">
        <f t="array" ref="M295">--_xlfn.LET(
    _xlpm.txt, MacReports!H295,
    _xlpm.chars, MID(_xlpm.txt, _xlfn.SEQUENCE(LEN(_xlpm.txt)), 1),
    _xlfn.TEXTJOIN("", TRUE, IF(ISNUMBER(--_xlpm.chars), _xlpm.chars, ""))
)</f>
        <v>#VALUE!</v>
      </c>
      <c r="N295" s="16" t="str" cm="1">
        <f t="array" ref="N295">_xlfn.IFS(
   --MacReports!M295&lt;55,"Battery Defect",
  -- MacReports!M295&lt;=69,"Battery D",
  --MacReports!M295&lt;=80,"Battery C",
 --MacReports!M295&gt;80,""
)</f>
        <v>Battery Defect</v>
      </c>
      <c r="O295" s="16" t="str">
        <f>IF(MacReports!I295="Service","Battery Service","")</f>
        <v/>
      </c>
      <c r="P295" s="13">
        <f>MacReports!P295</f>
        <v>0</v>
      </c>
      <c r="Q295" s="13" t="str">
        <f>IF(MacReports!J295="Enabled","Apple ID Lock","")</f>
        <v/>
      </c>
      <c r="R295" s="13" t="str">
        <f>IF(MacReports!L295="y","Remote Locked","")</f>
        <v/>
      </c>
      <c r="S295" t="str">
        <f t="shared" si="11"/>
        <v>Battery Defect, 0</v>
      </c>
      <c r="T295" t="str">
        <f>_xlfn.XLOOKUP(B295,Disk_Pivot!G:G,Disk_Pivot!I:I)</f>
        <v>Yes</v>
      </c>
      <c r="U295" t="str">
        <f>_xlfn.XLOOKUP(B295,Disk_Pivot!G:G,Disk_Pivot!N:N)</f>
        <v>Fail</v>
      </c>
      <c r="V295">
        <f>IF(U295="Fail",MacReports!N295,"")</f>
        <v>0</v>
      </c>
      <c r="AB295" t="str">
        <f t="shared" si="12"/>
        <v/>
      </c>
    </row>
    <row r="296" spans="1:28">
      <c r="A296">
        <f>MacReports!A296</f>
        <v>0</v>
      </c>
      <c r="B296">
        <f>MacReports!B296</f>
        <v>0</v>
      </c>
      <c r="C296">
        <f>MacReports!C296</f>
        <v>0</v>
      </c>
      <c r="E296" t="e">
        <f>_xlfn.XLOOKUP(G296,Models!A:A,Models!F:F)</f>
        <v>#N/A</v>
      </c>
      <c r="F296" t="str">
        <f>_xlfn.XLOOKUP(B296,MacReports!B:B,MacReports!D:D,"")</f>
        <v/>
      </c>
      <c r="G296" s="13">
        <f>MacReports!E296</f>
        <v>0</v>
      </c>
      <c r="H296" t="e">
        <f>_xlfn.XLOOKUP(G296,Models!A:A,Models!B:B)</f>
        <v>#N/A</v>
      </c>
      <c r="I296" t="e">
        <f>_xlfn.XLOOKUP(G296,Models!A:A,Models!E:E)</f>
        <v>#N/A</v>
      </c>
      <c r="J296" t="e">
        <f>_xlfn.XLOOKUP(G296,Models!A:A,Models!D:D)</f>
        <v>#N/A</v>
      </c>
      <c r="K296">
        <f>MacReports!F296</f>
        <v>0</v>
      </c>
      <c r="L296">
        <f>MacReports!G296</f>
        <v>0</v>
      </c>
      <c r="M296" s="15" t="e" cm="1">
        <f t="array" ref="M296">--_xlfn.LET(
    _xlpm.txt, MacReports!H296,
    _xlpm.chars, MID(_xlpm.txt, _xlfn.SEQUENCE(LEN(_xlpm.txt)), 1),
    _xlfn.TEXTJOIN("", TRUE, IF(ISNUMBER(--_xlpm.chars), _xlpm.chars, ""))
)</f>
        <v>#VALUE!</v>
      </c>
      <c r="N296" s="16" t="str" cm="1">
        <f t="array" ref="N296">_xlfn.IFS(
   --MacReports!M296&lt;55,"Battery Defect",
  -- MacReports!M296&lt;=69,"Battery D",
  --MacReports!M296&lt;=80,"Battery C",
 --MacReports!M296&gt;80,""
)</f>
        <v>Battery Defect</v>
      </c>
      <c r="O296" s="16" t="str">
        <f>IF(MacReports!I296="Service","Battery Service","")</f>
        <v/>
      </c>
      <c r="P296" s="13">
        <f>MacReports!P296</f>
        <v>0</v>
      </c>
      <c r="Q296" s="13" t="str">
        <f>IF(MacReports!J296="Enabled","Apple ID Lock","")</f>
        <v/>
      </c>
      <c r="R296" s="13" t="str">
        <f>IF(MacReports!L296="y","Remote Locked","")</f>
        <v/>
      </c>
      <c r="S296" t="str">
        <f t="shared" si="11"/>
        <v>Battery Defect, 0</v>
      </c>
      <c r="T296" t="str">
        <f>_xlfn.XLOOKUP(B296,Disk_Pivot!G:G,Disk_Pivot!I:I)</f>
        <v>Yes</v>
      </c>
      <c r="U296" t="str">
        <f>_xlfn.XLOOKUP(B296,Disk_Pivot!G:G,Disk_Pivot!N:N)</f>
        <v>Fail</v>
      </c>
      <c r="V296">
        <f>IF(U296="Fail",MacReports!N296,"")</f>
        <v>0</v>
      </c>
      <c r="AB296" t="str">
        <f t="shared" si="12"/>
        <v/>
      </c>
    </row>
    <row r="297" spans="1:28">
      <c r="A297">
        <f>MacReports!A297</f>
        <v>0</v>
      </c>
      <c r="B297">
        <f>MacReports!B297</f>
        <v>0</v>
      </c>
      <c r="C297">
        <f>MacReports!C297</f>
        <v>0</v>
      </c>
      <c r="E297" t="e">
        <f>_xlfn.XLOOKUP(G297,Models!A:A,Models!F:F)</f>
        <v>#N/A</v>
      </c>
      <c r="F297" t="str">
        <f>_xlfn.XLOOKUP(B297,MacReports!B:B,MacReports!D:D,"")</f>
        <v/>
      </c>
      <c r="G297" s="13">
        <f>MacReports!E297</f>
        <v>0</v>
      </c>
      <c r="H297" t="e">
        <f>_xlfn.XLOOKUP(G297,Models!A:A,Models!B:B)</f>
        <v>#N/A</v>
      </c>
      <c r="I297" t="e">
        <f>_xlfn.XLOOKUP(G297,Models!A:A,Models!E:E)</f>
        <v>#N/A</v>
      </c>
      <c r="J297" t="e">
        <f>_xlfn.XLOOKUP(G297,Models!A:A,Models!D:D)</f>
        <v>#N/A</v>
      </c>
      <c r="K297">
        <f>MacReports!F297</f>
        <v>0</v>
      </c>
      <c r="L297">
        <f>MacReports!G297</f>
        <v>0</v>
      </c>
      <c r="M297" s="15" t="e" cm="1">
        <f t="array" ref="M297">--_xlfn.LET(
    _xlpm.txt, MacReports!H297,
    _xlpm.chars, MID(_xlpm.txt, _xlfn.SEQUENCE(LEN(_xlpm.txt)), 1),
    _xlfn.TEXTJOIN("", TRUE, IF(ISNUMBER(--_xlpm.chars), _xlpm.chars, ""))
)</f>
        <v>#VALUE!</v>
      </c>
      <c r="N297" s="16" t="str" cm="1">
        <f t="array" ref="N297">_xlfn.IFS(
   --MacReports!M297&lt;55,"Battery Defect",
  -- MacReports!M297&lt;=69,"Battery D",
  --MacReports!M297&lt;=80,"Battery C",
 --MacReports!M297&gt;80,""
)</f>
        <v>Battery Defect</v>
      </c>
      <c r="O297" s="16" t="str">
        <f>IF(MacReports!I297="Service","Battery Service","")</f>
        <v/>
      </c>
      <c r="P297" s="13">
        <f>MacReports!P297</f>
        <v>0</v>
      </c>
      <c r="Q297" s="13" t="str">
        <f>IF(MacReports!J297="Enabled","Apple ID Lock","")</f>
        <v/>
      </c>
      <c r="R297" s="13" t="str">
        <f>IF(MacReports!L297="y","Remote Locked","")</f>
        <v/>
      </c>
      <c r="S297" t="str">
        <f t="shared" si="11"/>
        <v>Battery Defect, 0</v>
      </c>
      <c r="T297" t="str">
        <f>_xlfn.XLOOKUP(B297,Disk_Pivot!G:G,Disk_Pivot!I:I)</f>
        <v>Yes</v>
      </c>
      <c r="U297" t="str">
        <f>_xlfn.XLOOKUP(B297,Disk_Pivot!G:G,Disk_Pivot!N:N)</f>
        <v>Fail</v>
      </c>
      <c r="V297">
        <f>IF(U297="Fail",MacReports!N297,"")</f>
        <v>0</v>
      </c>
      <c r="AB297" t="str">
        <f t="shared" si="12"/>
        <v/>
      </c>
    </row>
    <row r="298" spans="1:28">
      <c r="A298">
        <f>MacReports!A298</f>
        <v>0</v>
      </c>
      <c r="B298">
        <f>MacReports!B298</f>
        <v>0</v>
      </c>
      <c r="C298">
        <f>MacReports!C298</f>
        <v>0</v>
      </c>
      <c r="E298" t="e">
        <f>_xlfn.XLOOKUP(G298,Models!A:A,Models!F:F)</f>
        <v>#N/A</v>
      </c>
      <c r="F298" t="str">
        <f>_xlfn.XLOOKUP(B298,MacReports!B:B,MacReports!D:D,"")</f>
        <v/>
      </c>
      <c r="G298" s="13">
        <f>MacReports!E298</f>
        <v>0</v>
      </c>
      <c r="H298" t="e">
        <f>_xlfn.XLOOKUP(G298,Models!A:A,Models!B:B)</f>
        <v>#N/A</v>
      </c>
      <c r="I298" t="e">
        <f>_xlfn.XLOOKUP(G298,Models!A:A,Models!E:E)</f>
        <v>#N/A</v>
      </c>
      <c r="J298" t="e">
        <f>_xlfn.XLOOKUP(G298,Models!A:A,Models!D:D)</f>
        <v>#N/A</v>
      </c>
      <c r="K298">
        <f>MacReports!F298</f>
        <v>0</v>
      </c>
      <c r="L298">
        <f>MacReports!G298</f>
        <v>0</v>
      </c>
      <c r="M298" s="15" t="e" cm="1">
        <f t="array" ref="M298">--_xlfn.LET(
    _xlpm.txt, MacReports!H298,
    _xlpm.chars, MID(_xlpm.txt, _xlfn.SEQUENCE(LEN(_xlpm.txt)), 1),
    _xlfn.TEXTJOIN("", TRUE, IF(ISNUMBER(--_xlpm.chars), _xlpm.chars, ""))
)</f>
        <v>#VALUE!</v>
      </c>
      <c r="N298" s="16" t="str" cm="1">
        <f t="array" ref="N298">_xlfn.IFS(
   --MacReports!M298&lt;55,"Battery Defect",
  -- MacReports!M298&lt;=69,"Battery D",
  --MacReports!M298&lt;=80,"Battery C",
 --MacReports!M298&gt;80,""
)</f>
        <v>Battery Defect</v>
      </c>
      <c r="O298" s="16" t="str">
        <f>IF(MacReports!I298="Service","Battery Service","")</f>
        <v/>
      </c>
      <c r="P298" s="13">
        <f>MacReports!P298</f>
        <v>0</v>
      </c>
      <c r="Q298" s="13" t="str">
        <f>IF(MacReports!J298="Enabled","Apple ID Lock","")</f>
        <v/>
      </c>
      <c r="R298" s="13" t="str">
        <f>IF(MacReports!L298="y","Remote Locked","")</f>
        <v/>
      </c>
      <c r="S298" t="str">
        <f t="shared" si="11"/>
        <v>Battery Defect, 0</v>
      </c>
      <c r="T298" t="str">
        <f>_xlfn.XLOOKUP(B298,Disk_Pivot!G:G,Disk_Pivot!I:I)</f>
        <v>Yes</v>
      </c>
      <c r="U298" t="str">
        <f>_xlfn.XLOOKUP(B298,Disk_Pivot!G:G,Disk_Pivot!N:N)</f>
        <v>Fail</v>
      </c>
      <c r="V298">
        <f>IF(U298="Fail",MacReports!N298,"")</f>
        <v>0</v>
      </c>
      <c r="AB298" t="str">
        <f t="shared" si="12"/>
        <v/>
      </c>
    </row>
    <row r="299" spans="1:28">
      <c r="A299">
        <f>MacReports!A299</f>
        <v>0</v>
      </c>
      <c r="B299">
        <f>MacReports!B299</f>
        <v>0</v>
      </c>
      <c r="C299">
        <f>MacReports!C299</f>
        <v>0</v>
      </c>
      <c r="E299" t="e">
        <f>_xlfn.XLOOKUP(G299,Models!A:A,Models!F:F)</f>
        <v>#N/A</v>
      </c>
      <c r="F299" t="str">
        <f>_xlfn.XLOOKUP(B299,MacReports!B:B,MacReports!D:D,"")</f>
        <v/>
      </c>
      <c r="G299" s="13">
        <f>MacReports!E299</f>
        <v>0</v>
      </c>
      <c r="H299" t="e">
        <f>_xlfn.XLOOKUP(G299,Models!A:A,Models!B:B)</f>
        <v>#N/A</v>
      </c>
      <c r="I299" t="e">
        <f>_xlfn.XLOOKUP(G299,Models!A:A,Models!E:E)</f>
        <v>#N/A</v>
      </c>
      <c r="J299" t="e">
        <f>_xlfn.XLOOKUP(G299,Models!A:A,Models!D:D)</f>
        <v>#N/A</v>
      </c>
      <c r="K299">
        <f>MacReports!F299</f>
        <v>0</v>
      </c>
      <c r="L299">
        <f>MacReports!G299</f>
        <v>0</v>
      </c>
      <c r="M299" s="15" t="e" cm="1">
        <f t="array" ref="M299">--_xlfn.LET(
    _xlpm.txt, MacReports!H299,
    _xlpm.chars, MID(_xlpm.txt, _xlfn.SEQUENCE(LEN(_xlpm.txt)), 1),
    _xlfn.TEXTJOIN("", TRUE, IF(ISNUMBER(--_xlpm.chars), _xlpm.chars, ""))
)</f>
        <v>#VALUE!</v>
      </c>
      <c r="N299" s="16" t="str" cm="1">
        <f t="array" ref="N299">_xlfn.IFS(
   --MacReports!M299&lt;55,"Battery Defect",
  -- MacReports!M299&lt;=69,"Battery D",
  --MacReports!M299&lt;=80,"Battery C",
 --MacReports!M299&gt;80,""
)</f>
        <v>Battery Defect</v>
      </c>
      <c r="O299" s="16" t="str">
        <f>IF(MacReports!I299="Service","Battery Service","")</f>
        <v/>
      </c>
      <c r="P299" s="13">
        <f>MacReports!P299</f>
        <v>0</v>
      </c>
      <c r="Q299" s="13" t="str">
        <f>IF(MacReports!J299="Enabled","Apple ID Lock","")</f>
        <v/>
      </c>
      <c r="R299" s="13" t="str">
        <f>IF(MacReports!L299="y","Remote Locked","")</f>
        <v/>
      </c>
      <c r="S299" t="str">
        <f t="shared" si="11"/>
        <v>Battery Defect, 0</v>
      </c>
      <c r="T299" t="str">
        <f>_xlfn.XLOOKUP(B299,Disk_Pivot!G:G,Disk_Pivot!I:I)</f>
        <v>Yes</v>
      </c>
      <c r="U299" t="str">
        <f>_xlfn.XLOOKUP(B299,Disk_Pivot!G:G,Disk_Pivot!N:N)</f>
        <v>Fail</v>
      </c>
      <c r="V299">
        <f>IF(U299="Fail",MacReports!N299,"")</f>
        <v>0</v>
      </c>
      <c r="AB299" t="str">
        <f t="shared" si="12"/>
        <v/>
      </c>
    </row>
    <row r="300" spans="1:28">
      <c r="A300">
        <f>MacReports!A300</f>
        <v>0</v>
      </c>
      <c r="B300">
        <f>MacReports!B300</f>
        <v>0</v>
      </c>
      <c r="C300">
        <f>MacReports!C300</f>
        <v>0</v>
      </c>
      <c r="E300" t="e">
        <f>_xlfn.XLOOKUP(G300,Models!A:A,Models!F:F)</f>
        <v>#N/A</v>
      </c>
      <c r="F300" t="str">
        <f>_xlfn.XLOOKUP(B300,MacReports!B:B,MacReports!D:D,"")</f>
        <v/>
      </c>
      <c r="G300" s="13">
        <f>MacReports!E300</f>
        <v>0</v>
      </c>
      <c r="H300" t="e">
        <f>_xlfn.XLOOKUP(G300,Models!A:A,Models!B:B)</f>
        <v>#N/A</v>
      </c>
      <c r="I300" t="e">
        <f>_xlfn.XLOOKUP(G300,Models!A:A,Models!E:E)</f>
        <v>#N/A</v>
      </c>
      <c r="J300" t="e">
        <f>_xlfn.XLOOKUP(G300,Models!A:A,Models!D:D)</f>
        <v>#N/A</v>
      </c>
      <c r="K300">
        <f>MacReports!F300</f>
        <v>0</v>
      </c>
      <c r="L300">
        <f>MacReports!G300</f>
        <v>0</v>
      </c>
      <c r="M300" s="15" t="e" cm="1">
        <f t="array" ref="M300">--_xlfn.LET(
    _xlpm.txt, MacReports!H300,
    _xlpm.chars, MID(_xlpm.txt, _xlfn.SEQUENCE(LEN(_xlpm.txt)), 1),
    _xlfn.TEXTJOIN("", TRUE, IF(ISNUMBER(--_xlpm.chars), _xlpm.chars, ""))
)</f>
        <v>#VALUE!</v>
      </c>
      <c r="N300" s="16" t="str" cm="1">
        <f t="array" ref="N300">_xlfn.IFS(
   --MacReports!M300&lt;55,"Battery Defect",
  -- MacReports!M300&lt;=69,"Battery D",
  --MacReports!M300&lt;=80,"Battery C",
 --MacReports!M300&gt;80,""
)</f>
        <v>Battery Defect</v>
      </c>
      <c r="O300" s="16" t="str">
        <f>IF(MacReports!I300="Service","Battery Service","")</f>
        <v/>
      </c>
      <c r="P300" s="13">
        <f>MacReports!P300</f>
        <v>0</v>
      </c>
      <c r="Q300" s="13" t="str">
        <f>IF(MacReports!J300="Enabled","Apple ID Lock","")</f>
        <v/>
      </c>
      <c r="R300" s="13" t="str">
        <f>IF(MacReports!L300="y","Remote Locked","")</f>
        <v/>
      </c>
      <c r="S300" t="str">
        <f t="shared" si="11"/>
        <v>Battery Defect, 0</v>
      </c>
      <c r="T300" t="str">
        <f>_xlfn.XLOOKUP(B300,Disk_Pivot!G:G,Disk_Pivot!I:I)</f>
        <v>Yes</v>
      </c>
      <c r="U300" t="str">
        <f>_xlfn.XLOOKUP(B300,Disk_Pivot!G:G,Disk_Pivot!N:N)</f>
        <v>Fail</v>
      </c>
      <c r="V300">
        <f>IF(U300="Fail",MacReports!N300,"")</f>
        <v>0</v>
      </c>
      <c r="AB300" t="str">
        <f t="shared" si="12"/>
        <v/>
      </c>
    </row>
    <row r="301" spans="1:28">
      <c r="A301">
        <f>MacReports!A301</f>
        <v>0</v>
      </c>
      <c r="B301">
        <f>MacReports!B301</f>
        <v>0</v>
      </c>
      <c r="C301">
        <f>MacReports!C301</f>
        <v>0</v>
      </c>
      <c r="E301" t="e">
        <f>_xlfn.XLOOKUP(G301,Models!A:A,Models!F:F)</f>
        <v>#N/A</v>
      </c>
      <c r="F301" t="str">
        <f>_xlfn.XLOOKUP(B301,MacReports!B:B,MacReports!D:D,"")</f>
        <v/>
      </c>
      <c r="G301" s="13">
        <f>MacReports!E301</f>
        <v>0</v>
      </c>
      <c r="H301" t="e">
        <f>_xlfn.XLOOKUP(G301,Models!A:A,Models!B:B)</f>
        <v>#N/A</v>
      </c>
      <c r="I301" t="e">
        <f>_xlfn.XLOOKUP(G301,Models!A:A,Models!E:E)</f>
        <v>#N/A</v>
      </c>
      <c r="J301" t="e">
        <f>_xlfn.XLOOKUP(G301,Models!A:A,Models!D:D)</f>
        <v>#N/A</v>
      </c>
      <c r="K301">
        <f>MacReports!F301</f>
        <v>0</v>
      </c>
      <c r="L301">
        <f>MacReports!G301</f>
        <v>0</v>
      </c>
      <c r="M301" s="15" t="e" cm="1">
        <f t="array" ref="M301">--_xlfn.LET(
    _xlpm.txt, MacReports!H301,
    _xlpm.chars, MID(_xlpm.txt, _xlfn.SEQUENCE(LEN(_xlpm.txt)), 1),
    _xlfn.TEXTJOIN("", TRUE, IF(ISNUMBER(--_xlpm.chars), _xlpm.chars, ""))
)</f>
        <v>#VALUE!</v>
      </c>
      <c r="N301" s="16" t="str" cm="1">
        <f t="array" ref="N301">_xlfn.IFS(
   --MacReports!M301&lt;55,"Battery Defect",
  -- MacReports!M301&lt;=69,"Battery D",
  --MacReports!M301&lt;=80,"Battery C",
 --MacReports!M301&gt;80,""
)</f>
        <v>Battery Defect</v>
      </c>
      <c r="O301" s="16" t="str">
        <f>IF(MacReports!I301="Service","Battery Service","")</f>
        <v/>
      </c>
      <c r="P301" s="13">
        <f>MacReports!P301</f>
        <v>0</v>
      </c>
      <c r="Q301" s="13" t="str">
        <f>IF(MacReports!J301="Enabled","Apple ID Lock","")</f>
        <v/>
      </c>
      <c r="R301" s="13" t="str">
        <f>IF(MacReports!L301="y","Remote Locked","")</f>
        <v/>
      </c>
      <c r="S301" t="str">
        <f t="shared" si="11"/>
        <v>Battery Defect, 0</v>
      </c>
      <c r="T301" t="str">
        <f>_xlfn.XLOOKUP(B301,Disk_Pivot!G:G,Disk_Pivot!I:I)</f>
        <v>Yes</v>
      </c>
      <c r="U301" t="str">
        <f>_xlfn.XLOOKUP(B301,Disk_Pivot!G:G,Disk_Pivot!N:N)</f>
        <v>Fail</v>
      </c>
      <c r="V301">
        <f>IF(U301="Fail",MacReports!N301,"")</f>
        <v>0</v>
      </c>
      <c r="AB301" t="str">
        <f t="shared" si="12"/>
        <v/>
      </c>
    </row>
    <row r="302" spans="1:28">
      <c r="A302">
        <f>MacReports!A302</f>
        <v>0</v>
      </c>
      <c r="B302">
        <f>MacReports!B302</f>
        <v>0</v>
      </c>
      <c r="C302">
        <f>MacReports!C302</f>
        <v>0</v>
      </c>
      <c r="E302" t="e">
        <f>_xlfn.XLOOKUP(G302,Models!A:A,Models!F:F)</f>
        <v>#N/A</v>
      </c>
      <c r="F302" t="str">
        <f>_xlfn.XLOOKUP(B302,MacReports!B:B,MacReports!D:D,"")</f>
        <v/>
      </c>
      <c r="G302" s="13">
        <f>MacReports!E302</f>
        <v>0</v>
      </c>
      <c r="H302" t="e">
        <f>_xlfn.XLOOKUP(G302,Models!A:A,Models!B:B)</f>
        <v>#N/A</v>
      </c>
      <c r="I302" t="e">
        <f>_xlfn.XLOOKUP(G302,Models!A:A,Models!E:E)</f>
        <v>#N/A</v>
      </c>
      <c r="J302" t="e">
        <f>_xlfn.XLOOKUP(G302,Models!A:A,Models!D:D)</f>
        <v>#N/A</v>
      </c>
      <c r="K302">
        <f>MacReports!F302</f>
        <v>0</v>
      </c>
      <c r="L302">
        <f>MacReports!G302</f>
        <v>0</v>
      </c>
      <c r="M302" s="15" t="e" cm="1">
        <f t="array" ref="M302">--_xlfn.LET(
    _xlpm.txt, MacReports!H302,
    _xlpm.chars, MID(_xlpm.txt, _xlfn.SEQUENCE(LEN(_xlpm.txt)), 1),
    _xlfn.TEXTJOIN("", TRUE, IF(ISNUMBER(--_xlpm.chars), _xlpm.chars, ""))
)</f>
        <v>#VALUE!</v>
      </c>
      <c r="N302" s="16" t="str" cm="1">
        <f t="array" ref="N302">_xlfn.IFS(
   --MacReports!M302&lt;55,"Battery Defect",
  -- MacReports!M302&lt;=69,"Battery D",
  --MacReports!M302&lt;=80,"Battery C",
 --MacReports!M302&gt;80,""
)</f>
        <v>Battery Defect</v>
      </c>
      <c r="O302" s="16" t="str">
        <f>IF(MacReports!I302="Service","Battery Service","")</f>
        <v/>
      </c>
      <c r="P302" s="13">
        <f>MacReports!P302</f>
        <v>0</v>
      </c>
      <c r="Q302" s="13" t="str">
        <f>IF(MacReports!J302="Enabled","Apple ID Lock","")</f>
        <v/>
      </c>
      <c r="R302" s="13" t="str">
        <f>IF(MacReports!L302="y","Remote Locked","")</f>
        <v/>
      </c>
      <c r="S302" t="str">
        <f t="shared" si="11"/>
        <v>Battery Defect, 0</v>
      </c>
      <c r="T302" t="str">
        <f>_xlfn.XLOOKUP(B302,Disk_Pivot!G:G,Disk_Pivot!I:I)</f>
        <v>Yes</v>
      </c>
      <c r="U302" t="str">
        <f>_xlfn.XLOOKUP(B302,Disk_Pivot!G:G,Disk_Pivot!N:N)</f>
        <v>Fail</v>
      </c>
      <c r="V302">
        <f>IF(U302="Fail",MacReports!N302,"")</f>
        <v>0</v>
      </c>
      <c r="AB302" t="str">
        <f t="shared" si="12"/>
        <v/>
      </c>
    </row>
    <row r="303" spans="1:28">
      <c r="A303">
        <f>MacReports!A303</f>
        <v>0</v>
      </c>
      <c r="B303">
        <f>MacReports!B303</f>
        <v>0</v>
      </c>
      <c r="C303">
        <f>MacReports!C303</f>
        <v>0</v>
      </c>
      <c r="E303" t="e">
        <f>_xlfn.XLOOKUP(G303,Models!A:A,Models!F:F)</f>
        <v>#N/A</v>
      </c>
      <c r="F303" t="str">
        <f>_xlfn.XLOOKUP(B303,MacReports!B:B,MacReports!D:D,"")</f>
        <v/>
      </c>
      <c r="G303" s="13">
        <f>MacReports!E303</f>
        <v>0</v>
      </c>
      <c r="H303" t="e">
        <f>_xlfn.XLOOKUP(G303,Models!A:A,Models!B:B)</f>
        <v>#N/A</v>
      </c>
      <c r="I303" t="e">
        <f>_xlfn.XLOOKUP(G303,Models!A:A,Models!E:E)</f>
        <v>#N/A</v>
      </c>
      <c r="J303" t="e">
        <f>_xlfn.XLOOKUP(G303,Models!A:A,Models!D:D)</f>
        <v>#N/A</v>
      </c>
      <c r="K303">
        <f>MacReports!F303</f>
        <v>0</v>
      </c>
      <c r="L303">
        <f>MacReports!G303</f>
        <v>0</v>
      </c>
      <c r="M303" s="15" t="e" cm="1">
        <f t="array" ref="M303">--_xlfn.LET(
    _xlpm.txt, MacReports!H303,
    _xlpm.chars, MID(_xlpm.txt, _xlfn.SEQUENCE(LEN(_xlpm.txt)), 1),
    _xlfn.TEXTJOIN("", TRUE, IF(ISNUMBER(--_xlpm.chars), _xlpm.chars, ""))
)</f>
        <v>#VALUE!</v>
      </c>
      <c r="N303" s="16" t="str" cm="1">
        <f t="array" ref="N303">_xlfn.IFS(
   --MacReports!M303&lt;55,"Battery Defect",
  -- MacReports!M303&lt;=69,"Battery D",
  --MacReports!M303&lt;=80,"Battery C",
 --MacReports!M303&gt;80,""
)</f>
        <v>Battery Defect</v>
      </c>
      <c r="O303" s="16" t="str">
        <f>IF(MacReports!I303="Service","Battery Service","")</f>
        <v/>
      </c>
      <c r="P303" s="13">
        <f>MacReports!P303</f>
        <v>0</v>
      </c>
      <c r="Q303" s="13" t="str">
        <f>IF(MacReports!J303="Enabled","Apple ID Lock","")</f>
        <v/>
      </c>
      <c r="R303" s="13" t="str">
        <f>IF(MacReports!L303="y","Remote Locked","")</f>
        <v/>
      </c>
      <c r="S303" t="str">
        <f t="shared" si="11"/>
        <v>Battery Defect, 0</v>
      </c>
      <c r="T303" t="str">
        <f>_xlfn.XLOOKUP(B303,Disk_Pivot!G:G,Disk_Pivot!I:I)</f>
        <v>Yes</v>
      </c>
      <c r="U303" t="str">
        <f>_xlfn.XLOOKUP(B303,Disk_Pivot!G:G,Disk_Pivot!N:N)</f>
        <v>Fail</v>
      </c>
      <c r="V303">
        <f>IF(U303="Fail",MacReports!N303,"")</f>
        <v>0</v>
      </c>
      <c r="AB303" t="str">
        <f t="shared" si="12"/>
        <v/>
      </c>
    </row>
    <row r="304" spans="1:28">
      <c r="A304">
        <f>MacReports!A304</f>
        <v>0</v>
      </c>
      <c r="B304">
        <f>MacReports!B304</f>
        <v>0</v>
      </c>
      <c r="C304">
        <f>MacReports!C304</f>
        <v>0</v>
      </c>
      <c r="E304" t="e">
        <f>_xlfn.XLOOKUP(G304,Models!A:A,Models!F:F)</f>
        <v>#N/A</v>
      </c>
      <c r="F304" t="str">
        <f>_xlfn.XLOOKUP(B304,MacReports!B:B,MacReports!D:D,"")</f>
        <v/>
      </c>
      <c r="G304" s="13">
        <f>MacReports!E304</f>
        <v>0</v>
      </c>
      <c r="H304" t="e">
        <f>_xlfn.XLOOKUP(G304,Models!A:A,Models!B:B)</f>
        <v>#N/A</v>
      </c>
      <c r="I304" t="e">
        <f>_xlfn.XLOOKUP(G304,Models!A:A,Models!E:E)</f>
        <v>#N/A</v>
      </c>
      <c r="J304" t="e">
        <f>_xlfn.XLOOKUP(G304,Models!A:A,Models!D:D)</f>
        <v>#N/A</v>
      </c>
      <c r="K304">
        <f>MacReports!F304</f>
        <v>0</v>
      </c>
      <c r="L304">
        <f>MacReports!G304</f>
        <v>0</v>
      </c>
      <c r="M304" s="15" t="e" cm="1">
        <f t="array" ref="M304">--_xlfn.LET(
    _xlpm.txt, MacReports!H304,
    _xlpm.chars, MID(_xlpm.txt, _xlfn.SEQUENCE(LEN(_xlpm.txt)), 1),
    _xlfn.TEXTJOIN("", TRUE, IF(ISNUMBER(--_xlpm.chars), _xlpm.chars, ""))
)</f>
        <v>#VALUE!</v>
      </c>
      <c r="N304" s="16" t="str" cm="1">
        <f t="array" ref="N304">_xlfn.IFS(
   --MacReports!M304&lt;55,"Battery Defect",
  -- MacReports!M304&lt;=69,"Battery D",
  --MacReports!M304&lt;=80,"Battery C",
 --MacReports!M304&gt;80,""
)</f>
        <v>Battery Defect</v>
      </c>
      <c r="O304" s="16" t="str">
        <f>IF(MacReports!I304="Service","Battery Service","")</f>
        <v/>
      </c>
      <c r="P304" s="13">
        <f>MacReports!P304</f>
        <v>0</v>
      </c>
      <c r="Q304" s="13" t="str">
        <f>IF(MacReports!J304="Enabled","Apple ID Lock","")</f>
        <v/>
      </c>
      <c r="R304" s="13" t="str">
        <f>IF(MacReports!L304="y","Remote Locked","")</f>
        <v/>
      </c>
      <c r="S304" t="str">
        <f t="shared" si="11"/>
        <v>Battery Defect, 0</v>
      </c>
      <c r="T304" t="str">
        <f>_xlfn.XLOOKUP(B304,Disk_Pivot!G:G,Disk_Pivot!I:I)</f>
        <v>Yes</v>
      </c>
      <c r="U304" t="str">
        <f>_xlfn.XLOOKUP(B304,Disk_Pivot!G:G,Disk_Pivot!N:N)</f>
        <v>Fail</v>
      </c>
      <c r="V304">
        <f>IF(U304="Fail",MacReports!N304,"")</f>
        <v>0</v>
      </c>
      <c r="AB304" t="str">
        <f t="shared" si="12"/>
        <v/>
      </c>
    </row>
    <row r="305" spans="1:28">
      <c r="A305">
        <f>MacReports!A305</f>
        <v>0</v>
      </c>
      <c r="B305">
        <f>MacReports!B305</f>
        <v>0</v>
      </c>
      <c r="C305">
        <f>MacReports!C305</f>
        <v>0</v>
      </c>
      <c r="E305" t="e">
        <f>_xlfn.XLOOKUP(G305,Models!A:A,Models!F:F)</f>
        <v>#N/A</v>
      </c>
      <c r="F305" t="str">
        <f>_xlfn.XLOOKUP(B305,MacReports!B:B,MacReports!D:D,"")</f>
        <v/>
      </c>
      <c r="G305" s="13">
        <f>MacReports!E305</f>
        <v>0</v>
      </c>
      <c r="H305" t="e">
        <f>_xlfn.XLOOKUP(G305,Models!A:A,Models!B:B)</f>
        <v>#N/A</v>
      </c>
      <c r="I305" t="e">
        <f>_xlfn.XLOOKUP(G305,Models!A:A,Models!E:E)</f>
        <v>#N/A</v>
      </c>
      <c r="J305" t="e">
        <f>_xlfn.XLOOKUP(G305,Models!A:A,Models!D:D)</f>
        <v>#N/A</v>
      </c>
      <c r="K305">
        <f>MacReports!F305</f>
        <v>0</v>
      </c>
      <c r="L305">
        <f>MacReports!G305</f>
        <v>0</v>
      </c>
      <c r="M305" s="15" t="e" cm="1">
        <f t="array" ref="M305">--_xlfn.LET(
    _xlpm.txt, MacReports!H305,
    _xlpm.chars, MID(_xlpm.txt, _xlfn.SEQUENCE(LEN(_xlpm.txt)), 1),
    _xlfn.TEXTJOIN("", TRUE, IF(ISNUMBER(--_xlpm.chars), _xlpm.chars, ""))
)</f>
        <v>#VALUE!</v>
      </c>
      <c r="N305" s="16" t="str" cm="1">
        <f t="array" ref="N305">_xlfn.IFS(
   --MacReports!M305&lt;55,"Battery Defect",
  -- MacReports!M305&lt;=69,"Battery D",
  --MacReports!M305&lt;=80,"Battery C",
 --MacReports!M305&gt;80,""
)</f>
        <v>Battery Defect</v>
      </c>
      <c r="O305" s="16" t="str">
        <f>IF(MacReports!I305="Service","Battery Service","")</f>
        <v/>
      </c>
      <c r="P305" s="13">
        <f>MacReports!P305</f>
        <v>0</v>
      </c>
      <c r="Q305" s="13" t="str">
        <f>IF(MacReports!J305="Enabled","Apple ID Lock","")</f>
        <v/>
      </c>
      <c r="R305" s="13" t="str">
        <f>IF(MacReports!L305="y","Remote Locked","")</f>
        <v/>
      </c>
      <c r="S305" t="str">
        <f t="shared" si="11"/>
        <v>Battery Defect, 0</v>
      </c>
      <c r="T305" t="str">
        <f>_xlfn.XLOOKUP(B305,Disk_Pivot!G:G,Disk_Pivot!I:I)</f>
        <v>Yes</v>
      </c>
      <c r="U305" t="str">
        <f>_xlfn.XLOOKUP(B305,Disk_Pivot!G:G,Disk_Pivot!N:N)</f>
        <v>Fail</v>
      </c>
      <c r="V305">
        <f>IF(U305="Fail",MacReports!N305,"")</f>
        <v>0</v>
      </c>
      <c r="AB305" t="str">
        <f t="shared" si="12"/>
        <v/>
      </c>
    </row>
    <row r="306" spans="1:28">
      <c r="A306">
        <f>MacReports!A306</f>
        <v>0</v>
      </c>
      <c r="B306">
        <f>MacReports!B306</f>
        <v>0</v>
      </c>
      <c r="C306">
        <f>MacReports!C306</f>
        <v>0</v>
      </c>
      <c r="E306" t="e">
        <f>_xlfn.XLOOKUP(G306,Models!A:A,Models!F:F)</f>
        <v>#N/A</v>
      </c>
      <c r="F306" t="str">
        <f>_xlfn.XLOOKUP(B306,MacReports!B:B,MacReports!D:D,"")</f>
        <v/>
      </c>
      <c r="G306" s="13">
        <f>MacReports!E306</f>
        <v>0</v>
      </c>
      <c r="H306" t="e">
        <f>_xlfn.XLOOKUP(G306,Models!A:A,Models!B:B)</f>
        <v>#N/A</v>
      </c>
      <c r="I306" t="e">
        <f>_xlfn.XLOOKUP(G306,Models!A:A,Models!E:E)</f>
        <v>#N/A</v>
      </c>
      <c r="J306" t="e">
        <f>_xlfn.XLOOKUP(G306,Models!A:A,Models!D:D)</f>
        <v>#N/A</v>
      </c>
      <c r="K306">
        <f>MacReports!F306</f>
        <v>0</v>
      </c>
      <c r="L306">
        <f>MacReports!G306</f>
        <v>0</v>
      </c>
      <c r="M306" s="15" t="e" cm="1">
        <f t="array" ref="M306">--_xlfn.LET(
    _xlpm.txt, MacReports!H306,
    _xlpm.chars, MID(_xlpm.txt, _xlfn.SEQUENCE(LEN(_xlpm.txt)), 1),
    _xlfn.TEXTJOIN("", TRUE, IF(ISNUMBER(--_xlpm.chars), _xlpm.chars, ""))
)</f>
        <v>#VALUE!</v>
      </c>
      <c r="N306" s="16" t="str" cm="1">
        <f t="array" ref="N306">_xlfn.IFS(
   --MacReports!M306&lt;55,"Battery Defect",
  -- MacReports!M306&lt;=69,"Battery D",
  --MacReports!M306&lt;=80,"Battery C",
 --MacReports!M306&gt;80,""
)</f>
        <v>Battery Defect</v>
      </c>
      <c r="O306" s="16" t="str">
        <f>IF(MacReports!I306="Service","Battery Service","")</f>
        <v/>
      </c>
      <c r="P306" s="13">
        <f>MacReports!P306</f>
        <v>0</v>
      </c>
      <c r="Q306" s="13" t="str">
        <f>IF(MacReports!J306="Enabled","Apple ID Lock","")</f>
        <v/>
      </c>
      <c r="R306" s="13" t="str">
        <f>IF(MacReports!L306="y","Remote Locked","")</f>
        <v/>
      </c>
      <c r="S306" t="str">
        <f t="shared" si="11"/>
        <v>Battery Defect, 0</v>
      </c>
      <c r="T306" t="str">
        <f>_xlfn.XLOOKUP(B306,Disk_Pivot!G:G,Disk_Pivot!I:I)</f>
        <v>Yes</v>
      </c>
      <c r="U306" t="str">
        <f>_xlfn.XLOOKUP(B306,Disk_Pivot!G:G,Disk_Pivot!N:N)</f>
        <v>Fail</v>
      </c>
      <c r="V306">
        <f>IF(U306="Fail",MacReports!N306,"")</f>
        <v>0</v>
      </c>
      <c r="AB306" t="str">
        <f t="shared" si="12"/>
        <v/>
      </c>
    </row>
    <row r="307" spans="1:28">
      <c r="A307">
        <f>MacReports!A307</f>
        <v>0</v>
      </c>
      <c r="B307">
        <f>MacReports!B307</f>
        <v>0</v>
      </c>
      <c r="C307">
        <f>MacReports!C307</f>
        <v>0</v>
      </c>
      <c r="E307" t="e">
        <f>_xlfn.XLOOKUP(G307,Models!A:A,Models!F:F)</f>
        <v>#N/A</v>
      </c>
      <c r="F307" t="str">
        <f>_xlfn.XLOOKUP(B307,MacReports!B:B,MacReports!D:D,"")</f>
        <v/>
      </c>
      <c r="G307" s="13">
        <f>MacReports!E307</f>
        <v>0</v>
      </c>
      <c r="H307" t="e">
        <f>_xlfn.XLOOKUP(G307,Models!A:A,Models!B:B)</f>
        <v>#N/A</v>
      </c>
      <c r="I307" t="e">
        <f>_xlfn.XLOOKUP(G307,Models!A:A,Models!E:E)</f>
        <v>#N/A</v>
      </c>
      <c r="J307" t="e">
        <f>_xlfn.XLOOKUP(G307,Models!A:A,Models!D:D)</f>
        <v>#N/A</v>
      </c>
      <c r="K307">
        <f>MacReports!F307</f>
        <v>0</v>
      </c>
      <c r="L307">
        <f>MacReports!G307</f>
        <v>0</v>
      </c>
      <c r="M307" s="15" t="e" cm="1">
        <f t="array" ref="M307">--_xlfn.LET(
    _xlpm.txt, MacReports!H307,
    _xlpm.chars, MID(_xlpm.txt, _xlfn.SEQUENCE(LEN(_xlpm.txt)), 1),
    _xlfn.TEXTJOIN("", TRUE, IF(ISNUMBER(--_xlpm.chars), _xlpm.chars, ""))
)</f>
        <v>#VALUE!</v>
      </c>
      <c r="N307" s="16" t="str" cm="1">
        <f t="array" ref="N307">_xlfn.IFS(
   --MacReports!M307&lt;55,"Battery Defect",
  -- MacReports!M307&lt;=69,"Battery D",
  --MacReports!M307&lt;=80,"Battery C",
 --MacReports!M307&gt;80,""
)</f>
        <v>Battery Defect</v>
      </c>
      <c r="O307" s="16" t="str">
        <f>IF(MacReports!I307="Service","Battery Service","")</f>
        <v/>
      </c>
      <c r="P307" s="13">
        <f>MacReports!P307</f>
        <v>0</v>
      </c>
      <c r="Q307" s="13" t="str">
        <f>IF(MacReports!J307="Enabled","Apple ID Lock","")</f>
        <v/>
      </c>
      <c r="R307" s="13" t="str">
        <f>IF(MacReports!L307="y","Remote Locked","")</f>
        <v/>
      </c>
      <c r="S307" t="str">
        <f t="shared" si="11"/>
        <v>Battery Defect, 0</v>
      </c>
      <c r="T307" t="str">
        <f>_xlfn.XLOOKUP(B307,Disk_Pivot!G:G,Disk_Pivot!I:I)</f>
        <v>Yes</v>
      </c>
      <c r="U307" t="str">
        <f>_xlfn.XLOOKUP(B307,Disk_Pivot!G:G,Disk_Pivot!N:N)</f>
        <v>Fail</v>
      </c>
      <c r="V307">
        <f>IF(U307="Fail",MacReports!N307,"")</f>
        <v>0</v>
      </c>
      <c r="AB307" t="str">
        <f t="shared" si="12"/>
        <v/>
      </c>
    </row>
    <row r="308" spans="1:28">
      <c r="A308">
        <f>MacReports!A308</f>
        <v>0</v>
      </c>
      <c r="B308">
        <f>MacReports!B308</f>
        <v>0</v>
      </c>
      <c r="C308">
        <f>MacReports!C308</f>
        <v>0</v>
      </c>
      <c r="E308" t="e">
        <f>_xlfn.XLOOKUP(G308,Models!A:A,Models!F:F)</f>
        <v>#N/A</v>
      </c>
      <c r="F308" t="str">
        <f>_xlfn.XLOOKUP(B308,MacReports!B:B,MacReports!D:D,"")</f>
        <v/>
      </c>
      <c r="G308" s="13">
        <f>MacReports!E308</f>
        <v>0</v>
      </c>
      <c r="H308" t="e">
        <f>_xlfn.XLOOKUP(G308,Models!A:A,Models!B:B)</f>
        <v>#N/A</v>
      </c>
      <c r="I308" t="e">
        <f>_xlfn.XLOOKUP(G308,Models!A:A,Models!E:E)</f>
        <v>#N/A</v>
      </c>
      <c r="J308" t="e">
        <f>_xlfn.XLOOKUP(G308,Models!A:A,Models!D:D)</f>
        <v>#N/A</v>
      </c>
      <c r="K308">
        <f>MacReports!F308</f>
        <v>0</v>
      </c>
      <c r="L308">
        <f>MacReports!G308</f>
        <v>0</v>
      </c>
      <c r="M308" s="15" t="e" cm="1">
        <f t="array" ref="M308">--_xlfn.LET(
    _xlpm.txt, MacReports!H308,
    _xlpm.chars, MID(_xlpm.txt, _xlfn.SEQUENCE(LEN(_xlpm.txt)), 1),
    _xlfn.TEXTJOIN("", TRUE, IF(ISNUMBER(--_xlpm.chars), _xlpm.chars, ""))
)</f>
        <v>#VALUE!</v>
      </c>
      <c r="N308" s="16" t="str" cm="1">
        <f t="array" ref="N308">_xlfn.IFS(
   --MacReports!M308&lt;55,"Battery Defect",
  -- MacReports!M308&lt;=69,"Battery D",
  --MacReports!M308&lt;=80,"Battery C",
 --MacReports!M308&gt;80,""
)</f>
        <v>Battery Defect</v>
      </c>
      <c r="O308" s="16" t="str">
        <f>IF(MacReports!I308="Service","Battery Service","")</f>
        <v/>
      </c>
      <c r="P308" s="13">
        <f>MacReports!P308</f>
        <v>0</v>
      </c>
      <c r="Q308" s="13" t="str">
        <f>IF(MacReports!J308="Enabled","Apple ID Lock","")</f>
        <v/>
      </c>
      <c r="R308" s="13" t="str">
        <f>IF(MacReports!L308="y","Remote Locked","")</f>
        <v/>
      </c>
      <c r="S308" t="str">
        <f t="shared" si="11"/>
        <v>Battery Defect, 0</v>
      </c>
      <c r="T308" t="str">
        <f>_xlfn.XLOOKUP(B308,Disk_Pivot!G:G,Disk_Pivot!I:I)</f>
        <v>Yes</v>
      </c>
      <c r="U308" t="str">
        <f>_xlfn.XLOOKUP(B308,Disk_Pivot!G:G,Disk_Pivot!N:N)</f>
        <v>Fail</v>
      </c>
      <c r="V308">
        <f>IF(U308="Fail",MacReports!N308,"")</f>
        <v>0</v>
      </c>
      <c r="AB308" t="str">
        <f t="shared" si="12"/>
        <v/>
      </c>
    </row>
    <row r="309" spans="1:28">
      <c r="A309">
        <f>MacReports!A309</f>
        <v>0</v>
      </c>
      <c r="B309">
        <f>MacReports!B309</f>
        <v>0</v>
      </c>
      <c r="C309">
        <f>MacReports!C309</f>
        <v>0</v>
      </c>
      <c r="E309" t="e">
        <f>_xlfn.XLOOKUP(G309,Models!A:A,Models!F:F)</f>
        <v>#N/A</v>
      </c>
      <c r="F309" t="str">
        <f>_xlfn.XLOOKUP(B309,MacReports!B:B,MacReports!D:D,"")</f>
        <v/>
      </c>
      <c r="G309" s="13">
        <f>MacReports!E309</f>
        <v>0</v>
      </c>
      <c r="H309" t="e">
        <f>_xlfn.XLOOKUP(G309,Models!A:A,Models!B:B)</f>
        <v>#N/A</v>
      </c>
      <c r="I309" t="e">
        <f>_xlfn.XLOOKUP(G309,Models!A:A,Models!E:E)</f>
        <v>#N/A</v>
      </c>
      <c r="J309" t="e">
        <f>_xlfn.XLOOKUP(G309,Models!A:A,Models!D:D)</f>
        <v>#N/A</v>
      </c>
      <c r="K309">
        <f>MacReports!F309</f>
        <v>0</v>
      </c>
      <c r="L309">
        <f>MacReports!G309</f>
        <v>0</v>
      </c>
      <c r="M309" s="15" t="e" cm="1">
        <f t="array" ref="M309">--_xlfn.LET(
    _xlpm.txt, MacReports!H309,
    _xlpm.chars, MID(_xlpm.txt, _xlfn.SEQUENCE(LEN(_xlpm.txt)), 1),
    _xlfn.TEXTJOIN("", TRUE, IF(ISNUMBER(--_xlpm.chars), _xlpm.chars, ""))
)</f>
        <v>#VALUE!</v>
      </c>
      <c r="N309" s="16" t="str" cm="1">
        <f t="array" ref="N309">_xlfn.IFS(
   --MacReports!M309&lt;55,"Battery Defect",
  -- MacReports!M309&lt;=69,"Battery D",
  --MacReports!M309&lt;=80,"Battery C",
 --MacReports!M309&gt;80,""
)</f>
        <v>Battery Defect</v>
      </c>
      <c r="O309" s="16" t="str">
        <f>IF(MacReports!I309="Service","Battery Service","")</f>
        <v/>
      </c>
      <c r="P309" s="13">
        <f>MacReports!P309</f>
        <v>0</v>
      </c>
      <c r="Q309" s="13" t="str">
        <f>IF(MacReports!J309="Enabled","Apple ID Lock","")</f>
        <v/>
      </c>
      <c r="R309" s="13" t="str">
        <f>IF(MacReports!L309="y","Remote Locked","")</f>
        <v/>
      </c>
      <c r="S309" t="str">
        <f t="shared" si="11"/>
        <v>Battery Defect, 0</v>
      </c>
      <c r="T309" t="str">
        <f>_xlfn.XLOOKUP(B309,Disk_Pivot!G:G,Disk_Pivot!I:I)</f>
        <v>Yes</v>
      </c>
      <c r="U309" t="str">
        <f>_xlfn.XLOOKUP(B309,Disk_Pivot!G:G,Disk_Pivot!N:N)</f>
        <v>Fail</v>
      </c>
      <c r="V309">
        <f>IF(U309="Fail",MacReports!N309,"")</f>
        <v>0</v>
      </c>
      <c r="AB309" t="str">
        <f t="shared" si="12"/>
        <v/>
      </c>
    </row>
    <row r="310" spans="1:28">
      <c r="A310">
        <f>MacReports!A310</f>
        <v>0</v>
      </c>
      <c r="B310">
        <f>MacReports!B310</f>
        <v>0</v>
      </c>
      <c r="C310">
        <f>MacReports!C310</f>
        <v>0</v>
      </c>
      <c r="E310" t="e">
        <f>_xlfn.XLOOKUP(G310,Models!A:A,Models!F:F)</f>
        <v>#N/A</v>
      </c>
      <c r="F310" t="str">
        <f>_xlfn.XLOOKUP(B310,MacReports!B:B,MacReports!D:D,"")</f>
        <v/>
      </c>
      <c r="G310" s="13">
        <f>MacReports!E310</f>
        <v>0</v>
      </c>
      <c r="H310" t="e">
        <f>_xlfn.XLOOKUP(G310,Models!A:A,Models!B:B)</f>
        <v>#N/A</v>
      </c>
      <c r="I310" t="e">
        <f>_xlfn.XLOOKUP(G310,Models!A:A,Models!E:E)</f>
        <v>#N/A</v>
      </c>
      <c r="J310" t="e">
        <f>_xlfn.XLOOKUP(G310,Models!A:A,Models!D:D)</f>
        <v>#N/A</v>
      </c>
      <c r="K310">
        <f>MacReports!F310</f>
        <v>0</v>
      </c>
      <c r="L310">
        <f>MacReports!G310</f>
        <v>0</v>
      </c>
      <c r="M310" s="15" t="e" cm="1">
        <f t="array" ref="M310">--_xlfn.LET(
    _xlpm.txt, MacReports!H310,
    _xlpm.chars, MID(_xlpm.txt, _xlfn.SEQUENCE(LEN(_xlpm.txt)), 1),
    _xlfn.TEXTJOIN("", TRUE, IF(ISNUMBER(--_xlpm.chars), _xlpm.chars, ""))
)</f>
        <v>#VALUE!</v>
      </c>
      <c r="N310" s="16" t="str" cm="1">
        <f t="array" ref="N310">_xlfn.IFS(
   --MacReports!M310&lt;55,"Battery Defect",
  -- MacReports!M310&lt;=69,"Battery D",
  --MacReports!M310&lt;=80,"Battery C",
 --MacReports!M310&gt;80,""
)</f>
        <v>Battery Defect</v>
      </c>
      <c r="O310" s="16" t="str">
        <f>IF(MacReports!I310="Service","Battery Service","")</f>
        <v/>
      </c>
      <c r="P310" s="13">
        <f>MacReports!P310</f>
        <v>0</v>
      </c>
      <c r="Q310" s="13" t="str">
        <f>IF(MacReports!J310="Enabled","Apple ID Lock","")</f>
        <v/>
      </c>
      <c r="R310" s="13" t="str">
        <f>IF(MacReports!L310="y","Remote Locked","")</f>
        <v/>
      </c>
      <c r="S310" t="str">
        <f t="shared" si="11"/>
        <v>Battery Defect, 0</v>
      </c>
      <c r="T310" t="str">
        <f>_xlfn.XLOOKUP(B310,Disk_Pivot!G:G,Disk_Pivot!I:I)</f>
        <v>Yes</v>
      </c>
      <c r="U310" t="str">
        <f>_xlfn.XLOOKUP(B310,Disk_Pivot!G:G,Disk_Pivot!N:N)</f>
        <v>Fail</v>
      </c>
      <c r="V310">
        <f>IF(U310="Fail",MacReports!N310,"")</f>
        <v>0</v>
      </c>
      <c r="AB310" t="str">
        <f t="shared" si="12"/>
        <v/>
      </c>
    </row>
    <row r="311" spans="1:28">
      <c r="A311">
        <f>MacReports!A311</f>
        <v>0</v>
      </c>
      <c r="B311">
        <f>MacReports!B311</f>
        <v>0</v>
      </c>
      <c r="C311">
        <f>MacReports!C311</f>
        <v>0</v>
      </c>
      <c r="E311" t="e">
        <f>_xlfn.XLOOKUP(G311,Models!A:A,Models!F:F)</f>
        <v>#N/A</v>
      </c>
      <c r="F311" t="str">
        <f>_xlfn.XLOOKUP(B311,MacReports!B:B,MacReports!D:D,"")</f>
        <v/>
      </c>
      <c r="G311" s="13">
        <f>MacReports!E311</f>
        <v>0</v>
      </c>
      <c r="H311" t="e">
        <f>_xlfn.XLOOKUP(G311,Models!A:A,Models!B:B)</f>
        <v>#N/A</v>
      </c>
      <c r="I311" t="e">
        <f>_xlfn.XLOOKUP(G311,Models!A:A,Models!E:E)</f>
        <v>#N/A</v>
      </c>
      <c r="J311" t="e">
        <f>_xlfn.XLOOKUP(G311,Models!A:A,Models!D:D)</f>
        <v>#N/A</v>
      </c>
      <c r="K311">
        <f>MacReports!F311</f>
        <v>0</v>
      </c>
      <c r="L311">
        <f>MacReports!G311</f>
        <v>0</v>
      </c>
      <c r="M311" s="15" t="e" cm="1">
        <f t="array" ref="M311">--_xlfn.LET(
    _xlpm.txt, MacReports!H311,
    _xlpm.chars, MID(_xlpm.txt, _xlfn.SEQUENCE(LEN(_xlpm.txt)), 1),
    _xlfn.TEXTJOIN("", TRUE, IF(ISNUMBER(--_xlpm.chars), _xlpm.chars, ""))
)</f>
        <v>#VALUE!</v>
      </c>
      <c r="N311" s="16" t="str" cm="1">
        <f t="array" ref="N311">_xlfn.IFS(
   --MacReports!M311&lt;55,"Battery Defect",
  -- MacReports!M311&lt;=69,"Battery D",
  --MacReports!M311&lt;=80,"Battery C",
 --MacReports!M311&gt;80,""
)</f>
        <v>Battery Defect</v>
      </c>
      <c r="O311" s="16" t="str">
        <f>IF(MacReports!I311="Service","Battery Service","")</f>
        <v/>
      </c>
      <c r="P311" s="13">
        <f>MacReports!P311</f>
        <v>0</v>
      </c>
      <c r="Q311" s="13" t="str">
        <f>IF(MacReports!J311="Enabled","Apple ID Lock","")</f>
        <v/>
      </c>
      <c r="R311" s="13" t="str">
        <f>IF(MacReports!L311="y","Remote Locked","")</f>
        <v/>
      </c>
      <c r="S311" t="str">
        <f t="shared" si="11"/>
        <v>Battery Defect, 0</v>
      </c>
      <c r="T311" t="str">
        <f>_xlfn.XLOOKUP(B311,Disk_Pivot!G:G,Disk_Pivot!I:I)</f>
        <v>Yes</v>
      </c>
      <c r="U311" t="str">
        <f>_xlfn.XLOOKUP(B311,Disk_Pivot!G:G,Disk_Pivot!N:N)</f>
        <v>Fail</v>
      </c>
      <c r="V311">
        <f>IF(U311="Fail",MacReports!N311,"")</f>
        <v>0</v>
      </c>
      <c r="AB311" t="str">
        <f t="shared" si="12"/>
        <v/>
      </c>
    </row>
    <row r="312" spans="1:28">
      <c r="A312">
        <f>MacReports!A312</f>
        <v>0</v>
      </c>
      <c r="B312">
        <f>MacReports!B312</f>
        <v>0</v>
      </c>
      <c r="C312">
        <f>MacReports!C312</f>
        <v>0</v>
      </c>
      <c r="E312" t="e">
        <f>_xlfn.XLOOKUP(G312,Models!A:A,Models!F:F)</f>
        <v>#N/A</v>
      </c>
      <c r="F312" t="str">
        <f>_xlfn.XLOOKUP(B312,MacReports!B:B,MacReports!D:D,"")</f>
        <v/>
      </c>
      <c r="G312" s="13">
        <f>MacReports!E312</f>
        <v>0</v>
      </c>
      <c r="H312" t="e">
        <f>_xlfn.XLOOKUP(G312,Models!A:A,Models!B:B)</f>
        <v>#N/A</v>
      </c>
      <c r="I312" t="e">
        <f>_xlfn.XLOOKUP(G312,Models!A:A,Models!E:E)</f>
        <v>#N/A</v>
      </c>
      <c r="J312" t="e">
        <f>_xlfn.XLOOKUP(G312,Models!A:A,Models!D:D)</f>
        <v>#N/A</v>
      </c>
      <c r="K312">
        <f>MacReports!F312</f>
        <v>0</v>
      </c>
      <c r="L312">
        <f>MacReports!G312</f>
        <v>0</v>
      </c>
      <c r="M312" s="15" t="e" cm="1">
        <f t="array" ref="M312">--_xlfn.LET(
    _xlpm.txt, MacReports!H312,
    _xlpm.chars, MID(_xlpm.txt, _xlfn.SEQUENCE(LEN(_xlpm.txt)), 1),
    _xlfn.TEXTJOIN("", TRUE, IF(ISNUMBER(--_xlpm.chars), _xlpm.chars, ""))
)</f>
        <v>#VALUE!</v>
      </c>
      <c r="N312" s="16" t="str" cm="1">
        <f t="array" ref="N312">_xlfn.IFS(
   --MacReports!M312&lt;55,"Battery Defect",
  -- MacReports!M312&lt;=69,"Battery D",
  --MacReports!M312&lt;=80,"Battery C",
 --MacReports!M312&gt;80,""
)</f>
        <v>Battery Defect</v>
      </c>
      <c r="O312" s="16" t="str">
        <f>IF(MacReports!I312="Service","Battery Service","")</f>
        <v/>
      </c>
      <c r="P312" s="13">
        <f>MacReports!P312</f>
        <v>0</v>
      </c>
      <c r="Q312" s="13" t="str">
        <f>IF(MacReports!J312="Enabled","Apple ID Lock","")</f>
        <v/>
      </c>
      <c r="R312" s="13" t="str">
        <f>IF(MacReports!L312="y","Remote Locked","")</f>
        <v/>
      </c>
      <c r="S312" t="str">
        <f t="shared" si="11"/>
        <v>Battery Defect, 0</v>
      </c>
      <c r="T312" t="str">
        <f>_xlfn.XLOOKUP(B312,Disk_Pivot!G:G,Disk_Pivot!I:I)</f>
        <v>Yes</v>
      </c>
      <c r="U312" t="str">
        <f>_xlfn.XLOOKUP(B312,Disk_Pivot!G:G,Disk_Pivot!N:N)</f>
        <v>Fail</v>
      </c>
      <c r="V312">
        <f>IF(U312="Fail",MacReports!N312,"")</f>
        <v>0</v>
      </c>
      <c r="AB312" t="str">
        <f t="shared" si="12"/>
        <v/>
      </c>
    </row>
    <row r="313" spans="1:28">
      <c r="A313">
        <f>MacReports!A313</f>
        <v>0</v>
      </c>
      <c r="B313">
        <f>MacReports!B313</f>
        <v>0</v>
      </c>
      <c r="C313">
        <f>MacReports!C313</f>
        <v>0</v>
      </c>
      <c r="E313" t="e">
        <f>_xlfn.XLOOKUP(G313,Models!A:A,Models!F:F)</f>
        <v>#N/A</v>
      </c>
      <c r="F313" t="str">
        <f>_xlfn.XLOOKUP(B313,MacReports!B:B,MacReports!D:D,"")</f>
        <v/>
      </c>
      <c r="G313" s="13">
        <f>MacReports!E313</f>
        <v>0</v>
      </c>
      <c r="H313" t="e">
        <f>_xlfn.XLOOKUP(G313,Models!A:A,Models!B:B)</f>
        <v>#N/A</v>
      </c>
      <c r="I313" t="e">
        <f>_xlfn.XLOOKUP(G313,Models!A:A,Models!E:E)</f>
        <v>#N/A</v>
      </c>
      <c r="J313" t="e">
        <f>_xlfn.XLOOKUP(G313,Models!A:A,Models!D:D)</f>
        <v>#N/A</v>
      </c>
      <c r="K313">
        <f>MacReports!F313</f>
        <v>0</v>
      </c>
      <c r="L313">
        <f>MacReports!G313</f>
        <v>0</v>
      </c>
      <c r="M313" s="15" t="e" cm="1">
        <f t="array" ref="M313">--_xlfn.LET(
    _xlpm.txt, MacReports!H313,
    _xlpm.chars, MID(_xlpm.txt, _xlfn.SEQUENCE(LEN(_xlpm.txt)), 1),
    _xlfn.TEXTJOIN("", TRUE, IF(ISNUMBER(--_xlpm.chars), _xlpm.chars, ""))
)</f>
        <v>#VALUE!</v>
      </c>
      <c r="N313" s="16" t="str" cm="1">
        <f t="array" ref="N313">_xlfn.IFS(
   --MacReports!M313&lt;55,"Battery Defect",
  -- MacReports!M313&lt;=69,"Battery D",
  --MacReports!M313&lt;=80,"Battery C",
 --MacReports!M313&gt;80,""
)</f>
        <v>Battery Defect</v>
      </c>
      <c r="O313" s="16" t="str">
        <f>IF(MacReports!I313="Service","Battery Service","")</f>
        <v/>
      </c>
      <c r="P313" s="13">
        <f>MacReports!P313</f>
        <v>0</v>
      </c>
      <c r="Q313" s="13" t="str">
        <f>IF(MacReports!J313="Enabled","Apple ID Lock","")</f>
        <v/>
      </c>
      <c r="R313" s="13" t="str">
        <f>IF(MacReports!L313="y","Remote Locked","")</f>
        <v/>
      </c>
      <c r="S313" t="str">
        <f t="shared" si="11"/>
        <v>Battery Defect, 0</v>
      </c>
      <c r="T313" t="str">
        <f>_xlfn.XLOOKUP(B313,Disk_Pivot!G:G,Disk_Pivot!I:I)</f>
        <v>Yes</v>
      </c>
      <c r="U313" t="str">
        <f>_xlfn.XLOOKUP(B313,Disk_Pivot!G:G,Disk_Pivot!N:N)</f>
        <v>Fail</v>
      </c>
      <c r="V313">
        <f>IF(U313="Fail",MacReports!N313,"")</f>
        <v>0</v>
      </c>
      <c r="AB313" t="str">
        <f t="shared" si="12"/>
        <v/>
      </c>
    </row>
    <row r="314" spans="1:28">
      <c r="A314">
        <f>MacReports!A314</f>
        <v>0</v>
      </c>
      <c r="B314">
        <f>MacReports!B314</f>
        <v>0</v>
      </c>
      <c r="C314">
        <f>MacReports!C314</f>
        <v>0</v>
      </c>
      <c r="E314" t="e">
        <f>_xlfn.XLOOKUP(G314,Models!A:A,Models!F:F)</f>
        <v>#N/A</v>
      </c>
      <c r="F314" t="str">
        <f>_xlfn.XLOOKUP(B314,MacReports!B:B,MacReports!D:D,"")</f>
        <v/>
      </c>
      <c r="G314" s="13">
        <f>MacReports!E314</f>
        <v>0</v>
      </c>
      <c r="H314" t="e">
        <f>_xlfn.XLOOKUP(G314,Models!A:A,Models!B:B)</f>
        <v>#N/A</v>
      </c>
      <c r="I314" t="e">
        <f>_xlfn.XLOOKUP(G314,Models!A:A,Models!E:E)</f>
        <v>#N/A</v>
      </c>
      <c r="J314" t="e">
        <f>_xlfn.XLOOKUP(G314,Models!A:A,Models!D:D)</f>
        <v>#N/A</v>
      </c>
      <c r="K314">
        <f>MacReports!F314</f>
        <v>0</v>
      </c>
      <c r="L314">
        <f>MacReports!G314</f>
        <v>0</v>
      </c>
      <c r="M314" s="15" t="e" cm="1">
        <f t="array" ref="M314">--_xlfn.LET(
    _xlpm.txt, MacReports!H314,
    _xlpm.chars, MID(_xlpm.txt, _xlfn.SEQUENCE(LEN(_xlpm.txt)), 1),
    _xlfn.TEXTJOIN("", TRUE, IF(ISNUMBER(--_xlpm.chars), _xlpm.chars, ""))
)</f>
        <v>#VALUE!</v>
      </c>
      <c r="N314" s="16" t="str" cm="1">
        <f t="array" ref="N314">_xlfn.IFS(
   --MacReports!M314&lt;55,"Battery Defect",
  -- MacReports!M314&lt;=69,"Battery D",
  --MacReports!M314&lt;=80,"Battery C",
 --MacReports!M314&gt;80,""
)</f>
        <v>Battery Defect</v>
      </c>
      <c r="O314" s="16" t="str">
        <f>IF(MacReports!I314="Service","Battery Service","")</f>
        <v/>
      </c>
      <c r="P314" s="13">
        <f>MacReports!P314</f>
        <v>0</v>
      </c>
      <c r="Q314" s="13" t="str">
        <f>IF(MacReports!J314="Enabled","Apple ID Lock","")</f>
        <v/>
      </c>
      <c r="R314" s="13" t="str">
        <f>IF(MacReports!L314="y","Remote Locked","")</f>
        <v/>
      </c>
      <c r="S314" t="str">
        <f t="shared" si="11"/>
        <v>Battery Defect, 0</v>
      </c>
      <c r="T314" t="str">
        <f>_xlfn.XLOOKUP(B314,Disk_Pivot!G:G,Disk_Pivot!I:I)</f>
        <v>Yes</v>
      </c>
      <c r="U314" t="str">
        <f>_xlfn.XLOOKUP(B314,Disk_Pivot!G:G,Disk_Pivot!N:N)</f>
        <v>Fail</v>
      </c>
      <c r="V314">
        <f>IF(U314="Fail",MacReports!N314,"")</f>
        <v>0</v>
      </c>
      <c r="AB314" t="str">
        <f t="shared" si="12"/>
        <v/>
      </c>
    </row>
    <row r="315" spans="1:28">
      <c r="A315">
        <f>MacReports!A315</f>
        <v>0</v>
      </c>
      <c r="B315">
        <f>MacReports!B315</f>
        <v>0</v>
      </c>
      <c r="C315">
        <f>MacReports!C315</f>
        <v>0</v>
      </c>
      <c r="E315" t="e">
        <f>_xlfn.XLOOKUP(G315,Models!A:A,Models!F:F)</f>
        <v>#N/A</v>
      </c>
      <c r="F315" t="str">
        <f>_xlfn.XLOOKUP(B315,MacReports!B:B,MacReports!D:D,"")</f>
        <v/>
      </c>
      <c r="G315" s="13">
        <f>MacReports!E315</f>
        <v>0</v>
      </c>
      <c r="H315" t="e">
        <f>_xlfn.XLOOKUP(G315,Models!A:A,Models!B:B)</f>
        <v>#N/A</v>
      </c>
      <c r="I315" t="e">
        <f>_xlfn.XLOOKUP(G315,Models!A:A,Models!E:E)</f>
        <v>#N/A</v>
      </c>
      <c r="J315" t="e">
        <f>_xlfn.XLOOKUP(G315,Models!A:A,Models!D:D)</f>
        <v>#N/A</v>
      </c>
      <c r="K315">
        <f>MacReports!F315</f>
        <v>0</v>
      </c>
      <c r="L315">
        <f>MacReports!G315</f>
        <v>0</v>
      </c>
      <c r="M315" s="15" t="e" cm="1">
        <f t="array" ref="M315">--_xlfn.LET(
    _xlpm.txt, MacReports!H315,
    _xlpm.chars, MID(_xlpm.txt, _xlfn.SEQUENCE(LEN(_xlpm.txt)), 1),
    _xlfn.TEXTJOIN("", TRUE, IF(ISNUMBER(--_xlpm.chars), _xlpm.chars, ""))
)</f>
        <v>#VALUE!</v>
      </c>
      <c r="N315" s="16" t="str" cm="1">
        <f t="array" ref="N315">_xlfn.IFS(
   --MacReports!M315&lt;55,"Battery Defect",
  -- MacReports!M315&lt;=69,"Battery D",
  --MacReports!M315&lt;=80,"Battery C",
 --MacReports!M315&gt;80,""
)</f>
        <v>Battery Defect</v>
      </c>
      <c r="O315" s="16" t="str">
        <f>IF(MacReports!I315="Service","Battery Service","")</f>
        <v/>
      </c>
      <c r="P315" s="13">
        <f>MacReports!P315</f>
        <v>0</v>
      </c>
      <c r="Q315" s="13" t="str">
        <f>IF(MacReports!J315="Enabled","Apple ID Lock","")</f>
        <v/>
      </c>
      <c r="R315" s="13" t="str">
        <f>IF(MacReports!L315="y","Remote Locked","")</f>
        <v/>
      </c>
      <c r="S315" t="str">
        <f t="shared" si="11"/>
        <v>Battery Defect, 0</v>
      </c>
      <c r="T315" t="str">
        <f>_xlfn.XLOOKUP(B315,Disk_Pivot!G:G,Disk_Pivot!I:I)</f>
        <v>Yes</v>
      </c>
      <c r="U315" t="str">
        <f>_xlfn.XLOOKUP(B315,Disk_Pivot!G:G,Disk_Pivot!N:N)</f>
        <v>Fail</v>
      </c>
      <c r="V315">
        <f>IF(U315="Fail",MacReports!N315,"")</f>
        <v>0</v>
      </c>
      <c r="AB315" t="str">
        <f t="shared" si="12"/>
        <v/>
      </c>
    </row>
    <row r="316" spans="1:28">
      <c r="A316">
        <f>MacReports!A316</f>
        <v>0</v>
      </c>
      <c r="B316">
        <f>MacReports!B316</f>
        <v>0</v>
      </c>
      <c r="C316">
        <f>MacReports!C316</f>
        <v>0</v>
      </c>
      <c r="E316" t="e">
        <f>_xlfn.XLOOKUP(G316,Models!A:A,Models!F:F)</f>
        <v>#N/A</v>
      </c>
      <c r="F316" t="str">
        <f>_xlfn.XLOOKUP(B316,MacReports!B:B,MacReports!D:D,"")</f>
        <v/>
      </c>
      <c r="G316" s="13">
        <f>MacReports!E316</f>
        <v>0</v>
      </c>
      <c r="H316" t="e">
        <f>_xlfn.XLOOKUP(G316,Models!A:A,Models!B:B)</f>
        <v>#N/A</v>
      </c>
      <c r="I316" t="e">
        <f>_xlfn.XLOOKUP(G316,Models!A:A,Models!E:E)</f>
        <v>#N/A</v>
      </c>
      <c r="J316" t="e">
        <f>_xlfn.XLOOKUP(G316,Models!A:A,Models!D:D)</f>
        <v>#N/A</v>
      </c>
      <c r="K316">
        <f>MacReports!F316</f>
        <v>0</v>
      </c>
      <c r="L316">
        <f>MacReports!G316</f>
        <v>0</v>
      </c>
      <c r="M316" s="15" t="e" cm="1">
        <f t="array" ref="M316">--_xlfn.LET(
    _xlpm.txt, MacReports!H316,
    _xlpm.chars, MID(_xlpm.txt, _xlfn.SEQUENCE(LEN(_xlpm.txt)), 1),
    _xlfn.TEXTJOIN("", TRUE, IF(ISNUMBER(--_xlpm.chars), _xlpm.chars, ""))
)</f>
        <v>#VALUE!</v>
      </c>
      <c r="N316" s="16" t="str" cm="1">
        <f t="array" ref="N316">_xlfn.IFS(
   --MacReports!M316&lt;55,"Battery Defect",
  -- MacReports!M316&lt;=69,"Battery D",
  --MacReports!M316&lt;=80,"Battery C",
 --MacReports!M316&gt;80,""
)</f>
        <v>Battery Defect</v>
      </c>
      <c r="O316" s="16" t="str">
        <f>IF(MacReports!I316="Service","Battery Service","")</f>
        <v/>
      </c>
      <c r="P316" s="13">
        <f>MacReports!P316</f>
        <v>0</v>
      </c>
      <c r="Q316" s="13" t="str">
        <f>IF(MacReports!J316="Enabled","Apple ID Lock","")</f>
        <v/>
      </c>
      <c r="R316" s="13" t="str">
        <f>IF(MacReports!L316="y","Remote Locked","")</f>
        <v/>
      </c>
      <c r="S316" t="str">
        <f t="shared" si="11"/>
        <v>Battery Defect, 0</v>
      </c>
      <c r="T316" t="str">
        <f>_xlfn.XLOOKUP(B316,Disk_Pivot!G:G,Disk_Pivot!I:I)</f>
        <v>Yes</v>
      </c>
      <c r="U316" t="str">
        <f>_xlfn.XLOOKUP(B316,Disk_Pivot!G:G,Disk_Pivot!N:N)</f>
        <v>Fail</v>
      </c>
      <c r="V316">
        <f>IF(U316="Fail",MacReports!N316,"")</f>
        <v>0</v>
      </c>
      <c r="AB316" t="str">
        <f t="shared" si="12"/>
        <v/>
      </c>
    </row>
    <row r="317" spans="1:28">
      <c r="A317">
        <f>MacReports!A317</f>
        <v>0</v>
      </c>
      <c r="B317">
        <f>MacReports!B317</f>
        <v>0</v>
      </c>
      <c r="C317">
        <f>MacReports!C317</f>
        <v>0</v>
      </c>
      <c r="E317" t="e">
        <f>_xlfn.XLOOKUP(G317,Models!A:A,Models!F:F)</f>
        <v>#N/A</v>
      </c>
      <c r="F317" t="str">
        <f>_xlfn.XLOOKUP(B317,MacReports!B:B,MacReports!D:D,"")</f>
        <v/>
      </c>
      <c r="G317" s="13">
        <f>MacReports!E317</f>
        <v>0</v>
      </c>
      <c r="H317" t="e">
        <f>_xlfn.XLOOKUP(G317,Models!A:A,Models!B:B)</f>
        <v>#N/A</v>
      </c>
      <c r="I317" t="e">
        <f>_xlfn.XLOOKUP(G317,Models!A:A,Models!E:E)</f>
        <v>#N/A</v>
      </c>
      <c r="J317" t="e">
        <f>_xlfn.XLOOKUP(G317,Models!A:A,Models!D:D)</f>
        <v>#N/A</v>
      </c>
      <c r="K317">
        <f>MacReports!F317</f>
        <v>0</v>
      </c>
      <c r="L317">
        <f>MacReports!G317</f>
        <v>0</v>
      </c>
      <c r="M317" s="15" t="e" cm="1">
        <f t="array" ref="M317">--_xlfn.LET(
    _xlpm.txt, MacReports!H317,
    _xlpm.chars, MID(_xlpm.txt, _xlfn.SEQUENCE(LEN(_xlpm.txt)), 1),
    _xlfn.TEXTJOIN("", TRUE, IF(ISNUMBER(--_xlpm.chars), _xlpm.chars, ""))
)</f>
        <v>#VALUE!</v>
      </c>
      <c r="N317" s="16" t="str" cm="1">
        <f t="array" ref="N317">_xlfn.IFS(
   --MacReports!M317&lt;55,"Battery Defect",
  -- MacReports!M317&lt;=69,"Battery D",
  --MacReports!M317&lt;=80,"Battery C",
 --MacReports!M317&gt;80,""
)</f>
        <v>Battery Defect</v>
      </c>
      <c r="O317" s="16" t="str">
        <f>IF(MacReports!I317="Service","Battery Service","")</f>
        <v/>
      </c>
      <c r="P317" s="13">
        <f>MacReports!P317</f>
        <v>0</v>
      </c>
      <c r="Q317" s="13" t="str">
        <f>IF(MacReports!J317="Enabled","Apple ID Lock","")</f>
        <v/>
      </c>
      <c r="R317" s="13" t="str">
        <f>IF(MacReports!L317="y","Remote Locked","")</f>
        <v/>
      </c>
      <c r="S317" t="str">
        <f t="shared" si="11"/>
        <v>Battery Defect, 0</v>
      </c>
      <c r="T317" t="str">
        <f>_xlfn.XLOOKUP(B317,Disk_Pivot!G:G,Disk_Pivot!I:I)</f>
        <v>Yes</v>
      </c>
      <c r="U317" t="str">
        <f>_xlfn.XLOOKUP(B317,Disk_Pivot!G:G,Disk_Pivot!N:N)</f>
        <v>Fail</v>
      </c>
      <c r="V317">
        <f>IF(U317="Fail",MacReports!N317,"")</f>
        <v>0</v>
      </c>
      <c r="AB317" t="str">
        <f t="shared" si="12"/>
        <v/>
      </c>
    </row>
    <row r="318" spans="1:28">
      <c r="A318">
        <f>MacReports!A318</f>
        <v>0</v>
      </c>
      <c r="B318">
        <f>MacReports!B318</f>
        <v>0</v>
      </c>
      <c r="C318">
        <f>MacReports!C318</f>
        <v>0</v>
      </c>
      <c r="E318" t="e">
        <f>_xlfn.XLOOKUP(G318,Models!A:A,Models!F:F)</f>
        <v>#N/A</v>
      </c>
      <c r="F318" t="str">
        <f>_xlfn.XLOOKUP(B318,MacReports!B:B,MacReports!D:D,"")</f>
        <v/>
      </c>
      <c r="G318" s="13">
        <f>MacReports!E318</f>
        <v>0</v>
      </c>
      <c r="H318" t="e">
        <f>_xlfn.XLOOKUP(G318,Models!A:A,Models!B:B)</f>
        <v>#N/A</v>
      </c>
      <c r="I318" t="e">
        <f>_xlfn.XLOOKUP(G318,Models!A:A,Models!E:E)</f>
        <v>#N/A</v>
      </c>
      <c r="J318" t="e">
        <f>_xlfn.XLOOKUP(G318,Models!A:A,Models!D:D)</f>
        <v>#N/A</v>
      </c>
      <c r="K318">
        <f>MacReports!F318</f>
        <v>0</v>
      </c>
      <c r="L318">
        <f>MacReports!G318</f>
        <v>0</v>
      </c>
      <c r="M318" s="15" t="e" cm="1">
        <f t="array" ref="M318">--_xlfn.LET(
    _xlpm.txt, MacReports!H318,
    _xlpm.chars, MID(_xlpm.txt, _xlfn.SEQUENCE(LEN(_xlpm.txt)), 1),
    _xlfn.TEXTJOIN("", TRUE, IF(ISNUMBER(--_xlpm.chars), _xlpm.chars, ""))
)</f>
        <v>#VALUE!</v>
      </c>
      <c r="N318" s="16" t="str" cm="1">
        <f t="array" ref="N318">_xlfn.IFS(
   --MacReports!M318&lt;55,"Battery Defect",
  -- MacReports!M318&lt;=69,"Battery D",
  --MacReports!M318&lt;=80,"Battery C",
 --MacReports!M318&gt;80,""
)</f>
        <v>Battery Defect</v>
      </c>
      <c r="O318" s="16" t="str">
        <f>IF(MacReports!I318="Service","Battery Service","")</f>
        <v/>
      </c>
      <c r="P318" s="13">
        <f>MacReports!P318</f>
        <v>0</v>
      </c>
      <c r="Q318" s="13" t="str">
        <f>IF(MacReports!J318="Enabled","Apple ID Lock","")</f>
        <v/>
      </c>
      <c r="R318" s="13" t="str">
        <f>IF(MacReports!L318="y","Remote Locked","")</f>
        <v/>
      </c>
      <c r="S318" t="str">
        <f t="shared" si="11"/>
        <v>Battery Defect, 0</v>
      </c>
      <c r="T318" t="str">
        <f>_xlfn.XLOOKUP(B318,Disk_Pivot!G:G,Disk_Pivot!I:I)</f>
        <v>Yes</v>
      </c>
      <c r="U318" t="str">
        <f>_xlfn.XLOOKUP(B318,Disk_Pivot!G:G,Disk_Pivot!N:N)</f>
        <v>Fail</v>
      </c>
      <c r="V318">
        <f>IF(U318="Fail",MacReports!N318,"")</f>
        <v>0</v>
      </c>
      <c r="AB318" t="str">
        <f t="shared" si="12"/>
        <v/>
      </c>
    </row>
    <row r="319" spans="1:28">
      <c r="A319">
        <f>MacReports!A319</f>
        <v>0</v>
      </c>
      <c r="B319">
        <f>MacReports!B319</f>
        <v>0</v>
      </c>
      <c r="C319">
        <f>MacReports!C319</f>
        <v>0</v>
      </c>
      <c r="E319" t="e">
        <f>_xlfn.XLOOKUP(G319,Models!A:A,Models!F:F)</f>
        <v>#N/A</v>
      </c>
      <c r="F319" t="str">
        <f>_xlfn.XLOOKUP(B319,MacReports!B:B,MacReports!D:D,"")</f>
        <v/>
      </c>
      <c r="G319" s="13">
        <f>MacReports!E319</f>
        <v>0</v>
      </c>
      <c r="H319" t="e">
        <f>_xlfn.XLOOKUP(G319,Models!A:A,Models!B:B)</f>
        <v>#N/A</v>
      </c>
      <c r="I319" t="e">
        <f>_xlfn.XLOOKUP(G319,Models!A:A,Models!E:E)</f>
        <v>#N/A</v>
      </c>
      <c r="J319" t="e">
        <f>_xlfn.XLOOKUP(G319,Models!A:A,Models!D:D)</f>
        <v>#N/A</v>
      </c>
      <c r="K319">
        <f>MacReports!F319</f>
        <v>0</v>
      </c>
      <c r="L319">
        <f>MacReports!G319</f>
        <v>0</v>
      </c>
      <c r="M319" s="15" t="e" cm="1">
        <f t="array" ref="M319">--_xlfn.LET(
    _xlpm.txt, MacReports!H319,
    _xlpm.chars, MID(_xlpm.txt, _xlfn.SEQUENCE(LEN(_xlpm.txt)), 1),
    _xlfn.TEXTJOIN("", TRUE, IF(ISNUMBER(--_xlpm.chars), _xlpm.chars, ""))
)</f>
        <v>#VALUE!</v>
      </c>
      <c r="N319" s="16" t="str" cm="1">
        <f t="array" ref="N319">_xlfn.IFS(
   --MacReports!M319&lt;55,"Battery Defect",
  -- MacReports!M319&lt;=69,"Battery D",
  --MacReports!M319&lt;=80,"Battery C",
 --MacReports!M319&gt;80,""
)</f>
        <v>Battery Defect</v>
      </c>
      <c r="O319" s="16" t="str">
        <f>IF(MacReports!I319="Service","Battery Service","")</f>
        <v/>
      </c>
      <c r="P319" s="13">
        <f>MacReports!P319</f>
        <v>0</v>
      </c>
      <c r="Q319" s="13" t="str">
        <f>IF(MacReports!J319="Enabled","Apple ID Lock","")</f>
        <v/>
      </c>
      <c r="R319" s="13" t="str">
        <f>IF(MacReports!L319="y","Remote Locked","")</f>
        <v/>
      </c>
      <c r="S319" t="str">
        <f t="shared" si="11"/>
        <v>Battery Defect, 0</v>
      </c>
      <c r="T319" t="str">
        <f>_xlfn.XLOOKUP(B319,Disk_Pivot!G:G,Disk_Pivot!I:I)</f>
        <v>Yes</v>
      </c>
      <c r="U319" t="str">
        <f>_xlfn.XLOOKUP(B319,Disk_Pivot!G:G,Disk_Pivot!N:N)</f>
        <v>Fail</v>
      </c>
      <c r="V319">
        <f>IF(U319="Fail",MacReports!N319,"")</f>
        <v>0</v>
      </c>
      <c r="AB319" t="str">
        <f t="shared" si="12"/>
        <v/>
      </c>
    </row>
    <row r="320" spans="1:28">
      <c r="A320">
        <f>MacReports!A320</f>
        <v>0</v>
      </c>
      <c r="B320">
        <f>MacReports!B320</f>
        <v>0</v>
      </c>
      <c r="C320">
        <f>MacReports!C320</f>
        <v>0</v>
      </c>
      <c r="E320" t="e">
        <f>_xlfn.XLOOKUP(G320,Models!A:A,Models!F:F)</f>
        <v>#N/A</v>
      </c>
      <c r="F320" t="str">
        <f>_xlfn.XLOOKUP(B320,MacReports!B:B,MacReports!D:D,"")</f>
        <v/>
      </c>
      <c r="G320" s="13">
        <f>MacReports!E320</f>
        <v>0</v>
      </c>
      <c r="H320" t="e">
        <f>_xlfn.XLOOKUP(G320,Models!A:A,Models!B:B)</f>
        <v>#N/A</v>
      </c>
      <c r="I320" t="e">
        <f>_xlfn.XLOOKUP(G320,Models!A:A,Models!E:E)</f>
        <v>#N/A</v>
      </c>
      <c r="J320" t="e">
        <f>_xlfn.XLOOKUP(G320,Models!A:A,Models!D:D)</f>
        <v>#N/A</v>
      </c>
      <c r="K320">
        <f>MacReports!F320</f>
        <v>0</v>
      </c>
      <c r="L320">
        <f>MacReports!G320</f>
        <v>0</v>
      </c>
      <c r="M320" s="15" t="e" cm="1">
        <f t="array" ref="M320">--_xlfn.LET(
    _xlpm.txt, MacReports!H320,
    _xlpm.chars, MID(_xlpm.txt, _xlfn.SEQUENCE(LEN(_xlpm.txt)), 1),
    _xlfn.TEXTJOIN("", TRUE, IF(ISNUMBER(--_xlpm.chars), _xlpm.chars, ""))
)</f>
        <v>#VALUE!</v>
      </c>
      <c r="N320" s="16" t="str" cm="1">
        <f t="array" ref="N320">_xlfn.IFS(
   --MacReports!M320&lt;55,"Battery Defect",
  -- MacReports!M320&lt;=69,"Battery D",
  --MacReports!M320&lt;=80,"Battery C",
 --MacReports!M320&gt;80,""
)</f>
        <v>Battery Defect</v>
      </c>
      <c r="O320" s="16" t="str">
        <f>IF(MacReports!I320="Service","Battery Service","")</f>
        <v/>
      </c>
      <c r="P320" s="13">
        <f>MacReports!P320</f>
        <v>0</v>
      </c>
      <c r="Q320" s="13" t="str">
        <f>IF(MacReports!J320="Enabled","Apple ID Lock","")</f>
        <v/>
      </c>
      <c r="R320" s="13" t="str">
        <f>IF(MacReports!L320="y","Remote Locked","")</f>
        <v/>
      </c>
      <c r="S320" t="str">
        <f t="shared" si="11"/>
        <v>Battery Defect, 0</v>
      </c>
      <c r="T320" t="str">
        <f>_xlfn.XLOOKUP(B320,Disk_Pivot!G:G,Disk_Pivot!I:I)</f>
        <v>Yes</v>
      </c>
      <c r="U320" t="str">
        <f>_xlfn.XLOOKUP(B320,Disk_Pivot!G:G,Disk_Pivot!N:N)</f>
        <v>Fail</v>
      </c>
      <c r="V320">
        <f>IF(U320="Fail",MacReports!N320,"")</f>
        <v>0</v>
      </c>
      <c r="AB320" t="str">
        <f t="shared" si="12"/>
        <v/>
      </c>
    </row>
    <row r="321" spans="1:28">
      <c r="A321">
        <f>MacReports!A321</f>
        <v>0</v>
      </c>
      <c r="B321">
        <f>MacReports!B321</f>
        <v>0</v>
      </c>
      <c r="C321">
        <f>MacReports!C321</f>
        <v>0</v>
      </c>
      <c r="E321" t="e">
        <f>_xlfn.XLOOKUP(G321,Models!A:A,Models!F:F)</f>
        <v>#N/A</v>
      </c>
      <c r="F321" t="str">
        <f>_xlfn.XLOOKUP(B321,MacReports!B:B,MacReports!D:D,"")</f>
        <v/>
      </c>
      <c r="G321" s="13">
        <f>MacReports!E321</f>
        <v>0</v>
      </c>
      <c r="H321" t="e">
        <f>_xlfn.XLOOKUP(G321,Models!A:A,Models!B:B)</f>
        <v>#N/A</v>
      </c>
      <c r="I321" t="e">
        <f>_xlfn.XLOOKUP(G321,Models!A:A,Models!E:E)</f>
        <v>#N/A</v>
      </c>
      <c r="J321" t="e">
        <f>_xlfn.XLOOKUP(G321,Models!A:A,Models!D:D)</f>
        <v>#N/A</v>
      </c>
      <c r="K321">
        <f>MacReports!F321</f>
        <v>0</v>
      </c>
      <c r="L321">
        <f>MacReports!G321</f>
        <v>0</v>
      </c>
      <c r="M321" s="15" t="e" cm="1">
        <f t="array" ref="M321">--_xlfn.LET(
    _xlpm.txt, MacReports!H321,
    _xlpm.chars, MID(_xlpm.txt, _xlfn.SEQUENCE(LEN(_xlpm.txt)), 1),
    _xlfn.TEXTJOIN("", TRUE, IF(ISNUMBER(--_xlpm.chars), _xlpm.chars, ""))
)</f>
        <v>#VALUE!</v>
      </c>
      <c r="N321" s="16" t="str" cm="1">
        <f t="array" ref="N321">_xlfn.IFS(
   --MacReports!M321&lt;55,"Battery Defect",
  -- MacReports!M321&lt;=69,"Battery D",
  --MacReports!M321&lt;=80,"Battery C",
 --MacReports!M321&gt;80,""
)</f>
        <v>Battery Defect</v>
      </c>
      <c r="O321" s="16" t="str">
        <f>IF(MacReports!I321="Service","Battery Service","")</f>
        <v/>
      </c>
      <c r="P321" s="13">
        <f>MacReports!P321</f>
        <v>0</v>
      </c>
      <c r="Q321" s="13" t="str">
        <f>IF(MacReports!J321="Enabled","Apple ID Lock","")</f>
        <v/>
      </c>
      <c r="R321" s="13" t="str">
        <f>IF(MacReports!L321="y","Remote Locked","")</f>
        <v/>
      </c>
      <c r="S321" t="str">
        <f t="shared" si="11"/>
        <v>Battery Defect, 0</v>
      </c>
      <c r="T321" t="str">
        <f>_xlfn.XLOOKUP(B321,Disk_Pivot!G:G,Disk_Pivot!I:I)</f>
        <v>Yes</v>
      </c>
      <c r="U321" t="str">
        <f>_xlfn.XLOOKUP(B321,Disk_Pivot!G:G,Disk_Pivot!N:N)</f>
        <v>Fail</v>
      </c>
      <c r="V321">
        <f>IF(U321="Fail",MacReports!N321,"")</f>
        <v>0</v>
      </c>
      <c r="AB321" t="str">
        <f t="shared" si="12"/>
        <v/>
      </c>
    </row>
    <row r="322" spans="1:28">
      <c r="A322">
        <f>MacReports!A322</f>
        <v>0</v>
      </c>
      <c r="B322">
        <f>MacReports!B322</f>
        <v>0</v>
      </c>
      <c r="C322">
        <f>MacReports!C322</f>
        <v>0</v>
      </c>
      <c r="E322" t="e">
        <f>_xlfn.XLOOKUP(G322,Models!A:A,Models!F:F)</f>
        <v>#N/A</v>
      </c>
      <c r="F322" t="str">
        <f>_xlfn.XLOOKUP(B322,MacReports!B:B,MacReports!D:D,"")</f>
        <v/>
      </c>
      <c r="G322" s="13">
        <f>MacReports!E322</f>
        <v>0</v>
      </c>
      <c r="H322" t="e">
        <f>_xlfn.XLOOKUP(G322,Models!A:A,Models!B:B)</f>
        <v>#N/A</v>
      </c>
      <c r="I322" t="e">
        <f>_xlfn.XLOOKUP(G322,Models!A:A,Models!E:E)</f>
        <v>#N/A</v>
      </c>
      <c r="J322" t="e">
        <f>_xlfn.XLOOKUP(G322,Models!A:A,Models!D:D)</f>
        <v>#N/A</v>
      </c>
      <c r="K322">
        <f>MacReports!F322</f>
        <v>0</v>
      </c>
      <c r="L322">
        <f>MacReports!G322</f>
        <v>0</v>
      </c>
      <c r="M322" s="15" t="e" cm="1">
        <f t="array" ref="M322">--_xlfn.LET(
    _xlpm.txt, MacReports!H322,
    _xlpm.chars, MID(_xlpm.txt, _xlfn.SEQUENCE(LEN(_xlpm.txt)), 1),
    _xlfn.TEXTJOIN("", TRUE, IF(ISNUMBER(--_xlpm.chars), _xlpm.chars, ""))
)</f>
        <v>#VALUE!</v>
      </c>
      <c r="N322" s="16" t="str" cm="1">
        <f t="array" ref="N322">_xlfn.IFS(
   --MacReports!M322&lt;55,"Battery Defect",
  -- MacReports!M322&lt;=69,"Battery D",
  --MacReports!M322&lt;=80,"Battery C",
 --MacReports!M322&gt;80,""
)</f>
        <v>Battery Defect</v>
      </c>
      <c r="O322" s="16" t="str">
        <f>IF(MacReports!I322="Service","Battery Service","")</f>
        <v/>
      </c>
      <c r="P322" s="13">
        <f>MacReports!P322</f>
        <v>0</v>
      </c>
      <c r="Q322" s="13" t="str">
        <f>IF(MacReports!J322="Enabled","Apple ID Lock","")</f>
        <v/>
      </c>
      <c r="R322" s="13" t="str">
        <f>IF(MacReports!L322="y","Remote Locked","")</f>
        <v/>
      </c>
      <c r="S322" t="str">
        <f t="shared" si="11"/>
        <v>Battery Defect, 0</v>
      </c>
      <c r="T322" t="str">
        <f>_xlfn.XLOOKUP(B322,Disk_Pivot!G:G,Disk_Pivot!I:I)</f>
        <v>Yes</v>
      </c>
      <c r="U322" t="str">
        <f>_xlfn.XLOOKUP(B322,Disk_Pivot!G:G,Disk_Pivot!N:N)</f>
        <v>Fail</v>
      </c>
      <c r="V322">
        <f>IF(U322="Fail",MacReports!N322,"")</f>
        <v>0</v>
      </c>
      <c r="AB322" t="str">
        <f t="shared" si="12"/>
        <v/>
      </c>
    </row>
    <row r="323" spans="1:28">
      <c r="A323">
        <f>MacReports!A323</f>
        <v>0</v>
      </c>
      <c r="B323">
        <f>MacReports!B323</f>
        <v>0</v>
      </c>
      <c r="C323">
        <f>MacReports!C323</f>
        <v>0</v>
      </c>
      <c r="E323" t="e">
        <f>_xlfn.XLOOKUP(G323,Models!A:A,Models!F:F)</f>
        <v>#N/A</v>
      </c>
      <c r="F323" t="str">
        <f>_xlfn.XLOOKUP(B323,MacReports!B:B,MacReports!D:D,"")</f>
        <v/>
      </c>
      <c r="G323" s="13">
        <f>MacReports!E323</f>
        <v>0</v>
      </c>
      <c r="H323" t="e">
        <f>_xlfn.XLOOKUP(G323,Models!A:A,Models!B:B)</f>
        <v>#N/A</v>
      </c>
      <c r="I323" t="e">
        <f>_xlfn.XLOOKUP(G323,Models!A:A,Models!E:E)</f>
        <v>#N/A</v>
      </c>
      <c r="J323" t="e">
        <f>_xlfn.XLOOKUP(G323,Models!A:A,Models!D:D)</f>
        <v>#N/A</v>
      </c>
      <c r="K323">
        <f>MacReports!F323</f>
        <v>0</v>
      </c>
      <c r="L323">
        <f>MacReports!G323</f>
        <v>0</v>
      </c>
      <c r="M323" s="15" t="e" cm="1">
        <f t="array" ref="M323">--_xlfn.LET(
    _xlpm.txt, MacReports!H323,
    _xlpm.chars, MID(_xlpm.txt, _xlfn.SEQUENCE(LEN(_xlpm.txt)), 1),
    _xlfn.TEXTJOIN("", TRUE, IF(ISNUMBER(--_xlpm.chars), _xlpm.chars, ""))
)</f>
        <v>#VALUE!</v>
      </c>
      <c r="N323" s="16" t="str" cm="1">
        <f t="array" ref="N323">_xlfn.IFS(
   --MacReports!M323&lt;55,"Battery Defect",
  -- MacReports!M323&lt;=69,"Battery D",
  --MacReports!M323&lt;=80,"Battery C",
 --MacReports!M323&gt;80,""
)</f>
        <v>Battery Defect</v>
      </c>
      <c r="O323" s="16" t="str">
        <f>IF(MacReports!I323="Service","Battery Service","")</f>
        <v/>
      </c>
      <c r="P323" s="13">
        <f>MacReports!P323</f>
        <v>0</v>
      </c>
      <c r="Q323" s="13" t="str">
        <f>IF(MacReports!J323="Enabled","Apple ID Lock","")</f>
        <v/>
      </c>
      <c r="R323" s="13" t="str">
        <f>IF(MacReports!L323="y","Remote Locked","")</f>
        <v/>
      </c>
      <c r="S323" t="str">
        <f t="shared" si="11"/>
        <v>Battery Defect, 0</v>
      </c>
      <c r="T323" t="str">
        <f>_xlfn.XLOOKUP(B323,Disk_Pivot!G:G,Disk_Pivot!I:I)</f>
        <v>Yes</v>
      </c>
      <c r="U323" t="str">
        <f>_xlfn.XLOOKUP(B323,Disk_Pivot!G:G,Disk_Pivot!N:N)</f>
        <v>Fail</v>
      </c>
      <c r="V323">
        <f>IF(U323="Fail",MacReports!N323,"")</f>
        <v>0</v>
      </c>
      <c r="AB323" t="str">
        <f t="shared" si="12"/>
        <v/>
      </c>
    </row>
    <row r="324" spans="1:28">
      <c r="A324">
        <f>MacReports!A324</f>
        <v>0</v>
      </c>
      <c r="B324">
        <f>MacReports!B324</f>
        <v>0</v>
      </c>
      <c r="C324">
        <f>MacReports!C324</f>
        <v>0</v>
      </c>
      <c r="E324" t="e">
        <f>_xlfn.XLOOKUP(G324,Models!A:A,Models!F:F)</f>
        <v>#N/A</v>
      </c>
      <c r="F324" t="str">
        <f>_xlfn.XLOOKUP(B324,MacReports!B:B,MacReports!D:D,"")</f>
        <v/>
      </c>
      <c r="G324" s="13">
        <f>MacReports!E324</f>
        <v>0</v>
      </c>
      <c r="H324" t="e">
        <f>_xlfn.XLOOKUP(G324,Models!A:A,Models!B:B)</f>
        <v>#N/A</v>
      </c>
      <c r="I324" t="e">
        <f>_xlfn.XLOOKUP(G324,Models!A:A,Models!E:E)</f>
        <v>#N/A</v>
      </c>
      <c r="J324" t="e">
        <f>_xlfn.XLOOKUP(G324,Models!A:A,Models!D:D)</f>
        <v>#N/A</v>
      </c>
      <c r="K324">
        <f>MacReports!F324</f>
        <v>0</v>
      </c>
      <c r="L324">
        <f>MacReports!G324</f>
        <v>0</v>
      </c>
      <c r="M324" s="15" t="e" cm="1">
        <f t="array" ref="M324">--_xlfn.LET(
    _xlpm.txt, MacReports!H324,
    _xlpm.chars, MID(_xlpm.txt, _xlfn.SEQUENCE(LEN(_xlpm.txt)), 1),
    _xlfn.TEXTJOIN("", TRUE, IF(ISNUMBER(--_xlpm.chars), _xlpm.chars, ""))
)</f>
        <v>#VALUE!</v>
      </c>
      <c r="N324" s="16" t="str" cm="1">
        <f t="array" ref="N324">_xlfn.IFS(
   --MacReports!M324&lt;55,"Battery Defect",
  -- MacReports!M324&lt;=69,"Battery D",
  --MacReports!M324&lt;=80,"Battery C",
 --MacReports!M324&gt;80,""
)</f>
        <v>Battery Defect</v>
      </c>
      <c r="O324" s="16" t="str">
        <f>IF(MacReports!I324="Service","Battery Service","")</f>
        <v/>
      </c>
      <c r="P324" s="13">
        <f>MacReports!P324</f>
        <v>0</v>
      </c>
      <c r="Q324" s="13" t="str">
        <f>IF(MacReports!J324="Enabled","Apple ID Lock","")</f>
        <v/>
      </c>
      <c r="R324" s="13" t="str">
        <f>IF(MacReports!L324="y","Remote Locked","")</f>
        <v/>
      </c>
      <c r="S324" t="str">
        <f t="shared" si="11"/>
        <v>Battery Defect, 0</v>
      </c>
      <c r="T324" t="str">
        <f>_xlfn.XLOOKUP(B324,Disk_Pivot!G:G,Disk_Pivot!I:I)</f>
        <v>Yes</v>
      </c>
      <c r="U324" t="str">
        <f>_xlfn.XLOOKUP(B324,Disk_Pivot!G:G,Disk_Pivot!N:N)</f>
        <v>Fail</v>
      </c>
      <c r="V324">
        <f>IF(U324="Fail",MacReports!N324,"")</f>
        <v>0</v>
      </c>
      <c r="AB324" t="str">
        <f t="shared" si="12"/>
        <v/>
      </c>
    </row>
    <row r="325" spans="1:28">
      <c r="A325">
        <f>MacReports!A325</f>
        <v>0</v>
      </c>
      <c r="B325">
        <f>MacReports!B325</f>
        <v>0</v>
      </c>
      <c r="C325">
        <f>MacReports!C325</f>
        <v>0</v>
      </c>
      <c r="E325" t="e">
        <f>_xlfn.XLOOKUP(G325,Models!A:A,Models!F:F)</f>
        <v>#N/A</v>
      </c>
      <c r="F325" t="str">
        <f>_xlfn.XLOOKUP(B325,MacReports!B:B,MacReports!D:D,"")</f>
        <v/>
      </c>
      <c r="G325" s="13">
        <f>MacReports!E325</f>
        <v>0</v>
      </c>
      <c r="H325" t="e">
        <f>_xlfn.XLOOKUP(G325,Models!A:A,Models!B:B)</f>
        <v>#N/A</v>
      </c>
      <c r="I325" t="e">
        <f>_xlfn.XLOOKUP(G325,Models!A:A,Models!E:E)</f>
        <v>#N/A</v>
      </c>
      <c r="J325" t="e">
        <f>_xlfn.XLOOKUP(G325,Models!A:A,Models!D:D)</f>
        <v>#N/A</v>
      </c>
      <c r="K325">
        <f>MacReports!F325</f>
        <v>0</v>
      </c>
      <c r="L325">
        <f>MacReports!G325</f>
        <v>0</v>
      </c>
      <c r="M325" s="15" t="e" cm="1">
        <f t="array" ref="M325">--_xlfn.LET(
    _xlpm.txt, MacReports!H325,
    _xlpm.chars, MID(_xlpm.txt, _xlfn.SEQUENCE(LEN(_xlpm.txt)), 1),
    _xlfn.TEXTJOIN("", TRUE, IF(ISNUMBER(--_xlpm.chars), _xlpm.chars, ""))
)</f>
        <v>#VALUE!</v>
      </c>
      <c r="N325" s="16" t="str" cm="1">
        <f t="array" ref="N325">_xlfn.IFS(
   --MacReports!M325&lt;55,"Battery Defect",
  -- MacReports!M325&lt;=69,"Battery D",
  --MacReports!M325&lt;=80,"Battery C",
 --MacReports!M325&gt;80,""
)</f>
        <v>Battery Defect</v>
      </c>
      <c r="O325" s="16" t="str">
        <f>IF(MacReports!I325="Service","Battery Service","")</f>
        <v/>
      </c>
      <c r="P325" s="13">
        <f>MacReports!P325</f>
        <v>0</v>
      </c>
      <c r="Q325" s="13" t="str">
        <f>IF(MacReports!J325="Enabled","Apple ID Lock","")</f>
        <v/>
      </c>
      <c r="R325" s="13" t="str">
        <f>IF(MacReports!L325="y","Remote Locked","")</f>
        <v/>
      </c>
      <c r="S325" t="str">
        <f t="shared" si="11"/>
        <v>Battery Defect, 0</v>
      </c>
      <c r="T325" t="str">
        <f>_xlfn.XLOOKUP(B325,Disk_Pivot!G:G,Disk_Pivot!I:I)</f>
        <v>Yes</v>
      </c>
      <c r="U325" t="str">
        <f>_xlfn.XLOOKUP(B325,Disk_Pivot!G:G,Disk_Pivot!N:N)</f>
        <v>Fail</v>
      </c>
      <c r="V325">
        <f>IF(U325="Fail",MacReports!N325,"")</f>
        <v>0</v>
      </c>
      <c r="AB325" t="str">
        <f t="shared" si="12"/>
        <v/>
      </c>
    </row>
    <row r="326" spans="1:28">
      <c r="A326">
        <f>MacReports!A326</f>
        <v>0</v>
      </c>
      <c r="B326">
        <f>MacReports!B326</f>
        <v>0</v>
      </c>
      <c r="C326">
        <f>MacReports!C326</f>
        <v>0</v>
      </c>
      <c r="E326" t="e">
        <f>_xlfn.XLOOKUP(G326,Models!A:A,Models!F:F)</f>
        <v>#N/A</v>
      </c>
      <c r="F326" t="str">
        <f>_xlfn.XLOOKUP(B326,MacReports!B:B,MacReports!D:D,"")</f>
        <v/>
      </c>
      <c r="G326" s="13">
        <f>MacReports!E326</f>
        <v>0</v>
      </c>
      <c r="H326" t="e">
        <f>_xlfn.XLOOKUP(G326,Models!A:A,Models!B:B)</f>
        <v>#N/A</v>
      </c>
      <c r="I326" t="e">
        <f>_xlfn.XLOOKUP(G326,Models!A:A,Models!E:E)</f>
        <v>#N/A</v>
      </c>
      <c r="J326" t="e">
        <f>_xlfn.XLOOKUP(G326,Models!A:A,Models!D:D)</f>
        <v>#N/A</v>
      </c>
      <c r="K326">
        <f>MacReports!F326</f>
        <v>0</v>
      </c>
      <c r="L326">
        <f>MacReports!G326</f>
        <v>0</v>
      </c>
      <c r="M326" s="15" t="e" cm="1">
        <f t="array" ref="M326">--_xlfn.LET(
    _xlpm.txt, MacReports!H326,
    _xlpm.chars, MID(_xlpm.txt, _xlfn.SEQUENCE(LEN(_xlpm.txt)), 1),
    _xlfn.TEXTJOIN("", TRUE, IF(ISNUMBER(--_xlpm.chars), _xlpm.chars, ""))
)</f>
        <v>#VALUE!</v>
      </c>
      <c r="N326" s="16" t="str" cm="1">
        <f t="array" ref="N326">_xlfn.IFS(
   --MacReports!M326&lt;55,"Battery Defect",
  -- MacReports!M326&lt;=69,"Battery D",
  --MacReports!M326&lt;=80,"Battery C",
 --MacReports!M326&gt;80,""
)</f>
        <v>Battery Defect</v>
      </c>
      <c r="O326" s="16" t="str">
        <f>IF(MacReports!I326="Service","Battery Service","")</f>
        <v/>
      </c>
      <c r="P326" s="13">
        <f>MacReports!P326</f>
        <v>0</v>
      </c>
      <c r="Q326" s="13" t="str">
        <f>IF(MacReports!J326="Enabled","Apple ID Lock","")</f>
        <v/>
      </c>
      <c r="R326" s="13" t="str">
        <f>IF(MacReports!L326="y","Remote Locked","")</f>
        <v/>
      </c>
      <c r="S326" t="str">
        <f t="shared" si="11"/>
        <v>Battery Defect, 0</v>
      </c>
      <c r="T326" t="str">
        <f>_xlfn.XLOOKUP(B326,Disk_Pivot!G:G,Disk_Pivot!I:I)</f>
        <v>Yes</v>
      </c>
      <c r="U326" t="str">
        <f>_xlfn.XLOOKUP(B326,Disk_Pivot!G:G,Disk_Pivot!N:N)</f>
        <v>Fail</v>
      </c>
      <c r="V326">
        <f>IF(U326="Fail",MacReports!N326,"")</f>
        <v>0</v>
      </c>
      <c r="AB326" t="str">
        <f t="shared" si="12"/>
        <v/>
      </c>
    </row>
    <row r="327" spans="1:28">
      <c r="A327">
        <f>MacReports!A327</f>
        <v>0</v>
      </c>
      <c r="B327">
        <f>MacReports!B327</f>
        <v>0</v>
      </c>
      <c r="C327">
        <f>MacReports!C327</f>
        <v>0</v>
      </c>
      <c r="E327" t="e">
        <f>_xlfn.XLOOKUP(G327,Models!A:A,Models!F:F)</f>
        <v>#N/A</v>
      </c>
      <c r="F327" t="str">
        <f>_xlfn.XLOOKUP(B327,MacReports!B:B,MacReports!D:D,"")</f>
        <v/>
      </c>
      <c r="G327" s="13">
        <f>MacReports!E327</f>
        <v>0</v>
      </c>
      <c r="H327" t="e">
        <f>_xlfn.XLOOKUP(G327,Models!A:A,Models!B:B)</f>
        <v>#N/A</v>
      </c>
      <c r="I327" t="e">
        <f>_xlfn.XLOOKUP(G327,Models!A:A,Models!E:E)</f>
        <v>#N/A</v>
      </c>
      <c r="J327" t="e">
        <f>_xlfn.XLOOKUP(G327,Models!A:A,Models!D:D)</f>
        <v>#N/A</v>
      </c>
      <c r="K327">
        <f>MacReports!F327</f>
        <v>0</v>
      </c>
      <c r="L327">
        <f>MacReports!G327</f>
        <v>0</v>
      </c>
      <c r="M327" s="15" t="e" cm="1">
        <f t="array" ref="M327">--_xlfn.LET(
    _xlpm.txt, MacReports!H327,
    _xlpm.chars, MID(_xlpm.txt, _xlfn.SEQUENCE(LEN(_xlpm.txt)), 1),
    _xlfn.TEXTJOIN("", TRUE, IF(ISNUMBER(--_xlpm.chars), _xlpm.chars, ""))
)</f>
        <v>#VALUE!</v>
      </c>
      <c r="N327" s="16" t="str" cm="1">
        <f t="array" ref="N327">_xlfn.IFS(
   --MacReports!M327&lt;55,"Battery Defect",
  -- MacReports!M327&lt;=69,"Battery D",
  --MacReports!M327&lt;=80,"Battery C",
 --MacReports!M327&gt;80,""
)</f>
        <v>Battery Defect</v>
      </c>
      <c r="O327" s="16" t="str">
        <f>IF(MacReports!I327="Service","Battery Service","")</f>
        <v/>
      </c>
      <c r="P327" s="13">
        <f>MacReports!P327</f>
        <v>0</v>
      </c>
      <c r="Q327" s="13" t="str">
        <f>IF(MacReports!J327="Enabled","Apple ID Lock","")</f>
        <v/>
      </c>
      <c r="R327" s="13" t="str">
        <f>IF(MacReports!L327="y","Remote Locked","")</f>
        <v/>
      </c>
      <c r="S327" t="str">
        <f t="shared" si="11"/>
        <v>Battery Defect, 0</v>
      </c>
      <c r="T327" t="str">
        <f>_xlfn.XLOOKUP(B327,Disk_Pivot!G:G,Disk_Pivot!I:I)</f>
        <v>Yes</v>
      </c>
      <c r="U327" t="str">
        <f>_xlfn.XLOOKUP(B327,Disk_Pivot!G:G,Disk_Pivot!N:N)</f>
        <v>Fail</v>
      </c>
      <c r="V327">
        <f>IF(U327="Fail",MacReports!N327,"")</f>
        <v>0</v>
      </c>
      <c r="AB327" t="str">
        <f t="shared" si="12"/>
        <v/>
      </c>
    </row>
    <row r="328" spans="1:28">
      <c r="A328">
        <f>MacReports!A328</f>
        <v>0</v>
      </c>
      <c r="B328">
        <f>MacReports!B328</f>
        <v>0</v>
      </c>
      <c r="C328">
        <f>MacReports!C328</f>
        <v>0</v>
      </c>
      <c r="E328" t="e">
        <f>_xlfn.XLOOKUP(G328,Models!A:A,Models!F:F)</f>
        <v>#N/A</v>
      </c>
      <c r="F328" t="str">
        <f>_xlfn.XLOOKUP(B328,MacReports!B:B,MacReports!D:D,"")</f>
        <v/>
      </c>
      <c r="G328" s="13">
        <f>MacReports!E328</f>
        <v>0</v>
      </c>
      <c r="H328" t="e">
        <f>_xlfn.XLOOKUP(G328,Models!A:A,Models!B:B)</f>
        <v>#N/A</v>
      </c>
      <c r="I328" t="e">
        <f>_xlfn.XLOOKUP(G328,Models!A:A,Models!E:E)</f>
        <v>#N/A</v>
      </c>
      <c r="J328" t="e">
        <f>_xlfn.XLOOKUP(G328,Models!A:A,Models!D:D)</f>
        <v>#N/A</v>
      </c>
      <c r="K328">
        <f>MacReports!F328</f>
        <v>0</v>
      </c>
      <c r="L328">
        <f>MacReports!G328</f>
        <v>0</v>
      </c>
      <c r="M328" s="15" t="e" cm="1">
        <f t="array" ref="M328">--_xlfn.LET(
    _xlpm.txt, MacReports!H328,
    _xlpm.chars, MID(_xlpm.txt, _xlfn.SEQUENCE(LEN(_xlpm.txt)), 1),
    _xlfn.TEXTJOIN("", TRUE, IF(ISNUMBER(--_xlpm.chars), _xlpm.chars, ""))
)</f>
        <v>#VALUE!</v>
      </c>
      <c r="N328" s="16" t="str" cm="1">
        <f t="array" ref="N328">_xlfn.IFS(
   --MacReports!M328&lt;55,"Battery Defect",
  -- MacReports!M328&lt;=69,"Battery D",
  --MacReports!M328&lt;=80,"Battery C",
 --MacReports!M328&gt;80,""
)</f>
        <v>Battery Defect</v>
      </c>
      <c r="O328" s="16" t="str">
        <f>IF(MacReports!I328="Service","Battery Service","")</f>
        <v/>
      </c>
      <c r="P328" s="13">
        <f>MacReports!P328</f>
        <v>0</v>
      </c>
      <c r="Q328" s="13" t="str">
        <f>IF(MacReports!J328="Enabled","Apple ID Lock","")</f>
        <v/>
      </c>
      <c r="R328" s="13" t="str">
        <f>IF(MacReports!L328="y","Remote Locked","")</f>
        <v/>
      </c>
      <c r="S328" t="str">
        <f t="shared" si="11"/>
        <v>Battery Defect, 0</v>
      </c>
      <c r="T328" t="str">
        <f>_xlfn.XLOOKUP(B328,Disk_Pivot!G:G,Disk_Pivot!I:I)</f>
        <v>Yes</v>
      </c>
      <c r="U328" t="str">
        <f>_xlfn.XLOOKUP(B328,Disk_Pivot!G:G,Disk_Pivot!N:N)</f>
        <v>Fail</v>
      </c>
      <c r="V328">
        <f>IF(U328="Fail",MacReports!N328,"")</f>
        <v>0</v>
      </c>
      <c r="AB328" t="str">
        <f t="shared" si="12"/>
        <v/>
      </c>
    </row>
    <row r="329" spans="1:28">
      <c r="A329">
        <f>MacReports!A329</f>
        <v>0</v>
      </c>
      <c r="B329">
        <f>MacReports!B329</f>
        <v>0</v>
      </c>
      <c r="C329">
        <f>MacReports!C329</f>
        <v>0</v>
      </c>
      <c r="E329" t="e">
        <f>_xlfn.XLOOKUP(G329,Models!A:A,Models!F:F)</f>
        <v>#N/A</v>
      </c>
      <c r="F329" t="str">
        <f>_xlfn.XLOOKUP(B329,MacReports!B:B,MacReports!D:D,"")</f>
        <v/>
      </c>
      <c r="G329" s="13">
        <f>MacReports!E329</f>
        <v>0</v>
      </c>
      <c r="H329" t="e">
        <f>_xlfn.XLOOKUP(G329,Models!A:A,Models!B:B)</f>
        <v>#N/A</v>
      </c>
      <c r="I329" t="e">
        <f>_xlfn.XLOOKUP(G329,Models!A:A,Models!E:E)</f>
        <v>#N/A</v>
      </c>
      <c r="J329" t="e">
        <f>_xlfn.XLOOKUP(G329,Models!A:A,Models!D:D)</f>
        <v>#N/A</v>
      </c>
      <c r="K329">
        <f>MacReports!F329</f>
        <v>0</v>
      </c>
      <c r="L329">
        <f>MacReports!G329</f>
        <v>0</v>
      </c>
      <c r="M329" s="15" t="e" cm="1">
        <f t="array" ref="M329">--_xlfn.LET(
    _xlpm.txt, MacReports!H329,
    _xlpm.chars, MID(_xlpm.txt, _xlfn.SEQUENCE(LEN(_xlpm.txt)), 1),
    _xlfn.TEXTJOIN("", TRUE, IF(ISNUMBER(--_xlpm.chars), _xlpm.chars, ""))
)</f>
        <v>#VALUE!</v>
      </c>
      <c r="N329" s="16" t="str" cm="1">
        <f t="array" ref="N329">_xlfn.IFS(
   --MacReports!M329&lt;55,"Battery Defect",
  -- MacReports!M329&lt;=69,"Battery D",
  --MacReports!M329&lt;=80,"Battery C",
 --MacReports!M329&gt;80,""
)</f>
        <v>Battery Defect</v>
      </c>
      <c r="O329" s="16" t="str">
        <f>IF(MacReports!I329="Service","Battery Service","")</f>
        <v/>
      </c>
      <c r="P329" s="13">
        <f>MacReports!P329</f>
        <v>0</v>
      </c>
      <c r="Q329" s="13" t="str">
        <f>IF(MacReports!J329="Enabled","Apple ID Lock","")</f>
        <v/>
      </c>
      <c r="R329" s="13" t="str">
        <f>IF(MacReports!L329="y","Remote Locked","")</f>
        <v/>
      </c>
      <c r="S329" t="str">
        <f t="shared" si="11"/>
        <v>Battery Defect, 0</v>
      </c>
      <c r="T329" t="str">
        <f>_xlfn.XLOOKUP(B329,Disk_Pivot!G:G,Disk_Pivot!I:I)</f>
        <v>Yes</v>
      </c>
      <c r="U329" t="str">
        <f>_xlfn.XLOOKUP(B329,Disk_Pivot!G:G,Disk_Pivot!N:N)</f>
        <v>Fail</v>
      </c>
      <c r="V329">
        <f>IF(U329="Fail",MacReports!N329,"")</f>
        <v>0</v>
      </c>
      <c r="AB329" t="str">
        <f t="shared" si="12"/>
        <v/>
      </c>
    </row>
    <row r="330" spans="1:28">
      <c r="A330">
        <f>MacReports!A330</f>
        <v>0</v>
      </c>
      <c r="B330">
        <f>MacReports!B330</f>
        <v>0</v>
      </c>
      <c r="C330">
        <f>MacReports!C330</f>
        <v>0</v>
      </c>
      <c r="E330" t="e">
        <f>_xlfn.XLOOKUP(G330,Models!A:A,Models!F:F)</f>
        <v>#N/A</v>
      </c>
      <c r="F330" t="str">
        <f>_xlfn.XLOOKUP(B330,MacReports!B:B,MacReports!D:D,"")</f>
        <v/>
      </c>
      <c r="G330" s="13">
        <f>MacReports!E330</f>
        <v>0</v>
      </c>
      <c r="H330" t="e">
        <f>_xlfn.XLOOKUP(G330,Models!A:A,Models!B:B)</f>
        <v>#N/A</v>
      </c>
      <c r="I330" t="e">
        <f>_xlfn.XLOOKUP(G330,Models!A:A,Models!E:E)</f>
        <v>#N/A</v>
      </c>
      <c r="J330" t="e">
        <f>_xlfn.XLOOKUP(G330,Models!A:A,Models!D:D)</f>
        <v>#N/A</v>
      </c>
      <c r="K330">
        <f>MacReports!F330</f>
        <v>0</v>
      </c>
      <c r="L330">
        <f>MacReports!G330</f>
        <v>0</v>
      </c>
      <c r="M330" s="15" t="e" cm="1">
        <f t="array" ref="M330">--_xlfn.LET(
    _xlpm.txt, MacReports!H330,
    _xlpm.chars, MID(_xlpm.txt, _xlfn.SEQUENCE(LEN(_xlpm.txt)), 1),
    _xlfn.TEXTJOIN("", TRUE, IF(ISNUMBER(--_xlpm.chars), _xlpm.chars, ""))
)</f>
        <v>#VALUE!</v>
      </c>
      <c r="N330" s="16" t="str" cm="1">
        <f t="array" ref="N330">_xlfn.IFS(
   --MacReports!M330&lt;55,"Battery Defect",
  -- MacReports!M330&lt;=69,"Battery D",
  --MacReports!M330&lt;=80,"Battery C",
 --MacReports!M330&gt;80,""
)</f>
        <v>Battery Defect</v>
      </c>
      <c r="O330" s="16" t="str">
        <f>IF(MacReports!I330="Service","Battery Service","")</f>
        <v/>
      </c>
      <c r="P330" s="13">
        <f>MacReports!P330</f>
        <v>0</v>
      </c>
      <c r="Q330" s="13" t="str">
        <f>IF(MacReports!J330="Enabled","Apple ID Lock","")</f>
        <v/>
      </c>
      <c r="R330" s="13" t="str">
        <f>IF(MacReports!L330="y","Remote Locked","")</f>
        <v/>
      </c>
      <c r="S330" t="str">
        <f t="shared" si="11"/>
        <v>Battery Defect, 0</v>
      </c>
      <c r="T330" t="str">
        <f>_xlfn.XLOOKUP(B330,Disk_Pivot!G:G,Disk_Pivot!I:I)</f>
        <v>Yes</v>
      </c>
      <c r="U330" t="str">
        <f>_xlfn.XLOOKUP(B330,Disk_Pivot!G:G,Disk_Pivot!N:N)</f>
        <v>Fail</v>
      </c>
      <c r="V330">
        <f>IF(U330="Fail",MacReports!N330,"")</f>
        <v>0</v>
      </c>
      <c r="AB330" t="str">
        <f t="shared" si="12"/>
        <v/>
      </c>
    </row>
    <row r="331" spans="1:28">
      <c r="A331">
        <f>MacReports!A331</f>
        <v>0</v>
      </c>
      <c r="B331">
        <f>MacReports!B331</f>
        <v>0</v>
      </c>
      <c r="C331">
        <f>MacReports!C331</f>
        <v>0</v>
      </c>
      <c r="E331" t="e">
        <f>_xlfn.XLOOKUP(G331,Models!A:A,Models!F:F)</f>
        <v>#N/A</v>
      </c>
      <c r="F331" t="str">
        <f>_xlfn.XLOOKUP(B331,MacReports!B:B,MacReports!D:D,"")</f>
        <v/>
      </c>
      <c r="G331" s="13">
        <f>MacReports!E331</f>
        <v>0</v>
      </c>
      <c r="H331" t="e">
        <f>_xlfn.XLOOKUP(G331,Models!A:A,Models!B:B)</f>
        <v>#N/A</v>
      </c>
      <c r="I331" t="e">
        <f>_xlfn.XLOOKUP(G331,Models!A:A,Models!E:E)</f>
        <v>#N/A</v>
      </c>
      <c r="J331" t="e">
        <f>_xlfn.XLOOKUP(G331,Models!A:A,Models!D:D)</f>
        <v>#N/A</v>
      </c>
      <c r="K331">
        <f>MacReports!F331</f>
        <v>0</v>
      </c>
      <c r="L331">
        <f>MacReports!G331</f>
        <v>0</v>
      </c>
      <c r="M331" s="15" t="e" cm="1">
        <f t="array" ref="M331">--_xlfn.LET(
    _xlpm.txt, MacReports!H331,
    _xlpm.chars, MID(_xlpm.txt, _xlfn.SEQUENCE(LEN(_xlpm.txt)), 1),
    _xlfn.TEXTJOIN("", TRUE, IF(ISNUMBER(--_xlpm.chars), _xlpm.chars, ""))
)</f>
        <v>#VALUE!</v>
      </c>
      <c r="N331" s="16" t="str" cm="1">
        <f t="array" ref="N331">_xlfn.IFS(
   --MacReports!M331&lt;55,"Battery Defect",
  -- MacReports!M331&lt;=69,"Battery D",
  --MacReports!M331&lt;=80,"Battery C",
 --MacReports!M331&gt;80,""
)</f>
        <v>Battery Defect</v>
      </c>
      <c r="O331" s="16" t="str">
        <f>IF(MacReports!I331="Service","Battery Service","")</f>
        <v/>
      </c>
      <c r="P331" s="13">
        <f>MacReports!P331</f>
        <v>0</v>
      </c>
      <c r="Q331" s="13" t="str">
        <f>IF(MacReports!J331="Enabled","Apple ID Lock","")</f>
        <v/>
      </c>
      <c r="R331" s="13" t="str">
        <f>IF(MacReports!L331="y","Remote Locked","")</f>
        <v/>
      </c>
      <c r="S331" t="str">
        <f t="shared" si="11"/>
        <v>Battery Defect, 0</v>
      </c>
      <c r="T331" t="str">
        <f>_xlfn.XLOOKUP(B331,Disk_Pivot!G:G,Disk_Pivot!I:I)</f>
        <v>Yes</v>
      </c>
      <c r="U331" t="str">
        <f>_xlfn.XLOOKUP(B331,Disk_Pivot!G:G,Disk_Pivot!N:N)</f>
        <v>Fail</v>
      </c>
      <c r="V331">
        <f>IF(U331="Fail",MacReports!N331,"")</f>
        <v>0</v>
      </c>
      <c r="AB331" t="str">
        <f t="shared" si="12"/>
        <v/>
      </c>
    </row>
    <row r="332" spans="1:28">
      <c r="A332">
        <f>MacReports!A332</f>
        <v>0</v>
      </c>
      <c r="B332">
        <f>MacReports!B332</f>
        <v>0</v>
      </c>
      <c r="C332">
        <f>MacReports!C332</f>
        <v>0</v>
      </c>
      <c r="E332" t="e">
        <f>_xlfn.XLOOKUP(G332,Models!A:A,Models!F:F)</f>
        <v>#N/A</v>
      </c>
      <c r="F332" t="str">
        <f>_xlfn.XLOOKUP(B332,MacReports!B:B,MacReports!D:D,"")</f>
        <v/>
      </c>
      <c r="G332" s="13">
        <f>MacReports!E332</f>
        <v>0</v>
      </c>
      <c r="H332" t="e">
        <f>_xlfn.XLOOKUP(G332,Models!A:A,Models!B:B)</f>
        <v>#N/A</v>
      </c>
      <c r="I332" t="e">
        <f>_xlfn.XLOOKUP(G332,Models!A:A,Models!E:E)</f>
        <v>#N/A</v>
      </c>
      <c r="J332" t="e">
        <f>_xlfn.XLOOKUP(G332,Models!A:A,Models!D:D)</f>
        <v>#N/A</v>
      </c>
      <c r="K332">
        <f>MacReports!F332</f>
        <v>0</v>
      </c>
      <c r="L332">
        <f>MacReports!G332</f>
        <v>0</v>
      </c>
      <c r="M332" s="15" t="e" cm="1">
        <f t="array" ref="M332">--_xlfn.LET(
    _xlpm.txt, MacReports!H332,
    _xlpm.chars, MID(_xlpm.txt, _xlfn.SEQUENCE(LEN(_xlpm.txt)), 1),
    _xlfn.TEXTJOIN("", TRUE, IF(ISNUMBER(--_xlpm.chars), _xlpm.chars, ""))
)</f>
        <v>#VALUE!</v>
      </c>
      <c r="N332" s="16" t="str" cm="1">
        <f t="array" ref="N332">_xlfn.IFS(
   --MacReports!M332&lt;55,"Battery Defect",
  -- MacReports!M332&lt;=69,"Battery D",
  --MacReports!M332&lt;=80,"Battery C",
 --MacReports!M332&gt;80,""
)</f>
        <v>Battery Defect</v>
      </c>
      <c r="O332" s="16" t="str">
        <f>IF(MacReports!I332="Service","Battery Service","")</f>
        <v/>
      </c>
      <c r="P332" s="13">
        <f>MacReports!P332</f>
        <v>0</v>
      </c>
      <c r="Q332" s="13" t="str">
        <f>IF(MacReports!J332="Enabled","Apple ID Lock","")</f>
        <v/>
      </c>
      <c r="R332" s="13" t="str">
        <f>IF(MacReports!L332="y","Remote Locked","")</f>
        <v/>
      </c>
      <c r="S332" t="str">
        <f t="shared" si="11"/>
        <v>Battery Defect, 0</v>
      </c>
      <c r="T332" t="str">
        <f>_xlfn.XLOOKUP(B332,Disk_Pivot!G:G,Disk_Pivot!I:I)</f>
        <v>Yes</v>
      </c>
      <c r="U332" t="str">
        <f>_xlfn.XLOOKUP(B332,Disk_Pivot!G:G,Disk_Pivot!N:N)</f>
        <v>Fail</v>
      </c>
      <c r="V332">
        <f>IF(U332="Fail",MacReports!N332,"")</f>
        <v>0</v>
      </c>
      <c r="AB332" t="str">
        <f t="shared" si="12"/>
        <v/>
      </c>
    </row>
    <row r="333" spans="1:28">
      <c r="A333">
        <f>MacReports!A333</f>
        <v>0</v>
      </c>
      <c r="B333">
        <f>MacReports!B333</f>
        <v>0</v>
      </c>
      <c r="C333">
        <f>MacReports!C333</f>
        <v>0</v>
      </c>
      <c r="E333" t="e">
        <f>_xlfn.XLOOKUP(G333,Models!A:A,Models!F:F)</f>
        <v>#N/A</v>
      </c>
      <c r="F333" t="str">
        <f>_xlfn.XLOOKUP(B333,MacReports!B:B,MacReports!D:D,"")</f>
        <v/>
      </c>
      <c r="G333" s="13">
        <f>MacReports!E333</f>
        <v>0</v>
      </c>
      <c r="H333" t="e">
        <f>_xlfn.XLOOKUP(G333,Models!A:A,Models!B:B)</f>
        <v>#N/A</v>
      </c>
      <c r="I333" t="e">
        <f>_xlfn.XLOOKUP(G333,Models!A:A,Models!E:E)</f>
        <v>#N/A</v>
      </c>
      <c r="J333" t="e">
        <f>_xlfn.XLOOKUP(G333,Models!A:A,Models!D:D)</f>
        <v>#N/A</v>
      </c>
      <c r="K333">
        <f>MacReports!F333</f>
        <v>0</v>
      </c>
      <c r="L333">
        <f>MacReports!G333</f>
        <v>0</v>
      </c>
      <c r="M333" s="15" t="e" cm="1">
        <f t="array" ref="M333">--_xlfn.LET(
    _xlpm.txt, MacReports!H333,
    _xlpm.chars, MID(_xlpm.txt, _xlfn.SEQUENCE(LEN(_xlpm.txt)), 1),
    _xlfn.TEXTJOIN("", TRUE, IF(ISNUMBER(--_xlpm.chars), _xlpm.chars, ""))
)</f>
        <v>#VALUE!</v>
      </c>
      <c r="N333" s="16" t="str" cm="1">
        <f t="array" ref="N333">_xlfn.IFS(
   --MacReports!M333&lt;55,"Battery Defect",
  -- MacReports!M333&lt;=69,"Battery D",
  --MacReports!M333&lt;=80,"Battery C",
 --MacReports!M333&gt;80,""
)</f>
        <v>Battery Defect</v>
      </c>
      <c r="O333" s="16" t="str">
        <f>IF(MacReports!I333="Service","Battery Service","")</f>
        <v/>
      </c>
      <c r="P333" s="13">
        <f>MacReports!P333</f>
        <v>0</v>
      </c>
      <c r="Q333" s="13" t="str">
        <f>IF(MacReports!J333="Enabled","Apple ID Lock","")</f>
        <v/>
      </c>
      <c r="R333" s="13" t="str">
        <f>IF(MacReports!L333="y","Remote Locked","")</f>
        <v/>
      </c>
      <c r="S333" t="str">
        <f t="shared" si="11"/>
        <v>Battery Defect, 0</v>
      </c>
      <c r="T333" t="str">
        <f>_xlfn.XLOOKUP(B333,Disk_Pivot!G:G,Disk_Pivot!I:I)</f>
        <v>Yes</v>
      </c>
      <c r="U333" t="str">
        <f>_xlfn.XLOOKUP(B333,Disk_Pivot!G:G,Disk_Pivot!N:N)</f>
        <v>Fail</v>
      </c>
      <c r="V333">
        <f>IF(U333="Fail",MacReports!N333,"")</f>
        <v>0</v>
      </c>
      <c r="AB333" t="str">
        <f t="shared" si="12"/>
        <v/>
      </c>
    </row>
    <row r="334" spans="1:28">
      <c r="A334">
        <f>MacReports!A334</f>
        <v>0</v>
      </c>
      <c r="B334">
        <f>MacReports!B334</f>
        <v>0</v>
      </c>
      <c r="C334">
        <f>MacReports!C334</f>
        <v>0</v>
      </c>
      <c r="E334" t="e">
        <f>_xlfn.XLOOKUP(G334,Models!A:A,Models!F:F)</f>
        <v>#N/A</v>
      </c>
      <c r="F334" t="str">
        <f>_xlfn.XLOOKUP(B334,MacReports!B:B,MacReports!D:D,"")</f>
        <v/>
      </c>
      <c r="G334" s="13">
        <f>MacReports!E334</f>
        <v>0</v>
      </c>
      <c r="H334" t="e">
        <f>_xlfn.XLOOKUP(G334,Models!A:A,Models!B:B)</f>
        <v>#N/A</v>
      </c>
      <c r="I334" t="e">
        <f>_xlfn.XLOOKUP(G334,Models!A:A,Models!E:E)</f>
        <v>#N/A</v>
      </c>
      <c r="J334" t="e">
        <f>_xlfn.XLOOKUP(G334,Models!A:A,Models!D:D)</f>
        <v>#N/A</v>
      </c>
      <c r="K334">
        <f>MacReports!F334</f>
        <v>0</v>
      </c>
      <c r="L334">
        <f>MacReports!G334</f>
        <v>0</v>
      </c>
      <c r="M334" s="15" t="e" cm="1">
        <f t="array" ref="M334">--_xlfn.LET(
    _xlpm.txt, MacReports!H334,
    _xlpm.chars, MID(_xlpm.txt, _xlfn.SEQUENCE(LEN(_xlpm.txt)), 1),
    _xlfn.TEXTJOIN("", TRUE, IF(ISNUMBER(--_xlpm.chars), _xlpm.chars, ""))
)</f>
        <v>#VALUE!</v>
      </c>
      <c r="N334" s="16" t="str" cm="1">
        <f t="array" ref="N334">_xlfn.IFS(
   --MacReports!M334&lt;55,"Battery Defect",
  -- MacReports!M334&lt;=69,"Battery D",
  --MacReports!M334&lt;=80,"Battery C",
 --MacReports!M334&gt;80,""
)</f>
        <v>Battery Defect</v>
      </c>
      <c r="O334" s="16" t="str">
        <f>IF(MacReports!I334="Service","Battery Service","")</f>
        <v/>
      </c>
      <c r="P334" s="13">
        <f>MacReports!P334</f>
        <v>0</v>
      </c>
      <c r="Q334" s="13" t="str">
        <f>IF(MacReports!J334="Enabled","Apple ID Lock","")</f>
        <v/>
      </c>
      <c r="R334" s="13" t="str">
        <f>IF(MacReports!L334="y","Remote Locked","")</f>
        <v/>
      </c>
      <c r="S334" t="str">
        <f t="shared" si="11"/>
        <v>Battery Defect, 0</v>
      </c>
      <c r="T334" t="str">
        <f>_xlfn.XLOOKUP(B334,Disk_Pivot!G:G,Disk_Pivot!I:I)</f>
        <v>Yes</v>
      </c>
      <c r="U334" t="str">
        <f>_xlfn.XLOOKUP(B334,Disk_Pivot!G:G,Disk_Pivot!N:N)</f>
        <v>Fail</v>
      </c>
      <c r="V334">
        <f>IF(U334="Fail",MacReports!N334,"")</f>
        <v>0</v>
      </c>
      <c r="AB334" t="str">
        <f t="shared" si="12"/>
        <v/>
      </c>
    </row>
    <row r="335" spans="1:28">
      <c r="A335">
        <f>MacReports!A335</f>
        <v>0</v>
      </c>
      <c r="B335">
        <f>MacReports!B335</f>
        <v>0</v>
      </c>
      <c r="C335">
        <f>MacReports!C335</f>
        <v>0</v>
      </c>
      <c r="E335" t="e">
        <f>_xlfn.XLOOKUP(G335,Models!A:A,Models!F:F)</f>
        <v>#N/A</v>
      </c>
      <c r="F335" t="str">
        <f>_xlfn.XLOOKUP(B335,MacReports!B:B,MacReports!D:D,"")</f>
        <v/>
      </c>
      <c r="G335" s="13">
        <f>MacReports!E335</f>
        <v>0</v>
      </c>
      <c r="H335" t="e">
        <f>_xlfn.XLOOKUP(G335,Models!A:A,Models!B:B)</f>
        <v>#N/A</v>
      </c>
      <c r="I335" t="e">
        <f>_xlfn.XLOOKUP(G335,Models!A:A,Models!E:E)</f>
        <v>#N/A</v>
      </c>
      <c r="J335" t="e">
        <f>_xlfn.XLOOKUP(G335,Models!A:A,Models!D:D)</f>
        <v>#N/A</v>
      </c>
      <c r="K335">
        <f>MacReports!F335</f>
        <v>0</v>
      </c>
      <c r="L335">
        <f>MacReports!G335</f>
        <v>0</v>
      </c>
      <c r="M335" s="15" t="e" cm="1">
        <f t="array" ref="M335">--_xlfn.LET(
    _xlpm.txt, MacReports!H335,
    _xlpm.chars, MID(_xlpm.txt, _xlfn.SEQUENCE(LEN(_xlpm.txt)), 1),
    _xlfn.TEXTJOIN("", TRUE, IF(ISNUMBER(--_xlpm.chars), _xlpm.chars, ""))
)</f>
        <v>#VALUE!</v>
      </c>
      <c r="N335" s="16" t="str" cm="1">
        <f t="array" ref="N335">_xlfn.IFS(
   --MacReports!M335&lt;55,"Battery Defect",
  -- MacReports!M335&lt;=69,"Battery D",
  --MacReports!M335&lt;=80,"Battery C",
 --MacReports!M335&gt;80,""
)</f>
        <v>Battery Defect</v>
      </c>
      <c r="O335" s="16" t="str">
        <f>IF(MacReports!I335="Service","Battery Service","")</f>
        <v/>
      </c>
      <c r="P335" s="13">
        <f>MacReports!P335</f>
        <v>0</v>
      </c>
      <c r="Q335" s="13" t="str">
        <f>IF(MacReports!J335="Enabled","Apple ID Lock","")</f>
        <v/>
      </c>
      <c r="R335" s="13" t="str">
        <f>IF(MacReports!L335="y","Remote Locked","")</f>
        <v/>
      </c>
      <c r="S335" t="str">
        <f t="shared" si="11"/>
        <v>Battery Defect, 0</v>
      </c>
      <c r="T335" t="str">
        <f>_xlfn.XLOOKUP(B335,Disk_Pivot!G:G,Disk_Pivot!I:I)</f>
        <v>Yes</v>
      </c>
      <c r="U335" t="str">
        <f>_xlfn.XLOOKUP(B335,Disk_Pivot!G:G,Disk_Pivot!N:N)</f>
        <v>Fail</v>
      </c>
      <c r="V335">
        <f>IF(U335="Fail",MacReports!N335,"")</f>
        <v>0</v>
      </c>
      <c r="AB335" t="str">
        <f t="shared" si="12"/>
        <v/>
      </c>
    </row>
    <row r="336" spans="1:28">
      <c r="A336">
        <f>MacReports!A336</f>
        <v>0</v>
      </c>
      <c r="B336">
        <f>MacReports!B336</f>
        <v>0</v>
      </c>
      <c r="C336">
        <f>MacReports!C336</f>
        <v>0</v>
      </c>
      <c r="E336" t="e">
        <f>_xlfn.XLOOKUP(G336,Models!A:A,Models!F:F)</f>
        <v>#N/A</v>
      </c>
      <c r="F336" t="str">
        <f>_xlfn.XLOOKUP(B336,MacReports!B:B,MacReports!D:D,"")</f>
        <v/>
      </c>
      <c r="G336" s="13">
        <f>MacReports!E336</f>
        <v>0</v>
      </c>
      <c r="H336" t="e">
        <f>_xlfn.XLOOKUP(G336,Models!A:A,Models!B:B)</f>
        <v>#N/A</v>
      </c>
      <c r="I336" t="e">
        <f>_xlfn.XLOOKUP(G336,Models!A:A,Models!E:E)</f>
        <v>#N/A</v>
      </c>
      <c r="J336" t="e">
        <f>_xlfn.XLOOKUP(G336,Models!A:A,Models!D:D)</f>
        <v>#N/A</v>
      </c>
      <c r="K336">
        <f>MacReports!F336</f>
        <v>0</v>
      </c>
      <c r="L336">
        <f>MacReports!G336</f>
        <v>0</v>
      </c>
      <c r="M336" s="15" t="e" cm="1">
        <f t="array" ref="M336">--_xlfn.LET(
    _xlpm.txt, MacReports!H336,
    _xlpm.chars, MID(_xlpm.txt, _xlfn.SEQUENCE(LEN(_xlpm.txt)), 1),
    _xlfn.TEXTJOIN("", TRUE, IF(ISNUMBER(--_xlpm.chars), _xlpm.chars, ""))
)</f>
        <v>#VALUE!</v>
      </c>
      <c r="N336" s="16" t="str" cm="1">
        <f t="array" ref="N336">_xlfn.IFS(
   --MacReports!M336&lt;55,"Battery Defect",
  -- MacReports!M336&lt;=69,"Battery D",
  --MacReports!M336&lt;=80,"Battery C",
 --MacReports!M336&gt;80,""
)</f>
        <v>Battery Defect</v>
      </c>
      <c r="O336" s="16" t="str">
        <f>IF(MacReports!I336="Service","Battery Service","")</f>
        <v/>
      </c>
      <c r="P336" s="13">
        <f>MacReports!P336</f>
        <v>0</v>
      </c>
      <c r="Q336" s="13" t="str">
        <f>IF(MacReports!J336="Enabled","Apple ID Lock","")</f>
        <v/>
      </c>
      <c r="R336" s="13" t="str">
        <f>IF(MacReports!L336="y","Remote Locked","")</f>
        <v/>
      </c>
      <c r="S336" t="str">
        <f t="shared" si="11"/>
        <v>Battery Defect, 0</v>
      </c>
      <c r="T336" t="str">
        <f>_xlfn.XLOOKUP(B336,Disk_Pivot!G:G,Disk_Pivot!I:I)</f>
        <v>Yes</v>
      </c>
      <c r="U336" t="str">
        <f>_xlfn.XLOOKUP(B336,Disk_Pivot!G:G,Disk_Pivot!N:N)</f>
        <v>Fail</v>
      </c>
      <c r="V336">
        <f>IF(U336="Fail",MacReports!N336,"")</f>
        <v>0</v>
      </c>
      <c r="AB336" t="str">
        <f t="shared" si="12"/>
        <v/>
      </c>
    </row>
    <row r="337" spans="1:28">
      <c r="A337">
        <f>MacReports!A337</f>
        <v>0</v>
      </c>
      <c r="B337">
        <f>MacReports!B337</f>
        <v>0</v>
      </c>
      <c r="C337">
        <f>MacReports!C337</f>
        <v>0</v>
      </c>
      <c r="E337" t="e">
        <f>_xlfn.XLOOKUP(G337,Models!A:A,Models!F:F)</f>
        <v>#N/A</v>
      </c>
      <c r="F337" t="str">
        <f>_xlfn.XLOOKUP(B337,MacReports!B:B,MacReports!D:D,"")</f>
        <v/>
      </c>
      <c r="G337" s="13">
        <f>MacReports!E337</f>
        <v>0</v>
      </c>
      <c r="H337" t="e">
        <f>_xlfn.XLOOKUP(G337,Models!A:A,Models!B:B)</f>
        <v>#N/A</v>
      </c>
      <c r="I337" t="e">
        <f>_xlfn.XLOOKUP(G337,Models!A:A,Models!E:E)</f>
        <v>#N/A</v>
      </c>
      <c r="J337" t="e">
        <f>_xlfn.XLOOKUP(G337,Models!A:A,Models!D:D)</f>
        <v>#N/A</v>
      </c>
      <c r="K337">
        <f>MacReports!F337</f>
        <v>0</v>
      </c>
      <c r="L337">
        <f>MacReports!G337</f>
        <v>0</v>
      </c>
      <c r="M337" s="15" t="e" cm="1">
        <f t="array" ref="M337">--_xlfn.LET(
    _xlpm.txt, MacReports!H337,
    _xlpm.chars, MID(_xlpm.txt, _xlfn.SEQUENCE(LEN(_xlpm.txt)), 1),
    _xlfn.TEXTJOIN("", TRUE, IF(ISNUMBER(--_xlpm.chars), _xlpm.chars, ""))
)</f>
        <v>#VALUE!</v>
      </c>
      <c r="N337" s="16" t="str" cm="1">
        <f t="array" ref="N337">_xlfn.IFS(
   --MacReports!M337&lt;55,"Battery Defect",
  -- MacReports!M337&lt;=69,"Battery D",
  --MacReports!M337&lt;=80,"Battery C",
 --MacReports!M337&gt;80,""
)</f>
        <v>Battery Defect</v>
      </c>
      <c r="O337" s="16" t="str">
        <f>IF(MacReports!I337="Service","Battery Service","")</f>
        <v/>
      </c>
      <c r="P337" s="13">
        <f>MacReports!P337</f>
        <v>0</v>
      </c>
      <c r="Q337" s="13" t="str">
        <f>IF(MacReports!J337="Enabled","Apple ID Lock","")</f>
        <v/>
      </c>
      <c r="R337" s="13" t="str">
        <f>IF(MacReports!L337="y","Remote Locked","")</f>
        <v/>
      </c>
      <c r="S337" t="str">
        <f t="shared" si="11"/>
        <v>Battery Defect, 0</v>
      </c>
      <c r="T337" t="str">
        <f>_xlfn.XLOOKUP(B337,Disk_Pivot!G:G,Disk_Pivot!I:I)</f>
        <v>Yes</v>
      </c>
      <c r="U337" t="str">
        <f>_xlfn.XLOOKUP(B337,Disk_Pivot!G:G,Disk_Pivot!N:N)</f>
        <v>Fail</v>
      </c>
      <c r="V337">
        <f>IF(U337="Fail",MacReports!N337,"")</f>
        <v>0</v>
      </c>
      <c r="AB337" t="str">
        <f t="shared" si="12"/>
        <v/>
      </c>
    </row>
    <row r="338" spans="1:28">
      <c r="A338">
        <f>MacReports!A338</f>
        <v>0</v>
      </c>
      <c r="B338">
        <f>MacReports!B338</f>
        <v>0</v>
      </c>
      <c r="C338">
        <f>MacReports!C338</f>
        <v>0</v>
      </c>
      <c r="E338" t="e">
        <f>_xlfn.XLOOKUP(G338,Models!A:A,Models!F:F)</f>
        <v>#N/A</v>
      </c>
      <c r="F338" t="str">
        <f>_xlfn.XLOOKUP(B338,MacReports!B:B,MacReports!D:D,"")</f>
        <v/>
      </c>
      <c r="G338" s="13">
        <f>MacReports!E338</f>
        <v>0</v>
      </c>
      <c r="H338" t="e">
        <f>_xlfn.XLOOKUP(G338,Models!A:A,Models!B:B)</f>
        <v>#N/A</v>
      </c>
      <c r="I338" t="e">
        <f>_xlfn.XLOOKUP(G338,Models!A:A,Models!E:E)</f>
        <v>#N/A</v>
      </c>
      <c r="J338" t="e">
        <f>_xlfn.XLOOKUP(G338,Models!A:A,Models!D:D)</f>
        <v>#N/A</v>
      </c>
      <c r="K338">
        <f>MacReports!F338</f>
        <v>0</v>
      </c>
      <c r="L338">
        <f>MacReports!G338</f>
        <v>0</v>
      </c>
      <c r="M338" s="15" t="e" cm="1">
        <f t="array" ref="M338">--_xlfn.LET(
    _xlpm.txt, MacReports!H338,
    _xlpm.chars, MID(_xlpm.txt, _xlfn.SEQUENCE(LEN(_xlpm.txt)), 1),
    _xlfn.TEXTJOIN("", TRUE, IF(ISNUMBER(--_xlpm.chars), _xlpm.chars, ""))
)</f>
        <v>#VALUE!</v>
      </c>
      <c r="N338" s="16" t="str" cm="1">
        <f t="array" ref="N338">_xlfn.IFS(
   --MacReports!M338&lt;55,"Battery Defect",
  -- MacReports!M338&lt;=69,"Battery D",
  --MacReports!M338&lt;=80,"Battery C",
 --MacReports!M338&gt;80,""
)</f>
        <v>Battery Defect</v>
      </c>
      <c r="O338" s="16" t="str">
        <f>IF(MacReports!I338="Service","Battery Service","")</f>
        <v/>
      </c>
      <c r="P338" s="13">
        <f>MacReports!P338</f>
        <v>0</v>
      </c>
      <c r="Q338" s="13" t="str">
        <f>IF(MacReports!J338="Enabled","Apple ID Lock","")</f>
        <v/>
      </c>
      <c r="R338" s="13" t="str">
        <f>IF(MacReports!L338="y","Remote Locked","")</f>
        <v/>
      </c>
      <c r="S338" t="str">
        <f t="shared" si="11"/>
        <v>Battery Defect, 0</v>
      </c>
      <c r="T338" t="str">
        <f>_xlfn.XLOOKUP(B338,Disk_Pivot!G:G,Disk_Pivot!I:I)</f>
        <v>Yes</v>
      </c>
      <c r="U338" t="str">
        <f>_xlfn.XLOOKUP(B338,Disk_Pivot!G:G,Disk_Pivot!N:N)</f>
        <v>Fail</v>
      </c>
      <c r="V338">
        <f>IF(U338="Fail",MacReports!N338,"")</f>
        <v>0</v>
      </c>
      <c r="AB338" t="str">
        <f t="shared" si="12"/>
        <v/>
      </c>
    </row>
    <row r="339" spans="1:28">
      <c r="A339">
        <f>MacReports!A339</f>
        <v>0</v>
      </c>
      <c r="B339">
        <f>MacReports!B339</f>
        <v>0</v>
      </c>
      <c r="C339">
        <f>MacReports!C339</f>
        <v>0</v>
      </c>
      <c r="E339" t="e">
        <f>_xlfn.XLOOKUP(G339,Models!A:A,Models!F:F)</f>
        <v>#N/A</v>
      </c>
      <c r="F339" t="str">
        <f>_xlfn.XLOOKUP(B339,MacReports!B:B,MacReports!D:D,"")</f>
        <v/>
      </c>
      <c r="G339" s="13">
        <f>MacReports!E339</f>
        <v>0</v>
      </c>
      <c r="H339" t="e">
        <f>_xlfn.XLOOKUP(G339,Models!A:A,Models!B:B)</f>
        <v>#N/A</v>
      </c>
      <c r="I339" t="e">
        <f>_xlfn.XLOOKUP(G339,Models!A:A,Models!E:E)</f>
        <v>#N/A</v>
      </c>
      <c r="J339" t="e">
        <f>_xlfn.XLOOKUP(G339,Models!A:A,Models!D:D)</f>
        <v>#N/A</v>
      </c>
      <c r="K339">
        <f>MacReports!F339</f>
        <v>0</v>
      </c>
      <c r="L339">
        <f>MacReports!G339</f>
        <v>0</v>
      </c>
      <c r="M339" s="15" t="e" cm="1">
        <f t="array" ref="M339">--_xlfn.LET(
    _xlpm.txt, MacReports!H339,
    _xlpm.chars, MID(_xlpm.txt, _xlfn.SEQUENCE(LEN(_xlpm.txt)), 1),
    _xlfn.TEXTJOIN("", TRUE, IF(ISNUMBER(--_xlpm.chars), _xlpm.chars, ""))
)</f>
        <v>#VALUE!</v>
      </c>
      <c r="N339" s="16" t="str" cm="1">
        <f t="array" ref="N339">_xlfn.IFS(
   --MacReports!M339&lt;55,"Battery Defect",
  -- MacReports!M339&lt;=69,"Battery D",
  --MacReports!M339&lt;=80,"Battery C",
 --MacReports!M339&gt;80,""
)</f>
        <v>Battery Defect</v>
      </c>
      <c r="O339" s="16" t="str">
        <f>IF(MacReports!I339="Service","Battery Service","")</f>
        <v/>
      </c>
      <c r="P339" s="13">
        <f>MacReports!P339</f>
        <v>0</v>
      </c>
      <c r="Q339" s="13" t="str">
        <f>IF(MacReports!J339="Enabled","Apple ID Lock","")</f>
        <v/>
      </c>
      <c r="R339" s="13" t="str">
        <f>IF(MacReports!L339="y","Remote Locked","")</f>
        <v/>
      </c>
      <c r="S339" t="str">
        <f t="shared" si="11"/>
        <v>Battery Defect, 0</v>
      </c>
      <c r="T339" t="str">
        <f>_xlfn.XLOOKUP(B339,Disk_Pivot!G:G,Disk_Pivot!I:I)</f>
        <v>Yes</v>
      </c>
      <c r="U339" t="str">
        <f>_xlfn.XLOOKUP(B339,Disk_Pivot!G:G,Disk_Pivot!N:N)</f>
        <v>Fail</v>
      </c>
      <c r="V339">
        <f>IF(U339="Fail",MacReports!N339,"")</f>
        <v>0</v>
      </c>
      <c r="AB339" t="str">
        <f t="shared" si="12"/>
        <v/>
      </c>
    </row>
    <row r="340" spans="1:28">
      <c r="A340">
        <f>MacReports!A340</f>
        <v>0</v>
      </c>
      <c r="B340">
        <f>MacReports!B340</f>
        <v>0</v>
      </c>
      <c r="C340">
        <f>MacReports!C340</f>
        <v>0</v>
      </c>
      <c r="E340" t="e">
        <f>_xlfn.XLOOKUP(G340,Models!A:A,Models!F:F)</f>
        <v>#N/A</v>
      </c>
      <c r="F340" t="str">
        <f>_xlfn.XLOOKUP(B340,MacReports!B:B,MacReports!D:D,"")</f>
        <v/>
      </c>
      <c r="G340" s="13">
        <f>MacReports!E340</f>
        <v>0</v>
      </c>
      <c r="H340" t="e">
        <f>_xlfn.XLOOKUP(G340,Models!A:A,Models!B:B)</f>
        <v>#N/A</v>
      </c>
      <c r="I340" t="e">
        <f>_xlfn.XLOOKUP(G340,Models!A:A,Models!E:E)</f>
        <v>#N/A</v>
      </c>
      <c r="J340" t="e">
        <f>_xlfn.XLOOKUP(G340,Models!A:A,Models!D:D)</f>
        <v>#N/A</v>
      </c>
      <c r="K340">
        <f>MacReports!F340</f>
        <v>0</v>
      </c>
      <c r="L340">
        <f>MacReports!G340</f>
        <v>0</v>
      </c>
      <c r="M340" s="15" t="e" cm="1">
        <f t="array" ref="M340">--_xlfn.LET(
    _xlpm.txt, MacReports!H340,
    _xlpm.chars, MID(_xlpm.txt, _xlfn.SEQUENCE(LEN(_xlpm.txt)), 1),
    _xlfn.TEXTJOIN("", TRUE, IF(ISNUMBER(--_xlpm.chars), _xlpm.chars, ""))
)</f>
        <v>#VALUE!</v>
      </c>
      <c r="N340" s="16" t="str" cm="1">
        <f t="array" ref="N340">_xlfn.IFS(
   --MacReports!M340&lt;55,"Battery Defect",
  -- MacReports!M340&lt;=69,"Battery D",
  --MacReports!M340&lt;=80,"Battery C",
 --MacReports!M340&gt;80,""
)</f>
        <v>Battery Defect</v>
      </c>
      <c r="O340" s="16" t="str">
        <f>IF(MacReports!I340="Service","Battery Service","")</f>
        <v/>
      </c>
      <c r="P340" s="13">
        <f>MacReports!P340</f>
        <v>0</v>
      </c>
      <c r="Q340" s="13" t="str">
        <f>IF(MacReports!J340="Enabled","Apple ID Lock","")</f>
        <v/>
      </c>
      <c r="R340" s="13" t="str">
        <f>IF(MacReports!L340="y","Remote Locked","")</f>
        <v/>
      </c>
      <c r="S340" t="str">
        <f t="shared" si="11"/>
        <v>Battery Defect, 0</v>
      </c>
      <c r="T340" t="str">
        <f>_xlfn.XLOOKUP(B340,Disk_Pivot!G:G,Disk_Pivot!I:I)</f>
        <v>Yes</v>
      </c>
      <c r="U340" t="str">
        <f>_xlfn.XLOOKUP(B340,Disk_Pivot!G:G,Disk_Pivot!N:N)</f>
        <v>Fail</v>
      </c>
      <c r="V340">
        <f>IF(U340="Fail",MacReports!N340,"")</f>
        <v>0</v>
      </c>
      <c r="AB340" t="str">
        <f t="shared" si="12"/>
        <v/>
      </c>
    </row>
    <row r="341" spans="1:28">
      <c r="A341">
        <f>MacReports!A341</f>
        <v>0</v>
      </c>
      <c r="B341">
        <f>MacReports!B341</f>
        <v>0</v>
      </c>
      <c r="C341">
        <f>MacReports!C341</f>
        <v>0</v>
      </c>
      <c r="E341" t="e">
        <f>_xlfn.XLOOKUP(G341,Models!A:A,Models!F:F)</f>
        <v>#N/A</v>
      </c>
      <c r="F341" t="str">
        <f>_xlfn.XLOOKUP(B341,MacReports!B:B,MacReports!D:D,"")</f>
        <v/>
      </c>
      <c r="G341" s="13">
        <f>MacReports!E341</f>
        <v>0</v>
      </c>
      <c r="H341" t="e">
        <f>_xlfn.XLOOKUP(G341,Models!A:A,Models!B:B)</f>
        <v>#N/A</v>
      </c>
      <c r="I341" t="e">
        <f>_xlfn.XLOOKUP(G341,Models!A:A,Models!E:E)</f>
        <v>#N/A</v>
      </c>
      <c r="J341" t="e">
        <f>_xlfn.XLOOKUP(G341,Models!A:A,Models!D:D)</f>
        <v>#N/A</v>
      </c>
      <c r="K341">
        <f>MacReports!F341</f>
        <v>0</v>
      </c>
      <c r="L341">
        <f>MacReports!G341</f>
        <v>0</v>
      </c>
      <c r="M341" s="15" t="e" cm="1">
        <f t="array" ref="M341">--_xlfn.LET(
    _xlpm.txt, MacReports!H341,
    _xlpm.chars, MID(_xlpm.txt, _xlfn.SEQUENCE(LEN(_xlpm.txt)), 1),
    _xlfn.TEXTJOIN("", TRUE, IF(ISNUMBER(--_xlpm.chars), _xlpm.chars, ""))
)</f>
        <v>#VALUE!</v>
      </c>
      <c r="N341" s="16" t="str" cm="1">
        <f t="array" ref="N341">_xlfn.IFS(
   --MacReports!M341&lt;55,"Battery Defect",
  -- MacReports!M341&lt;=69,"Battery D",
  --MacReports!M341&lt;=80,"Battery C",
 --MacReports!M341&gt;80,""
)</f>
        <v>Battery Defect</v>
      </c>
      <c r="O341" s="16" t="str">
        <f>IF(MacReports!I341="Service","Battery Service","")</f>
        <v/>
      </c>
      <c r="P341" s="13">
        <f>MacReports!P341</f>
        <v>0</v>
      </c>
      <c r="Q341" s="13" t="str">
        <f>IF(MacReports!J341="Enabled","Apple ID Lock","")</f>
        <v/>
      </c>
      <c r="R341" s="13" t="str">
        <f>IF(MacReports!L341="y","Remote Locked","")</f>
        <v/>
      </c>
      <c r="S341" t="str">
        <f t="shared" si="11"/>
        <v>Battery Defect, 0</v>
      </c>
      <c r="T341" t="str">
        <f>_xlfn.XLOOKUP(B341,Disk_Pivot!G:G,Disk_Pivot!I:I)</f>
        <v>Yes</v>
      </c>
      <c r="U341" t="str">
        <f>_xlfn.XLOOKUP(B341,Disk_Pivot!G:G,Disk_Pivot!N:N)</f>
        <v>Fail</v>
      </c>
      <c r="V341">
        <f>IF(U341="Fail",MacReports!N341,"")</f>
        <v>0</v>
      </c>
      <c r="AB341" t="str">
        <f t="shared" si="12"/>
        <v/>
      </c>
    </row>
    <row r="342" spans="1:28">
      <c r="A342">
        <f>MacReports!A342</f>
        <v>0</v>
      </c>
      <c r="B342">
        <f>MacReports!B342</f>
        <v>0</v>
      </c>
      <c r="C342">
        <f>MacReports!C342</f>
        <v>0</v>
      </c>
      <c r="E342" t="e">
        <f>_xlfn.XLOOKUP(G342,Models!A:A,Models!F:F)</f>
        <v>#N/A</v>
      </c>
      <c r="F342" t="str">
        <f>_xlfn.XLOOKUP(B342,MacReports!B:B,MacReports!D:D,"")</f>
        <v/>
      </c>
      <c r="G342" s="13">
        <f>MacReports!E342</f>
        <v>0</v>
      </c>
      <c r="H342" t="e">
        <f>_xlfn.XLOOKUP(G342,Models!A:A,Models!B:B)</f>
        <v>#N/A</v>
      </c>
      <c r="I342" t="e">
        <f>_xlfn.XLOOKUP(G342,Models!A:A,Models!E:E)</f>
        <v>#N/A</v>
      </c>
      <c r="J342" t="e">
        <f>_xlfn.XLOOKUP(G342,Models!A:A,Models!D:D)</f>
        <v>#N/A</v>
      </c>
      <c r="K342">
        <f>MacReports!F342</f>
        <v>0</v>
      </c>
      <c r="L342">
        <f>MacReports!G342</f>
        <v>0</v>
      </c>
      <c r="M342" s="15" t="e" cm="1">
        <f t="array" ref="M342">--_xlfn.LET(
    _xlpm.txt, MacReports!H342,
    _xlpm.chars, MID(_xlpm.txt, _xlfn.SEQUENCE(LEN(_xlpm.txt)), 1),
    _xlfn.TEXTJOIN("", TRUE, IF(ISNUMBER(--_xlpm.chars), _xlpm.chars, ""))
)</f>
        <v>#VALUE!</v>
      </c>
      <c r="N342" s="16" t="str" cm="1">
        <f t="array" ref="N342">_xlfn.IFS(
   --MacReports!M342&lt;55,"Battery Defect",
  -- MacReports!M342&lt;=69,"Battery D",
  --MacReports!M342&lt;=80,"Battery C",
 --MacReports!M342&gt;80,""
)</f>
        <v>Battery Defect</v>
      </c>
      <c r="O342" s="16" t="str">
        <f>IF(MacReports!I342="Service","Battery Service","")</f>
        <v/>
      </c>
      <c r="P342" s="13">
        <f>MacReports!P342</f>
        <v>0</v>
      </c>
      <c r="Q342" s="13" t="str">
        <f>IF(MacReports!J342="Enabled","Apple ID Lock","")</f>
        <v/>
      </c>
      <c r="R342" s="13" t="str">
        <f>IF(MacReports!L342="y","Remote Locked","")</f>
        <v/>
      </c>
      <c r="S342" t="str">
        <f t="shared" si="11"/>
        <v>Battery Defect, 0</v>
      </c>
      <c r="T342" t="str">
        <f>_xlfn.XLOOKUP(B342,Disk_Pivot!G:G,Disk_Pivot!I:I)</f>
        <v>Yes</v>
      </c>
      <c r="U342" t="str">
        <f>_xlfn.XLOOKUP(B342,Disk_Pivot!G:G,Disk_Pivot!N:N)</f>
        <v>Fail</v>
      </c>
      <c r="V342">
        <f>IF(U342="Fail",MacReports!N342,"")</f>
        <v>0</v>
      </c>
      <c r="AB342" t="str">
        <f t="shared" si="12"/>
        <v/>
      </c>
    </row>
    <row r="343" spans="1:28">
      <c r="A343">
        <f>MacReports!A343</f>
        <v>0</v>
      </c>
      <c r="B343">
        <f>MacReports!B343</f>
        <v>0</v>
      </c>
      <c r="C343">
        <f>MacReports!C343</f>
        <v>0</v>
      </c>
      <c r="E343" t="e">
        <f>_xlfn.XLOOKUP(G343,Models!A:A,Models!F:F)</f>
        <v>#N/A</v>
      </c>
      <c r="F343" t="str">
        <f>_xlfn.XLOOKUP(B343,MacReports!B:B,MacReports!D:D,"")</f>
        <v/>
      </c>
      <c r="G343" s="13">
        <f>MacReports!E343</f>
        <v>0</v>
      </c>
      <c r="H343" t="e">
        <f>_xlfn.XLOOKUP(G343,Models!A:A,Models!B:B)</f>
        <v>#N/A</v>
      </c>
      <c r="I343" t="e">
        <f>_xlfn.XLOOKUP(G343,Models!A:A,Models!E:E)</f>
        <v>#N/A</v>
      </c>
      <c r="J343" t="e">
        <f>_xlfn.XLOOKUP(G343,Models!A:A,Models!D:D)</f>
        <v>#N/A</v>
      </c>
      <c r="K343">
        <f>MacReports!F343</f>
        <v>0</v>
      </c>
      <c r="L343">
        <f>MacReports!G343</f>
        <v>0</v>
      </c>
      <c r="M343" s="15" t="e" cm="1">
        <f t="array" ref="M343">--_xlfn.LET(
    _xlpm.txt, MacReports!H343,
    _xlpm.chars, MID(_xlpm.txt, _xlfn.SEQUENCE(LEN(_xlpm.txt)), 1),
    _xlfn.TEXTJOIN("", TRUE, IF(ISNUMBER(--_xlpm.chars), _xlpm.chars, ""))
)</f>
        <v>#VALUE!</v>
      </c>
      <c r="N343" s="16" t="str" cm="1">
        <f t="array" ref="N343">_xlfn.IFS(
   --MacReports!M343&lt;55,"Battery Defect",
  -- MacReports!M343&lt;=69,"Battery D",
  --MacReports!M343&lt;=80,"Battery C",
 --MacReports!M343&gt;80,""
)</f>
        <v>Battery Defect</v>
      </c>
      <c r="O343" s="16" t="str">
        <f>IF(MacReports!I343="Service","Battery Service","")</f>
        <v/>
      </c>
      <c r="P343" s="13">
        <f>MacReports!P343</f>
        <v>0</v>
      </c>
      <c r="Q343" s="13" t="str">
        <f>IF(MacReports!J343="Enabled","Apple ID Lock","")</f>
        <v/>
      </c>
      <c r="R343" s="13" t="str">
        <f>IF(MacReports!L343="y","Remote Locked","")</f>
        <v/>
      </c>
      <c r="S343" t="str">
        <f t="shared" si="11"/>
        <v>Battery Defect, 0</v>
      </c>
      <c r="T343" t="str">
        <f>_xlfn.XLOOKUP(B343,Disk_Pivot!G:G,Disk_Pivot!I:I)</f>
        <v>Yes</v>
      </c>
      <c r="U343" t="str">
        <f>_xlfn.XLOOKUP(B343,Disk_Pivot!G:G,Disk_Pivot!N:N)</f>
        <v>Fail</v>
      </c>
      <c r="V343">
        <f>IF(U343="Fail",MacReports!N343,"")</f>
        <v>0</v>
      </c>
      <c r="AB343" t="str">
        <f t="shared" si="12"/>
        <v/>
      </c>
    </row>
    <row r="344" spans="1:28">
      <c r="A344">
        <f>MacReports!A344</f>
        <v>0</v>
      </c>
      <c r="B344">
        <f>MacReports!B344</f>
        <v>0</v>
      </c>
      <c r="C344">
        <f>MacReports!C344</f>
        <v>0</v>
      </c>
      <c r="E344" t="e">
        <f>_xlfn.XLOOKUP(G344,Models!A:A,Models!F:F)</f>
        <v>#N/A</v>
      </c>
      <c r="F344" t="str">
        <f>_xlfn.XLOOKUP(B344,MacReports!B:B,MacReports!D:D,"")</f>
        <v/>
      </c>
      <c r="G344" s="13">
        <f>MacReports!E344</f>
        <v>0</v>
      </c>
      <c r="H344" t="e">
        <f>_xlfn.XLOOKUP(G344,Models!A:A,Models!B:B)</f>
        <v>#N/A</v>
      </c>
      <c r="I344" t="e">
        <f>_xlfn.XLOOKUP(G344,Models!A:A,Models!E:E)</f>
        <v>#N/A</v>
      </c>
      <c r="J344" t="e">
        <f>_xlfn.XLOOKUP(G344,Models!A:A,Models!D:D)</f>
        <v>#N/A</v>
      </c>
      <c r="K344">
        <f>MacReports!F344</f>
        <v>0</v>
      </c>
      <c r="L344">
        <f>MacReports!G344</f>
        <v>0</v>
      </c>
      <c r="M344" s="15" t="e" cm="1">
        <f t="array" ref="M344">--_xlfn.LET(
    _xlpm.txt, MacReports!H344,
    _xlpm.chars, MID(_xlpm.txt, _xlfn.SEQUENCE(LEN(_xlpm.txt)), 1),
    _xlfn.TEXTJOIN("", TRUE, IF(ISNUMBER(--_xlpm.chars), _xlpm.chars, ""))
)</f>
        <v>#VALUE!</v>
      </c>
      <c r="N344" s="16" t="str" cm="1">
        <f t="array" ref="N344">_xlfn.IFS(
   --MacReports!M344&lt;55,"Battery Defect",
  -- MacReports!M344&lt;=69,"Battery D",
  --MacReports!M344&lt;=80,"Battery C",
 --MacReports!M344&gt;80,""
)</f>
        <v>Battery Defect</v>
      </c>
      <c r="O344" s="16" t="str">
        <f>IF(MacReports!I344="Service","Battery Service","")</f>
        <v/>
      </c>
      <c r="P344" s="13">
        <f>MacReports!P344</f>
        <v>0</v>
      </c>
      <c r="Q344" s="13" t="str">
        <f>IF(MacReports!J344="Enabled","Apple ID Lock","")</f>
        <v/>
      </c>
      <c r="R344" s="13" t="str">
        <f>IF(MacReports!L344="y","Remote Locked","")</f>
        <v/>
      </c>
      <c r="S344" t="str">
        <f t="shared" si="11"/>
        <v>Battery Defect, 0</v>
      </c>
      <c r="T344" t="str">
        <f>_xlfn.XLOOKUP(B344,Disk_Pivot!G:G,Disk_Pivot!I:I)</f>
        <v>Yes</v>
      </c>
      <c r="U344" t="str">
        <f>_xlfn.XLOOKUP(B344,Disk_Pivot!G:G,Disk_Pivot!N:N)</f>
        <v>Fail</v>
      </c>
      <c r="V344">
        <f>IF(U344="Fail",MacReports!N344,"")</f>
        <v>0</v>
      </c>
      <c r="AB344" t="str">
        <f t="shared" si="12"/>
        <v/>
      </c>
    </row>
    <row r="345" spans="1:28">
      <c r="A345">
        <f>MacReports!A345</f>
        <v>0</v>
      </c>
      <c r="B345">
        <f>MacReports!B345</f>
        <v>0</v>
      </c>
      <c r="C345">
        <f>MacReports!C345</f>
        <v>0</v>
      </c>
      <c r="E345" t="e">
        <f>_xlfn.XLOOKUP(G345,Models!A:A,Models!F:F)</f>
        <v>#N/A</v>
      </c>
      <c r="F345" t="str">
        <f>_xlfn.XLOOKUP(B345,MacReports!B:B,MacReports!D:D,"")</f>
        <v/>
      </c>
      <c r="G345" s="13">
        <f>MacReports!E345</f>
        <v>0</v>
      </c>
      <c r="H345" t="e">
        <f>_xlfn.XLOOKUP(G345,Models!A:A,Models!B:B)</f>
        <v>#N/A</v>
      </c>
      <c r="I345" t="e">
        <f>_xlfn.XLOOKUP(G345,Models!A:A,Models!E:E)</f>
        <v>#N/A</v>
      </c>
      <c r="J345" t="e">
        <f>_xlfn.XLOOKUP(G345,Models!A:A,Models!D:D)</f>
        <v>#N/A</v>
      </c>
      <c r="K345">
        <f>MacReports!F345</f>
        <v>0</v>
      </c>
      <c r="L345">
        <f>MacReports!G345</f>
        <v>0</v>
      </c>
      <c r="M345" s="15" t="e" cm="1">
        <f t="array" ref="M345">--_xlfn.LET(
    _xlpm.txt, MacReports!H345,
    _xlpm.chars, MID(_xlpm.txt, _xlfn.SEQUENCE(LEN(_xlpm.txt)), 1),
    _xlfn.TEXTJOIN("", TRUE, IF(ISNUMBER(--_xlpm.chars), _xlpm.chars, ""))
)</f>
        <v>#VALUE!</v>
      </c>
      <c r="N345" s="16" t="str" cm="1">
        <f t="array" ref="N345">_xlfn.IFS(
   --MacReports!M345&lt;55,"Battery Defect",
  -- MacReports!M345&lt;=69,"Battery D",
  --MacReports!M345&lt;=80,"Battery C",
 --MacReports!M345&gt;80,""
)</f>
        <v>Battery Defect</v>
      </c>
      <c r="O345" s="16" t="str">
        <f>IF(MacReports!I345="Service","Battery Service","")</f>
        <v/>
      </c>
      <c r="P345" s="13">
        <f>MacReports!P345</f>
        <v>0</v>
      </c>
      <c r="Q345" s="13" t="str">
        <f>IF(MacReports!J345="Enabled","Apple ID Lock","")</f>
        <v/>
      </c>
      <c r="R345" s="13" t="str">
        <f>IF(MacReports!L345="y","Remote Locked","")</f>
        <v/>
      </c>
      <c r="S345" t="str">
        <f t="shared" si="11"/>
        <v>Battery Defect, 0</v>
      </c>
      <c r="T345" t="str">
        <f>_xlfn.XLOOKUP(B345,Disk_Pivot!G:G,Disk_Pivot!I:I)</f>
        <v>Yes</v>
      </c>
      <c r="U345" t="str">
        <f>_xlfn.XLOOKUP(B345,Disk_Pivot!G:G,Disk_Pivot!N:N)</f>
        <v>Fail</v>
      </c>
      <c r="V345">
        <f>IF(U345="Fail",MacReports!N345,"")</f>
        <v>0</v>
      </c>
      <c r="AB345" t="str">
        <f t="shared" si="12"/>
        <v/>
      </c>
    </row>
    <row r="346" spans="1:28">
      <c r="A346">
        <f>MacReports!A346</f>
        <v>0</v>
      </c>
      <c r="B346">
        <f>MacReports!B346</f>
        <v>0</v>
      </c>
      <c r="C346">
        <f>MacReports!C346</f>
        <v>0</v>
      </c>
      <c r="E346" t="e">
        <f>_xlfn.XLOOKUP(G346,Models!A:A,Models!F:F)</f>
        <v>#N/A</v>
      </c>
      <c r="F346" t="str">
        <f>_xlfn.XLOOKUP(B346,MacReports!B:B,MacReports!D:D,"")</f>
        <v/>
      </c>
      <c r="G346" s="13">
        <f>MacReports!E346</f>
        <v>0</v>
      </c>
      <c r="H346" t="e">
        <f>_xlfn.XLOOKUP(G346,Models!A:A,Models!B:B)</f>
        <v>#N/A</v>
      </c>
      <c r="I346" t="e">
        <f>_xlfn.XLOOKUP(G346,Models!A:A,Models!E:E)</f>
        <v>#N/A</v>
      </c>
      <c r="J346" t="e">
        <f>_xlfn.XLOOKUP(G346,Models!A:A,Models!D:D)</f>
        <v>#N/A</v>
      </c>
      <c r="K346">
        <f>MacReports!F346</f>
        <v>0</v>
      </c>
      <c r="L346">
        <f>MacReports!G346</f>
        <v>0</v>
      </c>
      <c r="M346" s="15" t="e" cm="1">
        <f t="array" ref="M346">--_xlfn.LET(
    _xlpm.txt, MacReports!H346,
    _xlpm.chars, MID(_xlpm.txt, _xlfn.SEQUENCE(LEN(_xlpm.txt)), 1),
    _xlfn.TEXTJOIN("", TRUE, IF(ISNUMBER(--_xlpm.chars), _xlpm.chars, ""))
)</f>
        <v>#VALUE!</v>
      </c>
      <c r="N346" s="16" t="str" cm="1">
        <f t="array" ref="N346">_xlfn.IFS(
   --MacReports!M346&lt;55,"Battery Defect",
  -- MacReports!M346&lt;=69,"Battery D",
  --MacReports!M346&lt;=80,"Battery C",
 --MacReports!M346&gt;80,""
)</f>
        <v>Battery Defect</v>
      </c>
      <c r="O346" s="16" t="str">
        <f>IF(MacReports!I346="Service","Battery Service","")</f>
        <v/>
      </c>
      <c r="P346" s="13">
        <f>MacReports!P346</f>
        <v>0</v>
      </c>
      <c r="Q346" s="13" t="str">
        <f>IF(MacReports!J346="Enabled","Apple ID Lock","")</f>
        <v/>
      </c>
      <c r="R346" s="13" t="str">
        <f>IF(MacReports!L346="y","Remote Locked","")</f>
        <v/>
      </c>
      <c r="S346" t="str">
        <f t="shared" si="11"/>
        <v>Battery Defect, 0</v>
      </c>
      <c r="T346" t="str">
        <f>_xlfn.XLOOKUP(B346,Disk_Pivot!G:G,Disk_Pivot!I:I)</f>
        <v>Yes</v>
      </c>
      <c r="U346" t="str">
        <f>_xlfn.XLOOKUP(B346,Disk_Pivot!G:G,Disk_Pivot!N:N)</f>
        <v>Fail</v>
      </c>
      <c r="V346">
        <f>IF(U346="Fail",MacReports!N346,"")</f>
        <v>0</v>
      </c>
      <c r="AB346" t="str">
        <f t="shared" si="12"/>
        <v/>
      </c>
    </row>
    <row r="347" spans="1:28">
      <c r="A347">
        <f>MacReports!A347</f>
        <v>0</v>
      </c>
      <c r="B347">
        <f>MacReports!B347</f>
        <v>0</v>
      </c>
      <c r="C347">
        <f>MacReports!C347</f>
        <v>0</v>
      </c>
      <c r="E347" t="e">
        <f>_xlfn.XLOOKUP(G347,Models!A:A,Models!F:F)</f>
        <v>#N/A</v>
      </c>
      <c r="F347" t="str">
        <f>_xlfn.XLOOKUP(B347,MacReports!B:B,MacReports!D:D,"")</f>
        <v/>
      </c>
      <c r="G347" s="13">
        <f>MacReports!E347</f>
        <v>0</v>
      </c>
      <c r="H347" t="e">
        <f>_xlfn.XLOOKUP(G347,Models!A:A,Models!B:B)</f>
        <v>#N/A</v>
      </c>
      <c r="I347" t="e">
        <f>_xlfn.XLOOKUP(G347,Models!A:A,Models!E:E)</f>
        <v>#N/A</v>
      </c>
      <c r="J347" t="e">
        <f>_xlfn.XLOOKUP(G347,Models!A:A,Models!D:D)</f>
        <v>#N/A</v>
      </c>
      <c r="K347">
        <f>MacReports!F347</f>
        <v>0</v>
      </c>
      <c r="L347">
        <f>MacReports!G347</f>
        <v>0</v>
      </c>
      <c r="M347" s="15" t="e" cm="1">
        <f t="array" ref="M347">--_xlfn.LET(
    _xlpm.txt, MacReports!H347,
    _xlpm.chars, MID(_xlpm.txt, _xlfn.SEQUENCE(LEN(_xlpm.txt)), 1),
    _xlfn.TEXTJOIN("", TRUE, IF(ISNUMBER(--_xlpm.chars), _xlpm.chars, ""))
)</f>
        <v>#VALUE!</v>
      </c>
      <c r="N347" s="16" t="str" cm="1">
        <f t="array" ref="N347">_xlfn.IFS(
   --MacReports!M347&lt;55,"Battery Defect",
  -- MacReports!M347&lt;=69,"Battery D",
  --MacReports!M347&lt;=80,"Battery C",
 --MacReports!M347&gt;80,""
)</f>
        <v>Battery Defect</v>
      </c>
      <c r="O347" s="16" t="str">
        <f>IF(MacReports!I347="Service","Battery Service","")</f>
        <v/>
      </c>
      <c r="P347" s="13">
        <f>MacReports!P347</f>
        <v>0</v>
      </c>
      <c r="Q347" s="13" t="str">
        <f>IF(MacReports!J347="Enabled","Apple ID Lock","")</f>
        <v/>
      </c>
      <c r="R347" s="13" t="str">
        <f>IF(MacReports!L347="y","Remote Locked","")</f>
        <v/>
      </c>
      <c r="S347" t="str">
        <f t="shared" si="11"/>
        <v>Battery Defect, 0</v>
      </c>
      <c r="T347" t="str">
        <f>_xlfn.XLOOKUP(B347,Disk_Pivot!G:G,Disk_Pivot!I:I)</f>
        <v>Yes</v>
      </c>
      <c r="U347" t="str">
        <f>_xlfn.XLOOKUP(B347,Disk_Pivot!G:G,Disk_Pivot!N:N)</f>
        <v>Fail</v>
      </c>
      <c r="V347">
        <f>IF(U347="Fail",MacReports!N347,"")</f>
        <v>0</v>
      </c>
      <c r="AB347" t="str">
        <f t="shared" si="12"/>
        <v/>
      </c>
    </row>
    <row r="348" spans="1:28">
      <c r="A348">
        <f>MacReports!A348</f>
        <v>0</v>
      </c>
      <c r="B348">
        <f>MacReports!B348</f>
        <v>0</v>
      </c>
      <c r="C348">
        <f>MacReports!C348</f>
        <v>0</v>
      </c>
      <c r="E348" t="e">
        <f>_xlfn.XLOOKUP(G348,Models!A:A,Models!F:F)</f>
        <v>#N/A</v>
      </c>
      <c r="F348" t="str">
        <f>_xlfn.XLOOKUP(B348,MacReports!B:B,MacReports!D:D,"")</f>
        <v/>
      </c>
      <c r="G348" s="13">
        <f>MacReports!E348</f>
        <v>0</v>
      </c>
      <c r="H348" t="e">
        <f>_xlfn.XLOOKUP(G348,Models!A:A,Models!B:B)</f>
        <v>#N/A</v>
      </c>
      <c r="I348" t="e">
        <f>_xlfn.XLOOKUP(G348,Models!A:A,Models!E:E)</f>
        <v>#N/A</v>
      </c>
      <c r="J348" t="e">
        <f>_xlfn.XLOOKUP(G348,Models!A:A,Models!D:D)</f>
        <v>#N/A</v>
      </c>
      <c r="K348">
        <f>MacReports!F348</f>
        <v>0</v>
      </c>
      <c r="L348">
        <f>MacReports!G348</f>
        <v>0</v>
      </c>
      <c r="M348" s="15" t="e" cm="1">
        <f t="array" ref="M348">--_xlfn.LET(
    _xlpm.txt, MacReports!H348,
    _xlpm.chars, MID(_xlpm.txt, _xlfn.SEQUENCE(LEN(_xlpm.txt)), 1),
    _xlfn.TEXTJOIN("", TRUE, IF(ISNUMBER(--_xlpm.chars), _xlpm.chars, ""))
)</f>
        <v>#VALUE!</v>
      </c>
      <c r="N348" s="16" t="str" cm="1">
        <f t="array" ref="N348">_xlfn.IFS(
   --MacReports!M348&lt;55,"Battery Defect",
  -- MacReports!M348&lt;=69,"Battery D",
  --MacReports!M348&lt;=80,"Battery C",
 --MacReports!M348&gt;80,""
)</f>
        <v>Battery Defect</v>
      </c>
      <c r="O348" s="16" t="str">
        <f>IF(MacReports!I348="Service","Battery Service","")</f>
        <v/>
      </c>
      <c r="P348" s="13">
        <f>MacReports!P348</f>
        <v>0</v>
      </c>
      <c r="Q348" s="13" t="str">
        <f>IF(MacReports!J348="Enabled","Apple ID Lock","")</f>
        <v/>
      </c>
      <c r="R348" s="13" t="str">
        <f>IF(MacReports!L348="y","Remote Locked","")</f>
        <v/>
      </c>
      <c r="S348" t="str">
        <f t="shared" si="11"/>
        <v>Battery Defect, 0</v>
      </c>
      <c r="T348" t="str">
        <f>_xlfn.XLOOKUP(B348,Disk_Pivot!G:G,Disk_Pivot!I:I)</f>
        <v>Yes</v>
      </c>
      <c r="U348" t="str">
        <f>_xlfn.XLOOKUP(B348,Disk_Pivot!G:G,Disk_Pivot!N:N)</f>
        <v>Fail</v>
      </c>
      <c r="V348">
        <f>IF(U348="Fail",MacReports!N348,"")</f>
        <v>0</v>
      </c>
      <c r="AB348" t="str">
        <f t="shared" si="12"/>
        <v/>
      </c>
    </row>
    <row r="349" spans="1:28">
      <c r="A349">
        <f>MacReports!A349</f>
        <v>0</v>
      </c>
      <c r="B349">
        <f>MacReports!B349</f>
        <v>0</v>
      </c>
      <c r="C349">
        <f>MacReports!C349</f>
        <v>0</v>
      </c>
      <c r="E349" t="e">
        <f>_xlfn.XLOOKUP(G349,Models!A:A,Models!F:F)</f>
        <v>#N/A</v>
      </c>
      <c r="F349" t="str">
        <f>_xlfn.XLOOKUP(B349,MacReports!B:B,MacReports!D:D,"")</f>
        <v/>
      </c>
      <c r="G349" s="13">
        <f>MacReports!E349</f>
        <v>0</v>
      </c>
      <c r="H349" t="e">
        <f>_xlfn.XLOOKUP(G349,Models!A:A,Models!B:B)</f>
        <v>#N/A</v>
      </c>
      <c r="I349" t="e">
        <f>_xlfn.XLOOKUP(G349,Models!A:A,Models!E:E)</f>
        <v>#N/A</v>
      </c>
      <c r="J349" t="e">
        <f>_xlfn.XLOOKUP(G349,Models!A:A,Models!D:D)</f>
        <v>#N/A</v>
      </c>
      <c r="K349">
        <f>MacReports!F349</f>
        <v>0</v>
      </c>
      <c r="L349">
        <f>MacReports!G349</f>
        <v>0</v>
      </c>
      <c r="M349" s="15" t="e" cm="1">
        <f t="array" ref="M349">--_xlfn.LET(
    _xlpm.txt, MacReports!H349,
    _xlpm.chars, MID(_xlpm.txt, _xlfn.SEQUENCE(LEN(_xlpm.txt)), 1),
    _xlfn.TEXTJOIN("", TRUE, IF(ISNUMBER(--_xlpm.chars), _xlpm.chars, ""))
)</f>
        <v>#VALUE!</v>
      </c>
      <c r="N349" s="16" t="str" cm="1">
        <f t="array" ref="N349">_xlfn.IFS(
   --MacReports!M349&lt;55,"Battery Defect",
  -- MacReports!M349&lt;=69,"Battery D",
  --MacReports!M349&lt;=80,"Battery C",
 --MacReports!M349&gt;80,""
)</f>
        <v>Battery Defect</v>
      </c>
      <c r="O349" s="16" t="str">
        <f>IF(MacReports!I349="Service","Battery Service","")</f>
        <v/>
      </c>
      <c r="P349" s="13">
        <f>MacReports!P349</f>
        <v>0</v>
      </c>
      <c r="Q349" s="13" t="str">
        <f>IF(MacReports!J349="Enabled","Apple ID Lock","")</f>
        <v/>
      </c>
      <c r="R349" s="13" t="str">
        <f>IF(MacReports!L349="y","Remote Locked","")</f>
        <v/>
      </c>
      <c r="S349" t="str">
        <f t="shared" si="11"/>
        <v>Battery Defect, 0</v>
      </c>
      <c r="T349" t="str">
        <f>_xlfn.XLOOKUP(B349,Disk_Pivot!G:G,Disk_Pivot!I:I)</f>
        <v>Yes</v>
      </c>
      <c r="U349" t="str">
        <f>_xlfn.XLOOKUP(B349,Disk_Pivot!G:G,Disk_Pivot!N:N)</f>
        <v>Fail</v>
      </c>
      <c r="V349">
        <f>IF(U349="Fail",MacReports!N349,"")</f>
        <v>0</v>
      </c>
      <c r="AB349" t="str">
        <f t="shared" si="12"/>
        <v/>
      </c>
    </row>
    <row r="350" spans="1:28">
      <c r="A350">
        <f>MacReports!A350</f>
        <v>0</v>
      </c>
      <c r="B350">
        <f>MacReports!B350</f>
        <v>0</v>
      </c>
      <c r="C350">
        <f>MacReports!C350</f>
        <v>0</v>
      </c>
      <c r="E350" t="e">
        <f>_xlfn.XLOOKUP(G350,Models!A:A,Models!F:F)</f>
        <v>#N/A</v>
      </c>
      <c r="F350" t="str">
        <f>_xlfn.XLOOKUP(B350,MacReports!B:B,MacReports!D:D,"")</f>
        <v/>
      </c>
      <c r="G350" s="13">
        <f>MacReports!E350</f>
        <v>0</v>
      </c>
      <c r="H350" t="e">
        <f>_xlfn.XLOOKUP(G350,Models!A:A,Models!B:B)</f>
        <v>#N/A</v>
      </c>
      <c r="I350" t="e">
        <f>_xlfn.XLOOKUP(G350,Models!A:A,Models!E:E)</f>
        <v>#N/A</v>
      </c>
      <c r="J350" t="e">
        <f>_xlfn.XLOOKUP(G350,Models!A:A,Models!D:D)</f>
        <v>#N/A</v>
      </c>
      <c r="K350">
        <f>MacReports!F350</f>
        <v>0</v>
      </c>
      <c r="L350">
        <f>MacReports!G350</f>
        <v>0</v>
      </c>
      <c r="M350" s="15" t="e" cm="1">
        <f t="array" ref="M350">--_xlfn.LET(
    _xlpm.txt, MacReports!H350,
    _xlpm.chars, MID(_xlpm.txt, _xlfn.SEQUENCE(LEN(_xlpm.txt)), 1),
    _xlfn.TEXTJOIN("", TRUE, IF(ISNUMBER(--_xlpm.chars), _xlpm.chars, ""))
)</f>
        <v>#VALUE!</v>
      </c>
      <c r="N350" s="16" t="str" cm="1">
        <f t="array" ref="N350">_xlfn.IFS(
   --MacReports!M350&lt;55,"Battery Defect",
  -- MacReports!M350&lt;=69,"Battery D",
  --MacReports!M350&lt;=80,"Battery C",
 --MacReports!M350&gt;80,""
)</f>
        <v>Battery Defect</v>
      </c>
      <c r="O350" s="16" t="str">
        <f>IF(MacReports!I350="Service","Battery Service","")</f>
        <v/>
      </c>
      <c r="P350" s="13">
        <f>MacReports!P350</f>
        <v>0</v>
      </c>
      <c r="Q350" s="13" t="str">
        <f>IF(MacReports!J350="Enabled","Apple ID Lock","")</f>
        <v/>
      </c>
      <c r="R350" s="13" t="str">
        <f>IF(MacReports!L350="y","Remote Locked","")</f>
        <v/>
      </c>
      <c r="S350" t="str">
        <f t="shared" si="11"/>
        <v>Battery Defect, 0</v>
      </c>
      <c r="T350" t="str">
        <f>_xlfn.XLOOKUP(B350,Disk_Pivot!G:G,Disk_Pivot!I:I)</f>
        <v>Yes</v>
      </c>
      <c r="U350" t="str">
        <f>_xlfn.XLOOKUP(B350,Disk_Pivot!G:G,Disk_Pivot!N:N)</f>
        <v>Fail</v>
      </c>
      <c r="V350">
        <f>IF(U350="Fail",MacReports!N350,"")</f>
        <v>0</v>
      </c>
      <c r="AB350" t="str">
        <f t="shared" si="12"/>
        <v/>
      </c>
    </row>
    <row r="351" spans="1:28">
      <c r="A351">
        <f>MacReports!A351</f>
        <v>0</v>
      </c>
      <c r="B351">
        <f>MacReports!B351</f>
        <v>0</v>
      </c>
      <c r="C351">
        <f>MacReports!C351</f>
        <v>0</v>
      </c>
      <c r="E351" t="e">
        <f>_xlfn.XLOOKUP(G351,Models!A:A,Models!F:F)</f>
        <v>#N/A</v>
      </c>
      <c r="F351" t="str">
        <f>_xlfn.XLOOKUP(B351,MacReports!B:B,MacReports!D:D,"")</f>
        <v/>
      </c>
      <c r="G351" s="13">
        <f>MacReports!E351</f>
        <v>0</v>
      </c>
      <c r="H351" t="e">
        <f>_xlfn.XLOOKUP(G351,Models!A:A,Models!B:B)</f>
        <v>#N/A</v>
      </c>
      <c r="I351" t="e">
        <f>_xlfn.XLOOKUP(G351,Models!A:A,Models!E:E)</f>
        <v>#N/A</v>
      </c>
      <c r="J351" t="e">
        <f>_xlfn.XLOOKUP(G351,Models!A:A,Models!D:D)</f>
        <v>#N/A</v>
      </c>
      <c r="K351">
        <f>MacReports!F351</f>
        <v>0</v>
      </c>
      <c r="L351">
        <f>MacReports!G351</f>
        <v>0</v>
      </c>
      <c r="M351" s="15" t="e" cm="1">
        <f t="array" ref="M351">--_xlfn.LET(
    _xlpm.txt, MacReports!H351,
    _xlpm.chars, MID(_xlpm.txt, _xlfn.SEQUENCE(LEN(_xlpm.txt)), 1),
    _xlfn.TEXTJOIN("", TRUE, IF(ISNUMBER(--_xlpm.chars), _xlpm.chars, ""))
)</f>
        <v>#VALUE!</v>
      </c>
      <c r="N351" s="16" t="str" cm="1">
        <f t="array" ref="N351">_xlfn.IFS(
   --MacReports!M351&lt;55,"Battery Defect",
  -- MacReports!M351&lt;=69,"Battery D",
  --MacReports!M351&lt;=80,"Battery C",
 --MacReports!M351&gt;80,""
)</f>
        <v>Battery Defect</v>
      </c>
      <c r="O351" s="16" t="str">
        <f>IF(MacReports!I351="Service","Battery Service","")</f>
        <v/>
      </c>
      <c r="P351" s="13">
        <f>MacReports!P351</f>
        <v>0</v>
      </c>
      <c r="Q351" s="13" t="str">
        <f>IF(MacReports!J351="Enabled","Apple ID Lock","")</f>
        <v/>
      </c>
      <c r="R351" s="13" t="str">
        <f>IF(MacReports!L351="y","Remote Locked","")</f>
        <v/>
      </c>
      <c r="S351" t="str">
        <f t="shared" si="11"/>
        <v>Battery Defect, 0</v>
      </c>
      <c r="T351" t="str">
        <f>_xlfn.XLOOKUP(B351,Disk_Pivot!G:G,Disk_Pivot!I:I)</f>
        <v>Yes</v>
      </c>
      <c r="U351" t="str">
        <f>_xlfn.XLOOKUP(B351,Disk_Pivot!G:G,Disk_Pivot!N:N)</f>
        <v>Fail</v>
      </c>
      <c r="V351">
        <f>IF(U351="Fail",MacReports!N351,"")</f>
        <v>0</v>
      </c>
      <c r="AB351" t="str">
        <f t="shared" si="12"/>
        <v/>
      </c>
    </row>
    <row r="352" spans="1:28">
      <c r="A352">
        <f>MacReports!A352</f>
        <v>0</v>
      </c>
      <c r="B352">
        <f>MacReports!B352</f>
        <v>0</v>
      </c>
      <c r="C352">
        <f>MacReports!C352</f>
        <v>0</v>
      </c>
      <c r="E352" t="e">
        <f>_xlfn.XLOOKUP(G352,Models!A:A,Models!F:F)</f>
        <v>#N/A</v>
      </c>
      <c r="F352" t="str">
        <f>_xlfn.XLOOKUP(B352,MacReports!B:B,MacReports!D:D,"")</f>
        <v/>
      </c>
      <c r="G352" s="13">
        <f>MacReports!E352</f>
        <v>0</v>
      </c>
      <c r="H352" t="e">
        <f>_xlfn.XLOOKUP(G352,Models!A:A,Models!B:B)</f>
        <v>#N/A</v>
      </c>
      <c r="I352" t="e">
        <f>_xlfn.XLOOKUP(G352,Models!A:A,Models!E:E)</f>
        <v>#N/A</v>
      </c>
      <c r="J352" t="e">
        <f>_xlfn.XLOOKUP(G352,Models!A:A,Models!D:D)</f>
        <v>#N/A</v>
      </c>
      <c r="K352">
        <f>MacReports!F352</f>
        <v>0</v>
      </c>
      <c r="L352">
        <f>MacReports!G352</f>
        <v>0</v>
      </c>
      <c r="M352" s="15" t="e" cm="1">
        <f t="array" ref="M352">--_xlfn.LET(
    _xlpm.txt, MacReports!H352,
    _xlpm.chars, MID(_xlpm.txt, _xlfn.SEQUENCE(LEN(_xlpm.txt)), 1),
    _xlfn.TEXTJOIN("", TRUE, IF(ISNUMBER(--_xlpm.chars), _xlpm.chars, ""))
)</f>
        <v>#VALUE!</v>
      </c>
      <c r="N352" s="16" t="str" cm="1">
        <f t="array" ref="N352">_xlfn.IFS(
   --MacReports!M352&lt;55,"Battery Defect",
  -- MacReports!M352&lt;=69,"Battery D",
  --MacReports!M352&lt;=80,"Battery C",
 --MacReports!M352&gt;80,""
)</f>
        <v>Battery Defect</v>
      </c>
      <c r="O352" s="16" t="str">
        <f>IF(MacReports!I352="Service","Battery Service","")</f>
        <v/>
      </c>
      <c r="P352" s="13">
        <f>MacReports!P352</f>
        <v>0</v>
      </c>
      <c r="Q352" s="13" t="str">
        <f>IF(MacReports!J352="Enabled","Apple ID Lock","")</f>
        <v/>
      </c>
      <c r="R352" s="13" t="str">
        <f>IF(MacReports!L352="y","Remote Locked","")</f>
        <v/>
      </c>
      <c r="S352" t="str">
        <f t="shared" si="11"/>
        <v>Battery Defect, 0</v>
      </c>
      <c r="T352" t="str">
        <f>_xlfn.XLOOKUP(B352,Disk_Pivot!G:G,Disk_Pivot!I:I)</f>
        <v>Yes</v>
      </c>
      <c r="U352" t="str">
        <f>_xlfn.XLOOKUP(B352,Disk_Pivot!G:G,Disk_Pivot!N:N)</f>
        <v>Fail</v>
      </c>
      <c r="V352">
        <f>IF(U352="Fail",MacReports!N352,"")</f>
        <v>0</v>
      </c>
      <c r="AB352" t="str">
        <f t="shared" si="12"/>
        <v/>
      </c>
    </row>
    <row r="353" spans="1:28">
      <c r="A353">
        <f>MacReports!A353</f>
        <v>0</v>
      </c>
      <c r="B353">
        <f>MacReports!B353</f>
        <v>0</v>
      </c>
      <c r="C353">
        <f>MacReports!C353</f>
        <v>0</v>
      </c>
      <c r="E353" t="e">
        <f>_xlfn.XLOOKUP(G353,Models!A:A,Models!F:F)</f>
        <v>#N/A</v>
      </c>
      <c r="F353" t="str">
        <f>_xlfn.XLOOKUP(B353,MacReports!B:B,MacReports!D:D,"")</f>
        <v/>
      </c>
      <c r="G353" s="13">
        <f>MacReports!E353</f>
        <v>0</v>
      </c>
      <c r="H353" t="e">
        <f>_xlfn.XLOOKUP(G353,Models!A:A,Models!B:B)</f>
        <v>#N/A</v>
      </c>
      <c r="I353" t="e">
        <f>_xlfn.XLOOKUP(G353,Models!A:A,Models!E:E)</f>
        <v>#N/A</v>
      </c>
      <c r="J353" t="e">
        <f>_xlfn.XLOOKUP(G353,Models!A:A,Models!D:D)</f>
        <v>#N/A</v>
      </c>
      <c r="K353">
        <f>MacReports!F353</f>
        <v>0</v>
      </c>
      <c r="L353">
        <f>MacReports!G353</f>
        <v>0</v>
      </c>
      <c r="M353" s="15" t="e" cm="1">
        <f t="array" ref="M353">--_xlfn.LET(
    _xlpm.txt, MacReports!H353,
    _xlpm.chars, MID(_xlpm.txt, _xlfn.SEQUENCE(LEN(_xlpm.txt)), 1),
    _xlfn.TEXTJOIN("", TRUE, IF(ISNUMBER(--_xlpm.chars), _xlpm.chars, ""))
)</f>
        <v>#VALUE!</v>
      </c>
      <c r="N353" s="16" t="str" cm="1">
        <f t="array" ref="N353">_xlfn.IFS(
   --MacReports!M353&lt;55,"Battery Defect",
  -- MacReports!M353&lt;=69,"Battery D",
  --MacReports!M353&lt;=80,"Battery C",
 --MacReports!M353&gt;80,""
)</f>
        <v>Battery Defect</v>
      </c>
      <c r="O353" s="16" t="str">
        <f>IF(MacReports!I353="Service","Battery Service","")</f>
        <v/>
      </c>
      <c r="P353" s="13">
        <f>MacReports!P353</f>
        <v>0</v>
      </c>
      <c r="Q353" s="13" t="str">
        <f>IF(MacReports!J353="Enabled","Apple ID Lock","")</f>
        <v/>
      </c>
      <c r="R353" s="13" t="str">
        <f>IF(MacReports!L353="y","Remote Locked","")</f>
        <v/>
      </c>
      <c r="S353" t="str">
        <f t="shared" si="11"/>
        <v>Battery Defect, 0</v>
      </c>
      <c r="T353" t="str">
        <f>_xlfn.XLOOKUP(B353,Disk_Pivot!G:G,Disk_Pivot!I:I)</f>
        <v>Yes</v>
      </c>
      <c r="U353" t="str">
        <f>_xlfn.XLOOKUP(B353,Disk_Pivot!G:G,Disk_Pivot!N:N)</f>
        <v>Fail</v>
      </c>
      <c r="V353">
        <f>IF(U353="Fail",MacReports!N353,"")</f>
        <v>0</v>
      </c>
      <c r="AB353" t="str">
        <f t="shared" si="12"/>
        <v/>
      </c>
    </row>
    <row r="354" spans="1:28">
      <c r="A354">
        <f>MacReports!A354</f>
        <v>0</v>
      </c>
      <c r="B354">
        <f>MacReports!B354</f>
        <v>0</v>
      </c>
      <c r="C354">
        <f>MacReports!C354</f>
        <v>0</v>
      </c>
      <c r="E354" t="e">
        <f>_xlfn.XLOOKUP(G354,Models!A:A,Models!F:F)</f>
        <v>#N/A</v>
      </c>
      <c r="F354" t="str">
        <f>_xlfn.XLOOKUP(B354,MacReports!B:B,MacReports!D:D,"")</f>
        <v/>
      </c>
      <c r="G354" s="13">
        <f>MacReports!E354</f>
        <v>0</v>
      </c>
      <c r="H354" t="e">
        <f>_xlfn.XLOOKUP(G354,Models!A:A,Models!B:B)</f>
        <v>#N/A</v>
      </c>
      <c r="I354" t="e">
        <f>_xlfn.XLOOKUP(G354,Models!A:A,Models!E:E)</f>
        <v>#N/A</v>
      </c>
      <c r="J354" t="e">
        <f>_xlfn.XLOOKUP(G354,Models!A:A,Models!D:D)</f>
        <v>#N/A</v>
      </c>
      <c r="K354">
        <f>MacReports!F354</f>
        <v>0</v>
      </c>
      <c r="L354">
        <f>MacReports!G354</f>
        <v>0</v>
      </c>
      <c r="M354" s="15" t="e" cm="1">
        <f t="array" ref="M354">--_xlfn.LET(
    _xlpm.txt, MacReports!H354,
    _xlpm.chars, MID(_xlpm.txt, _xlfn.SEQUENCE(LEN(_xlpm.txt)), 1),
    _xlfn.TEXTJOIN("", TRUE, IF(ISNUMBER(--_xlpm.chars), _xlpm.chars, ""))
)</f>
        <v>#VALUE!</v>
      </c>
      <c r="N354" s="16" t="str" cm="1">
        <f t="array" ref="N354">_xlfn.IFS(
   --MacReports!M354&lt;55,"Battery Defect",
  -- MacReports!M354&lt;=69,"Battery D",
  --MacReports!M354&lt;=80,"Battery C",
 --MacReports!M354&gt;80,""
)</f>
        <v>Battery Defect</v>
      </c>
      <c r="O354" s="16" t="str">
        <f>IF(MacReports!I354="Service","Battery Service","")</f>
        <v/>
      </c>
      <c r="P354" s="13">
        <f>MacReports!P354</f>
        <v>0</v>
      </c>
      <c r="Q354" s="13" t="str">
        <f>IF(MacReports!J354="Enabled","Apple ID Lock","")</f>
        <v/>
      </c>
      <c r="R354" s="13" t="str">
        <f>IF(MacReports!L354="y","Remote Locked","")</f>
        <v/>
      </c>
      <c r="S354" t="str">
        <f t="shared" si="11"/>
        <v>Battery Defect, 0</v>
      </c>
      <c r="T354" t="str">
        <f>_xlfn.XLOOKUP(B354,Disk_Pivot!G:G,Disk_Pivot!I:I)</f>
        <v>Yes</v>
      </c>
      <c r="U354" t="str">
        <f>_xlfn.XLOOKUP(B354,Disk_Pivot!G:G,Disk_Pivot!N:N)</f>
        <v>Fail</v>
      </c>
      <c r="V354">
        <f>IF(U354="Fail",MacReports!N354,"")</f>
        <v>0</v>
      </c>
      <c r="AB354" t="str">
        <f t="shared" si="12"/>
        <v/>
      </c>
    </row>
    <row r="355" spans="1:28">
      <c r="A355">
        <f>MacReports!A355</f>
        <v>0</v>
      </c>
      <c r="B355">
        <f>MacReports!B355</f>
        <v>0</v>
      </c>
      <c r="C355">
        <f>MacReports!C355</f>
        <v>0</v>
      </c>
      <c r="E355" t="e">
        <f>_xlfn.XLOOKUP(G355,Models!A:A,Models!F:F)</f>
        <v>#N/A</v>
      </c>
      <c r="F355" t="str">
        <f>_xlfn.XLOOKUP(B355,MacReports!B:B,MacReports!D:D,"")</f>
        <v/>
      </c>
      <c r="G355" s="13">
        <f>MacReports!E355</f>
        <v>0</v>
      </c>
      <c r="H355" t="e">
        <f>_xlfn.XLOOKUP(G355,Models!A:A,Models!B:B)</f>
        <v>#N/A</v>
      </c>
      <c r="I355" t="e">
        <f>_xlfn.XLOOKUP(G355,Models!A:A,Models!E:E)</f>
        <v>#N/A</v>
      </c>
      <c r="J355" t="e">
        <f>_xlfn.XLOOKUP(G355,Models!A:A,Models!D:D)</f>
        <v>#N/A</v>
      </c>
      <c r="K355">
        <f>MacReports!F355</f>
        <v>0</v>
      </c>
      <c r="L355">
        <f>MacReports!G355</f>
        <v>0</v>
      </c>
      <c r="M355" s="15" t="e" cm="1">
        <f t="array" ref="M355">--_xlfn.LET(
    _xlpm.txt, MacReports!H355,
    _xlpm.chars, MID(_xlpm.txt, _xlfn.SEQUENCE(LEN(_xlpm.txt)), 1),
    _xlfn.TEXTJOIN("", TRUE, IF(ISNUMBER(--_xlpm.chars), _xlpm.chars, ""))
)</f>
        <v>#VALUE!</v>
      </c>
      <c r="N355" s="16" t="str" cm="1">
        <f t="array" ref="N355">_xlfn.IFS(
   --MacReports!M355&lt;55,"Battery Defect",
  -- MacReports!M355&lt;=69,"Battery D",
  --MacReports!M355&lt;=80,"Battery C",
 --MacReports!M355&gt;80,""
)</f>
        <v>Battery Defect</v>
      </c>
      <c r="O355" s="16" t="str">
        <f>IF(MacReports!I355="Service","Battery Service","")</f>
        <v/>
      </c>
      <c r="P355" s="13">
        <f>MacReports!P355</f>
        <v>0</v>
      </c>
      <c r="Q355" s="13" t="str">
        <f>IF(MacReports!J355="Enabled","Apple ID Lock","")</f>
        <v/>
      </c>
      <c r="R355" s="13" t="str">
        <f>IF(MacReports!L355="y","Remote Locked","")</f>
        <v/>
      </c>
      <c r="S355" t="str">
        <f t="shared" ref="S355:S387" si="13">_xlfn.TEXTJOIN(", ",TRUE,Q355,R355,N355,O355,P355)</f>
        <v>Battery Defect, 0</v>
      </c>
      <c r="T355" t="str">
        <f>_xlfn.XLOOKUP(B355,Disk_Pivot!G:G,Disk_Pivot!I:I)</f>
        <v>Yes</v>
      </c>
      <c r="U355" t="str">
        <f>_xlfn.XLOOKUP(B355,Disk_Pivot!G:G,Disk_Pivot!N:N)</f>
        <v>Fail</v>
      </c>
      <c r="V355">
        <f>IF(U355="Fail",MacReports!N355,"")</f>
        <v>0</v>
      </c>
      <c r="AB355" t="str">
        <f t="shared" ref="AB355:AB387" si="14">_xlfn.TEXTJOIN(", ",TRUE,Q355,R355)</f>
        <v/>
      </c>
    </row>
    <row r="356" spans="1:28">
      <c r="A356">
        <f>MacReports!A356</f>
        <v>0</v>
      </c>
      <c r="B356">
        <f>MacReports!B356</f>
        <v>0</v>
      </c>
      <c r="C356">
        <f>MacReports!C356</f>
        <v>0</v>
      </c>
      <c r="E356" t="e">
        <f>_xlfn.XLOOKUP(G356,Models!A:A,Models!F:F)</f>
        <v>#N/A</v>
      </c>
      <c r="F356" t="str">
        <f>_xlfn.XLOOKUP(B356,MacReports!B:B,MacReports!D:D,"")</f>
        <v/>
      </c>
      <c r="G356" s="13">
        <f>MacReports!E356</f>
        <v>0</v>
      </c>
      <c r="H356" t="e">
        <f>_xlfn.XLOOKUP(G356,Models!A:A,Models!B:B)</f>
        <v>#N/A</v>
      </c>
      <c r="I356" t="e">
        <f>_xlfn.XLOOKUP(G356,Models!A:A,Models!E:E)</f>
        <v>#N/A</v>
      </c>
      <c r="J356" t="e">
        <f>_xlfn.XLOOKUP(G356,Models!A:A,Models!D:D)</f>
        <v>#N/A</v>
      </c>
      <c r="K356">
        <f>MacReports!F356</f>
        <v>0</v>
      </c>
      <c r="L356">
        <f>MacReports!G356</f>
        <v>0</v>
      </c>
      <c r="M356" s="15" t="e" cm="1">
        <f t="array" ref="M356">--_xlfn.LET(
    _xlpm.txt, MacReports!H356,
    _xlpm.chars, MID(_xlpm.txt, _xlfn.SEQUENCE(LEN(_xlpm.txt)), 1),
    _xlfn.TEXTJOIN("", TRUE, IF(ISNUMBER(--_xlpm.chars), _xlpm.chars, ""))
)</f>
        <v>#VALUE!</v>
      </c>
      <c r="N356" s="16" t="str" cm="1">
        <f t="array" ref="N356">_xlfn.IFS(
   --MacReports!M356&lt;55,"Battery Defect",
  -- MacReports!M356&lt;=69,"Battery D",
  --MacReports!M356&lt;=80,"Battery C",
 --MacReports!M356&gt;80,""
)</f>
        <v>Battery Defect</v>
      </c>
      <c r="O356" s="16" t="str">
        <f>IF(MacReports!I356="Service","Battery Service","")</f>
        <v/>
      </c>
      <c r="P356" s="13">
        <f>MacReports!P356</f>
        <v>0</v>
      </c>
      <c r="Q356" s="13" t="str">
        <f>IF(MacReports!J356="Enabled","Apple ID Lock","")</f>
        <v/>
      </c>
      <c r="R356" s="13" t="str">
        <f>IF(MacReports!L356="y","Remote Locked","")</f>
        <v/>
      </c>
      <c r="S356" t="str">
        <f t="shared" si="13"/>
        <v>Battery Defect, 0</v>
      </c>
      <c r="T356" t="str">
        <f>_xlfn.XLOOKUP(B356,Disk_Pivot!G:G,Disk_Pivot!I:I)</f>
        <v>Yes</v>
      </c>
      <c r="U356" t="str">
        <f>_xlfn.XLOOKUP(B356,Disk_Pivot!G:G,Disk_Pivot!N:N)</f>
        <v>Fail</v>
      </c>
      <c r="V356">
        <f>IF(U356="Fail",MacReports!N356,"")</f>
        <v>0</v>
      </c>
      <c r="AB356" t="str">
        <f t="shared" si="14"/>
        <v/>
      </c>
    </row>
    <row r="357" spans="1:28">
      <c r="A357">
        <f>MacReports!A357</f>
        <v>0</v>
      </c>
      <c r="B357">
        <f>MacReports!B357</f>
        <v>0</v>
      </c>
      <c r="C357">
        <f>MacReports!C357</f>
        <v>0</v>
      </c>
      <c r="E357" t="e">
        <f>_xlfn.XLOOKUP(G357,Models!A:A,Models!F:F)</f>
        <v>#N/A</v>
      </c>
      <c r="F357" t="str">
        <f>_xlfn.XLOOKUP(B357,MacReports!B:B,MacReports!D:D,"")</f>
        <v/>
      </c>
      <c r="G357" s="13">
        <f>MacReports!E357</f>
        <v>0</v>
      </c>
      <c r="H357" t="e">
        <f>_xlfn.XLOOKUP(G357,Models!A:A,Models!B:B)</f>
        <v>#N/A</v>
      </c>
      <c r="I357" t="e">
        <f>_xlfn.XLOOKUP(G357,Models!A:A,Models!E:E)</f>
        <v>#N/A</v>
      </c>
      <c r="J357" t="e">
        <f>_xlfn.XLOOKUP(G357,Models!A:A,Models!D:D)</f>
        <v>#N/A</v>
      </c>
      <c r="K357">
        <f>MacReports!F357</f>
        <v>0</v>
      </c>
      <c r="L357">
        <f>MacReports!G357</f>
        <v>0</v>
      </c>
      <c r="M357" s="15" t="e" cm="1">
        <f t="array" ref="M357">--_xlfn.LET(
    _xlpm.txt, MacReports!H357,
    _xlpm.chars, MID(_xlpm.txt, _xlfn.SEQUENCE(LEN(_xlpm.txt)), 1),
    _xlfn.TEXTJOIN("", TRUE, IF(ISNUMBER(--_xlpm.chars), _xlpm.chars, ""))
)</f>
        <v>#VALUE!</v>
      </c>
      <c r="N357" s="16" t="str" cm="1">
        <f t="array" ref="N357">_xlfn.IFS(
   --MacReports!M357&lt;55,"Battery Defect",
  -- MacReports!M357&lt;=69,"Battery D",
  --MacReports!M357&lt;=80,"Battery C",
 --MacReports!M357&gt;80,""
)</f>
        <v>Battery Defect</v>
      </c>
      <c r="O357" s="16" t="str">
        <f>IF(MacReports!I357="Service","Battery Service","")</f>
        <v/>
      </c>
      <c r="P357" s="13">
        <f>MacReports!P357</f>
        <v>0</v>
      </c>
      <c r="Q357" s="13" t="str">
        <f>IF(MacReports!J357="Enabled","Apple ID Lock","")</f>
        <v/>
      </c>
      <c r="R357" s="13" t="str">
        <f>IF(MacReports!L357="y","Remote Locked","")</f>
        <v/>
      </c>
      <c r="S357" t="str">
        <f t="shared" si="13"/>
        <v>Battery Defect, 0</v>
      </c>
      <c r="T357" t="str">
        <f>_xlfn.XLOOKUP(B357,Disk_Pivot!G:G,Disk_Pivot!I:I)</f>
        <v>Yes</v>
      </c>
      <c r="U357" t="str">
        <f>_xlfn.XLOOKUP(B357,Disk_Pivot!G:G,Disk_Pivot!N:N)</f>
        <v>Fail</v>
      </c>
      <c r="V357">
        <f>IF(U357="Fail",MacReports!N357,"")</f>
        <v>0</v>
      </c>
      <c r="AB357" t="str">
        <f t="shared" si="14"/>
        <v/>
      </c>
    </row>
    <row r="358" spans="1:28">
      <c r="A358">
        <f>MacReports!A358</f>
        <v>0</v>
      </c>
      <c r="B358">
        <f>MacReports!B358</f>
        <v>0</v>
      </c>
      <c r="C358">
        <f>MacReports!C358</f>
        <v>0</v>
      </c>
      <c r="E358" t="e">
        <f>_xlfn.XLOOKUP(G358,Models!A:A,Models!F:F)</f>
        <v>#N/A</v>
      </c>
      <c r="F358" t="str">
        <f>_xlfn.XLOOKUP(B358,MacReports!B:B,MacReports!D:D,"")</f>
        <v/>
      </c>
      <c r="G358" s="13">
        <f>MacReports!E358</f>
        <v>0</v>
      </c>
      <c r="H358" t="e">
        <f>_xlfn.XLOOKUP(G358,Models!A:A,Models!B:B)</f>
        <v>#N/A</v>
      </c>
      <c r="I358" t="e">
        <f>_xlfn.XLOOKUP(G358,Models!A:A,Models!E:E)</f>
        <v>#N/A</v>
      </c>
      <c r="J358" t="e">
        <f>_xlfn.XLOOKUP(G358,Models!A:A,Models!D:D)</f>
        <v>#N/A</v>
      </c>
      <c r="K358">
        <f>MacReports!F358</f>
        <v>0</v>
      </c>
      <c r="L358">
        <f>MacReports!G358</f>
        <v>0</v>
      </c>
      <c r="M358" s="15" t="e" cm="1">
        <f t="array" ref="M358">--_xlfn.LET(
    _xlpm.txt, MacReports!H358,
    _xlpm.chars, MID(_xlpm.txt, _xlfn.SEQUENCE(LEN(_xlpm.txt)), 1),
    _xlfn.TEXTJOIN("", TRUE, IF(ISNUMBER(--_xlpm.chars), _xlpm.chars, ""))
)</f>
        <v>#VALUE!</v>
      </c>
      <c r="N358" s="16" t="str" cm="1">
        <f t="array" ref="N358">_xlfn.IFS(
   --MacReports!M358&lt;55,"Battery Defect",
  -- MacReports!M358&lt;=69,"Battery D",
  --MacReports!M358&lt;=80,"Battery C",
 --MacReports!M358&gt;80,""
)</f>
        <v>Battery Defect</v>
      </c>
      <c r="O358" s="16" t="str">
        <f>IF(MacReports!I358="Service","Battery Service","")</f>
        <v/>
      </c>
      <c r="P358" s="13">
        <f>MacReports!P358</f>
        <v>0</v>
      </c>
      <c r="Q358" s="13" t="str">
        <f>IF(MacReports!J358="Enabled","Apple ID Lock","")</f>
        <v/>
      </c>
      <c r="R358" s="13" t="str">
        <f>IF(MacReports!L358="y","Remote Locked","")</f>
        <v/>
      </c>
      <c r="S358" t="str">
        <f t="shared" si="13"/>
        <v>Battery Defect, 0</v>
      </c>
      <c r="T358" t="str">
        <f>_xlfn.XLOOKUP(B358,Disk_Pivot!G:G,Disk_Pivot!I:I)</f>
        <v>Yes</v>
      </c>
      <c r="U358" t="str">
        <f>_xlfn.XLOOKUP(B358,Disk_Pivot!G:G,Disk_Pivot!N:N)</f>
        <v>Fail</v>
      </c>
      <c r="V358">
        <f>IF(U358="Fail",MacReports!N358,"")</f>
        <v>0</v>
      </c>
      <c r="AB358" t="str">
        <f t="shared" si="14"/>
        <v/>
      </c>
    </row>
    <row r="359" spans="1:28">
      <c r="A359">
        <f>MacReports!A359</f>
        <v>0</v>
      </c>
      <c r="B359">
        <f>MacReports!B359</f>
        <v>0</v>
      </c>
      <c r="C359">
        <f>MacReports!C359</f>
        <v>0</v>
      </c>
      <c r="E359" t="e">
        <f>_xlfn.XLOOKUP(G359,Models!A:A,Models!F:F)</f>
        <v>#N/A</v>
      </c>
      <c r="F359" t="str">
        <f>_xlfn.XLOOKUP(B359,MacReports!B:B,MacReports!D:D,"")</f>
        <v/>
      </c>
      <c r="G359" s="13">
        <f>MacReports!E359</f>
        <v>0</v>
      </c>
      <c r="H359" t="e">
        <f>_xlfn.XLOOKUP(G359,Models!A:A,Models!B:B)</f>
        <v>#N/A</v>
      </c>
      <c r="I359" t="e">
        <f>_xlfn.XLOOKUP(G359,Models!A:A,Models!E:E)</f>
        <v>#N/A</v>
      </c>
      <c r="J359" t="e">
        <f>_xlfn.XLOOKUP(G359,Models!A:A,Models!D:D)</f>
        <v>#N/A</v>
      </c>
      <c r="K359">
        <f>MacReports!F359</f>
        <v>0</v>
      </c>
      <c r="L359">
        <f>MacReports!G359</f>
        <v>0</v>
      </c>
      <c r="M359" s="15" t="e" cm="1">
        <f t="array" ref="M359">--_xlfn.LET(
    _xlpm.txt, MacReports!H359,
    _xlpm.chars, MID(_xlpm.txt, _xlfn.SEQUENCE(LEN(_xlpm.txt)), 1),
    _xlfn.TEXTJOIN("", TRUE, IF(ISNUMBER(--_xlpm.chars), _xlpm.chars, ""))
)</f>
        <v>#VALUE!</v>
      </c>
      <c r="N359" s="16" t="str" cm="1">
        <f t="array" ref="N359">_xlfn.IFS(
   --MacReports!M359&lt;55,"Battery Defect",
  -- MacReports!M359&lt;=69,"Battery D",
  --MacReports!M359&lt;=80,"Battery C",
 --MacReports!M359&gt;80,""
)</f>
        <v>Battery Defect</v>
      </c>
      <c r="O359" s="16" t="str">
        <f>IF(MacReports!I359="Service","Battery Service","")</f>
        <v/>
      </c>
      <c r="P359" s="13">
        <f>MacReports!P359</f>
        <v>0</v>
      </c>
      <c r="Q359" s="13" t="str">
        <f>IF(MacReports!J359="Enabled","Apple ID Lock","")</f>
        <v/>
      </c>
      <c r="R359" s="13" t="str">
        <f>IF(MacReports!L359="y","Remote Locked","")</f>
        <v/>
      </c>
      <c r="S359" t="str">
        <f t="shared" si="13"/>
        <v>Battery Defect, 0</v>
      </c>
      <c r="T359" t="str">
        <f>_xlfn.XLOOKUP(B359,Disk_Pivot!G:G,Disk_Pivot!I:I)</f>
        <v>Yes</v>
      </c>
      <c r="U359" t="str">
        <f>_xlfn.XLOOKUP(B359,Disk_Pivot!G:G,Disk_Pivot!N:N)</f>
        <v>Fail</v>
      </c>
      <c r="V359">
        <f>IF(U359="Fail",MacReports!N359,"")</f>
        <v>0</v>
      </c>
      <c r="AB359" t="str">
        <f t="shared" si="14"/>
        <v/>
      </c>
    </row>
    <row r="360" spans="1:28">
      <c r="A360">
        <f>MacReports!A360</f>
        <v>0</v>
      </c>
      <c r="B360">
        <f>MacReports!B360</f>
        <v>0</v>
      </c>
      <c r="C360">
        <f>MacReports!C360</f>
        <v>0</v>
      </c>
      <c r="E360" t="e">
        <f>_xlfn.XLOOKUP(G360,Models!A:A,Models!F:F)</f>
        <v>#N/A</v>
      </c>
      <c r="F360" t="str">
        <f>_xlfn.XLOOKUP(B360,MacReports!B:B,MacReports!D:D,"")</f>
        <v/>
      </c>
      <c r="G360" s="13">
        <f>MacReports!E360</f>
        <v>0</v>
      </c>
      <c r="H360" t="e">
        <f>_xlfn.XLOOKUP(G360,Models!A:A,Models!B:B)</f>
        <v>#N/A</v>
      </c>
      <c r="I360" t="e">
        <f>_xlfn.XLOOKUP(G360,Models!A:A,Models!E:E)</f>
        <v>#N/A</v>
      </c>
      <c r="J360" t="e">
        <f>_xlfn.XLOOKUP(G360,Models!A:A,Models!D:D)</f>
        <v>#N/A</v>
      </c>
      <c r="K360">
        <f>MacReports!F360</f>
        <v>0</v>
      </c>
      <c r="L360">
        <f>MacReports!G360</f>
        <v>0</v>
      </c>
      <c r="M360" s="15" t="e" cm="1">
        <f t="array" ref="M360">--_xlfn.LET(
    _xlpm.txt, MacReports!H360,
    _xlpm.chars, MID(_xlpm.txt, _xlfn.SEQUENCE(LEN(_xlpm.txt)), 1),
    _xlfn.TEXTJOIN("", TRUE, IF(ISNUMBER(--_xlpm.chars), _xlpm.chars, ""))
)</f>
        <v>#VALUE!</v>
      </c>
      <c r="N360" s="16" t="str" cm="1">
        <f t="array" ref="N360">_xlfn.IFS(
   --MacReports!M360&lt;55,"Battery Defect",
  -- MacReports!M360&lt;=69,"Battery D",
  --MacReports!M360&lt;=80,"Battery C",
 --MacReports!M360&gt;80,""
)</f>
        <v>Battery Defect</v>
      </c>
      <c r="O360" s="16" t="str">
        <f>IF(MacReports!I360="Service","Battery Service","")</f>
        <v/>
      </c>
      <c r="P360" s="13">
        <f>MacReports!P360</f>
        <v>0</v>
      </c>
      <c r="Q360" s="13" t="str">
        <f>IF(MacReports!J360="Enabled","Apple ID Lock","")</f>
        <v/>
      </c>
      <c r="R360" s="13" t="str">
        <f>IF(MacReports!L360="y","Remote Locked","")</f>
        <v/>
      </c>
      <c r="S360" t="str">
        <f t="shared" si="13"/>
        <v>Battery Defect, 0</v>
      </c>
      <c r="T360" t="str">
        <f>_xlfn.XLOOKUP(B360,Disk_Pivot!G:G,Disk_Pivot!I:I)</f>
        <v>Yes</v>
      </c>
      <c r="U360" t="str">
        <f>_xlfn.XLOOKUP(B360,Disk_Pivot!G:G,Disk_Pivot!N:N)</f>
        <v>Fail</v>
      </c>
      <c r="V360">
        <f>IF(U360="Fail",MacReports!N360,"")</f>
        <v>0</v>
      </c>
      <c r="AB360" t="str">
        <f t="shared" si="14"/>
        <v/>
      </c>
    </row>
    <row r="361" spans="1:28">
      <c r="A361">
        <f>MacReports!A361</f>
        <v>0</v>
      </c>
      <c r="B361">
        <f>MacReports!B361</f>
        <v>0</v>
      </c>
      <c r="C361">
        <f>MacReports!C361</f>
        <v>0</v>
      </c>
      <c r="E361" t="e">
        <f>_xlfn.XLOOKUP(G361,Models!A:A,Models!F:F)</f>
        <v>#N/A</v>
      </c>
      <c r="F361" t="str">
        <f>_xlfn.XLOOKUP(B361,MacReports!B:B,MacReports!D:D,"")</f>
        <v/>
      </c>
      <c r="G361" s="13">
        <f>MacReports!E361</f>
        <v>0</v>
      </c>
      <c r="H361" t="e">
        <f>_xlfn.XLOOKUP(G361,Models!A:A,Models!B:B)</f>
        <v>#N/A</v>
      </c>
      <c r="I361" t="e">
        <f>_xlfn.XLOOKUP(G361,Models!A:A,Models!E:E)</f>
        <v>#N/A</v>
      </c>
      <c r="J361" t="e">
        <f>_xlfn.XLOOKUP(G361,Models!A:A,Models!D:D)</f>
        <v>#N/A</v>
      </c>
      <c r="K361">
        <f>MacReports!F361</f>
        <v>0</v>
      </c>
      <c r="L361">
        <f>MacReports!G361</f>
        <v>0</v>
      </c>
      <c r="M361" s="15" t="e" cm="1">
        <f t="array" ref="M361">--_xlfn.LET(
    _xlpm.txt, MacReports!H361,
    _xlpm.chars, MID(_xlpm.txt, _xlfn.SEQUENCE(LEN(_xlpm.txt)), 1),
    _xlfn.TEXTJOIN("", TRUE, IF(ISNUMBER(--_xlpm.chars), _xlpm.chars, ""))
)</f>
        <v>#VALUE!</v>
      </c>
      <c r="N361" s="16" t="str" cm="1">
        <f t="array" ref="N361">_xlfn.IFS(
   --MacReports!M361&lt;55,"Battery Defect",
  -- MacReports!M361&lt;=69,"Battery D",
  --MacReports!M361&lt;=80,"Battery C",
 --MacReports!M361&gt;80,""
)</f>
        <v>Battery Defect</v>
      </c>
      <c r="O361" s="16" t="str">
        <f>IF(MacReports!I361="Service","Battery Service","")</f>
        <v/>
      </c>
      <c r="P361" s="13">
        <f>MacReports!P361</f>
        <v>0</v>
      </c>
      <c r="Q361" s="13" t="str">
        <f>IF(MacReports!J361="Enabled","Apple ID Lock","")</f>
        <v/>
      </c>
      <c r="R361" s="13" t="str">
        <f>IF(MacReports!L361="y","Remote Locked","")</f>
        <v/>
      </c>
      <c r="S361" t="str">
        <f t="shared" si="13"/>
        <v>Battery Defect, 0</v>
      </c>
      <c r="T361" t="str">
        <f>_xlfn.XLOOKUP(B361,Disk_Pivot!G:G,Disk_Pivot!I:I)</f>
        <v>Yes</v>
      </c>
      <c r="U361" t="str">
        <f>_xlfn.XLOOKUP(B361,Disk_Pivot!G:G,Disk_Pivot!N:N)</f>
        <v>Fail</v>
      </c>
      <c r="V361">
        <f>IF(U361="Fail",MacReports!N361,"")</f>
        <v>0</v>
      </c>
      <c r="AB361" t="str">
        <f t="shared" si="14"/>
        <v/>
      </c>
    </row>
    <row r="362" spans="1:28">
      <c r="A362">
        <f>MacReports!A362</f>
        <v>0</v>
      </c>
      <c r="B362">
        <f>MacReports!B362</f>
        <v>0</v>
      </c>
      <c r="C362">
        <f>MacReports!C362</f>
        <v>0</v>
      </c>
      <c r="E362" t="e">
        <f>_xlfn.XLOOKUP(G362,Models!A:A,Models!F:F)</f>
        <v>#N/A</v>
      </c>
      <c r="F362" t="str">
        <f>_xlfn.XLOOKUP(B362,MacReports!B:B,MacReports!D:D,"")</f>
        <v/>
      </c>
      <c r="G362" s="13">
        <f>MacReports!E362</f>
        <v>0</v>
      </c>
      <c r="H362" t="e">
        <f>_xlfn.XLOOKUP(G362,Models!A:A,Models!B:B)</f>
        <v>#N/A</v>
      </c>
      <c r="I362" t="e">
        <f>_xlfn.XLOOKUP(G362,Models!A:A,Models!E:E)</f>
        <v>#N/A</v>
      </c>
      <c r="J362" t="e">
        <f>_xlfn.XLOOKUP(G362,Models!A:A,Models!D:D)</f>
        <v>#N/A</v>
      </c>
      <c r="K362">
        <f>MacReports!F362</f>
        <v>0</v>
      </c>
      <c r="L362">
        <f>MacReports!G362</f>
        <v>0</v>
      </c>
      <c r="M362" s="15" t="e" cm="1">
        <f t="array" ref="M362">--_xlfn.LET(
    _xlpm.txt, MacReports!H362,
    _xlpm.chars, MID(_xlpm.txt, _xlfn.SEQUENCE(LEN(_xlpm.txt)), 1),
    _xlfn.TEXTJOIN("", TRUE, IF(ISNUMBER(--_xlpm.chars), _xlpm.chars, ""))
)</f>
        <v>#VALUE!</v>
      </c>
      <c r="N362" s="16" t="str" cm="1">
        <f t="array" ref="N362">_xlfn.IFS(
   --MacReports!M362&lt;55,"Battery Defect",
  -- MacReports!M362&lt;=69,"Battery D",
  --MacReports!M362&lt;=80,"Battery C",
 --MacReports!M362&gt;80,""
)</f>
        <v>Battery Defect</v>
      </c>
      <c r="O362" s="16" t="str">
        <f>IF(MacReports!I362="Service","Battery Service","")</f>
        <v/>
      </c>
      <c r="P362" s="13">
        <f>MacReports!P362</f>
        <v>0</v>
      </c>
      <c r="Q362" s="13" t="str">
        <f>IF(MacReports!J362="Enabled","Apple ID Lock","")</f>
        <v/>
      </c>
      <c r="R362" s="13" t="str">
        <f>IF(MacReports!L362="y","Remote Locked","")</f>
        <v/>
      </c>
      <c r="S362" t="str">
        <f t="shared" si="13"/>
        <v>Battery Defect, 0</v>
      </c>
      <c r="T362" t="str">
        <f>_xlfn.XLOOKUP(B362,Disk_Pivot!G:G,Disk_Pivot!I:I)</f>
        <v>Yes</v>
      </c>
      <c r="U362" t="str">
        <f>_xlfn.XLOOKUP(B362,Disk_Pivot!G:G,Disk_Pivot!N:N)</f>
        <v>Fail</v>
      </c>
      <c r="V362">
        <f>IF(U362="Fail",MacReports!N362,"")</f>
        <v>0</v>
      </c>
      <c r="AB362" t="str">
        <f t="shared" si="14"/>
        <v/>
      </c>
    </row>
    <row r="363" spans="1:28">
      <c r="A363">
        <f>MacReports!A363</f>
        <v>0</v>
      </c>
      <c r="B363">
        <f>MacReports!B363</f>
        <v>0</v>
      </c>
      <c r="C363">
        <f>MacReports!C363</f>
        <v>0</v>
      </c>
      <c r="E363" t="e">
        <f>_xlfn.XLOOKUP(G363,Models!A:A,Models!F:F)</f>
        <v>#N/A</v>
      </c>
      <c r="F363" t="str">
        <f>_xlfn.XLOOKUP(B363,MacReports!B:B,MacReports!D:D,"")</f>
        <v/>
      </c>
      <c r="G363" s="13">
        <f>MacReports!E363</f>
        <v>0</v>
      </c>
      <c r="H363" t="e">
        <f>_xlfn.XLOOKUP(G363,Models!A:A,Models!B:B)</f>
        <v>#N/A</v>
      </c>
      <c r="I363" t="e">
        <f>_xlfn.XLOOKUP(G363,Models!A:A,Models!E:E)</f>
        <v>#N/A</v>
      </c>
      <c r="J363" t="e">
        <f>_xlfn.XLOOKUP(G363,Models!A:A,Models!D:D)</f>
        <v>#N/A</v>
      </c>
      <c r="K363">
        <f>MacReports!F363</f>
        <v>0</v>
      </c>
      <c r="L363">
        <f>MacReports!G363</f>
        <v>0</v>
      </c>
      <c r="M363" s="15" t="e" cm="1">
        <f t="array" ref="M363">--_xlfn.LET(
    _xlpm.txt, MacReports!H363,
    _xlpm.chars, MID(_xlpm.txt, _xlfn.SEQUENCE(LEN(_xlpm.txt)), 1),
    _xlfn.TEXTJOIN("", TRUE, IF(ISNUMBER(--_xlpm.chars), _xlpm.chars, ""))
)</f>
        <v>#VALUE!</v>
      </c>
      <c r="N363" s="16" t="str" cm="1">
        <f t="array" ref="N363">_xlfn.IFS(
   --MacReports!M363&lt;55,"Battery Defect",
  -- MacReports!M363&lt;=69,"Battery D",
  --MacReports!M363&lt;=80,"Battery C",
 --MacReports!M363&gt;80,""
)</f>
        <v>Battery Defect</v>
      </c>
      <c r="O363" s="16" t="str">
        <f>IF(MacReports!I363="Service","Battery Service","")</f>
        <v/>
      </c>
      <c r="P363" s="13">
        <f>MacReports!P363</f>
        <v>0</v>
      </c>
      <c r="Q363" s="13" t="str">
        <f>IF(MacReports!J363="Enabled","Apple ID Lock","")</f>
        <v/>
      </c>
      <c r="R363" s="13" t="str">
        <f>IF(MacReports!L363="y","Remote Locked","")</f>
        <v/>
      </c>
      <c r="S363" t="str">
        <f t="shared" si="13"/>
        <v>Battery Defect, 0</v>
      </c>
      <c r="T363" t="str">
        <f>_xlfn.XLOOKUP(B363,Disk_Pivot!G:G,Disk_Pivot!I:I)</f>
        <v>Yes</v>
      </c>
      <c r="U363" t="str">
        <f>_xlfn.XLOOKUP(B363,Disk_Pivot!G:G,Disk_Pivot!N:N)</f>
        <v>Fail</v>
      </c>
      <c r="V363">
        <f>IF(U363="Fail",MacReports!N363,"")</f>
        <v>0</v>
      </c>
      <c r="AB363" t="str">
        <f t="shared" si="14"/>
        <v/>
      </c>
    </row>
    <row r="364" spans="1:28">
      <c r="A364">
        <f>MacReports!A364</f>
        <v>0</v>
      </c>
      <c r="B364">
        <f>MacReports!B364</f>
        <v>0</v>
      </c>
      <c r="C364">
        <f>MacReports!C364</f>
        <v>0</v>
      </c>
      <c r="E364" t="e">
        <f>_xlfn.XLOOKUP(G364,Models!A:A,Models!F:F)</f>
        <v>#N/A</v>
      </c>
      <c r="F364" t="str">
        <f>_xlfn.XLOOKUP(B364,MacReports!B:B,MacReports!D:D,"")</f>
        <v/>
      </c>
      <c r="G364" s="13">
        <f>MacReports!E364</f>
        <v>0</v>
      </c>
      <c r="H364" t="e">
        <f>_xlfn.XLOOKUP(G364,Models!A:A,Models!B:B)</f>
        <v>#N/A</v>
      </c>
      <c r="I364" t="e">
        <f>_xlfn.XLOOKUP(G364,Models!A:A,Models!E:E)</f>
        <v>#N/A</v>
      </c>
      <c r="J364" t="e">
        <f>_xlfn.XLOOKUP(G364,Models!A:A,Models!D:D)</f>
        <v>#N/A</v>
      </c>
      <c r="K364">
        <f>MacReports!F364</f>
        <v>0</v>
      </c>
      <c r="L364">
        <f>MacReports!G364</f>
        <v>0</v>
      </c>
      <c r="M364" s="15" t="e" cm="1">
        <f t="array" ref="M364">--_xlfn.LET(
    _xlpm.txt, MacReports!H364,
    _xlpm.chars, MID(_xlpm.txt, _xlfn.SEQUENCE(LEN(_xlpm.txt)), 1),
    _xlfn.TEXTJOIN("", TRUE, IF(ISNUMBER(--_xlpm.chars), _xlpm.chars, ""))
)</f>
        <v>#VALUE!</v>
      </c>
      <c r="N364" s="16" t="str" cm="1">
        <f t="array" ref="N364">_xlfn.IFS(
   --MacReports!M364&lt;55,"Battery Defect",
  -- MacReports!M364&lt;=69,"Battery D",
  --MacReports!M364&lt;=80,"Battery C",
 --MacReports!M364&gt;80,""
)</f>
        <v>Battery Defect</v>
      </c>
      <c r="O364" s="16" t="str">
        <f>IF(MacReports!I364="Service","Battery Service","")</f>
        <v/>
      </c>
      <c r="P364" s="13">
        <f>MacReports!P364</f>
        <v>0</v>
      </c>
      <c r="Q364" s="13" t="str">
        <f>IF(MacReports!J364="Enabled","Apple ID Lock","")</f>
        <v/>
      </c>
      <c r="R364" s="13" t="str">
        <f>IF(MacReports!L364="y","Remote Locked","")</f>
        <v/>
      </c>
      <c r="S364" t="str">
        <f t="shared" si="13"/>
        <v>Battery Defect, 0</v>
      </c>
      <c r="T364" t="str">
        <f>_xlfn.XLOOKUP(B364,Disk_Pivot!G:G,Disk_Pivot!I:I)</f>
        <v>Yes</v>
      </c>
      <c r="U364" t="str">
        <f>_xlfn.XLOOKUP(B364,Disk_Pivot!G:G,Disk_Pivot!N:N)</f>
        <v>Fail</v>
      </c>
      <c r="V364">
        <f>IF(U364="Fail",MacReports!N364,"")</f>
        <v>0</v>
      </c>
      <c r="AB364" t="str">
        <f t="shared" si="14"/>
        <v/>
      </c>
    </row>
    <row r="365" spans="1:28">
      <c r="A365">
        <f>MacReports!A365</f>
        <v>0</v>
      </c>
      <c r="B365">
        <f>MacReports!B365</f>
        <v>0</v>
      </c>
      <c r="C365">
        <f>MacReports!C365</f>
        <v>0</v>
      </c>
      <c r="E365" t="e">
        <f>_xlfn.XLOOKUP(G365,Models!A:A,Models!F:F)</f>
        <v>#N/A</v>
      </c>
      <c r="F365" t="str">
        <f>_xlfn.XLOOKUP(B365,MacReports!B:B,MacReports!D:D,"")</f>
        <v/>
      </c>
      <c r="G365" s="13">
        <f>MacReports!E365</f>
        <v>0</v>
      </c>
      <c r="H365" t="e">
        <f>_xlfn.XLOOKUP(G365,Models!A:A,Models!B:B)</f>
        <v>#N/A</v>
      </c>
      <c r="I365" t="e">
        <f>_xlfn.XLOOKUP(G365,Models!A:A,Models!E:E)</f>
        <v>#N/A</v>
      </c>
      <c r="J365" t="e">
        <f>_xlfn.XLOOKUP(G365,Models!A:A,Models!D:D)</f>
        <v>#N/A</v>
      </c>
      <c r="K365">
        <f>MacReports!F365</f>
        <v>0</v>
      </c>
      <c r="L365">
        <f>MacReports!G365</f>
        <v>0</v>
      </c>
      <c r="M365" s="15" t="e" cm="1">
        <f t="array" ref="M365">--_xlfn.LET(
    _xlpm.txt, MacReports!H365,
    _xlpm.chars, MID(_xlpm.txt, _xlfn.SEQUENCE(LEN(_xlpm.txt)), 1),
    _xlfn.TEXTJOIN("", TRUE, IF(ISNUMBER(--_xlpm.chars), _xlpm.chars, ""))
)</f>
        <v>#VALUE!</v>
      </c>
      <c r="N365" s="16" t="str" cm="1">
        <f t="array" ref="N365">_xlfn.IFS(
   --MacReports!M365&lt;55,"Battery Defect",
  -- MacReports!M365&lt;=69,"Battery D",
  --MacReports!M365&lt;=80,"Battery C",
 --MacReports!M365&gt;80,""
)</f>
        <v>Battery Defect</v>
      </c>
      <c r="O365" s="16" t="str">
        <f>IF(MacReports!I365="Service","Battery Service","")</f>
        <v/>
      </c>
      <c r="P365" s="13">
        <f>MacReports!P365</f>
        <v>0</v>
      </c>
      <c r="Q365" s="13" t="str">
        <f>IF(MacReports!J365="Enabled","Apple ID Lock","")</f>
        <v/>
      </c>
      <c r="R365" s="13" t="str">
        <f>IF(MacReports!L365="y","Remote Locked","")</f>
        <v/>
      </c>
      <c r="S365" t="str">
        <f t="shared" si="13"/>
        <v>Battery Defect, 0</v>
      </c>
      <c r="T365" t="str">
        <f>_xlfn.XLOOKUP(B365,Disk_Pivot!G:G,Disk_Pivot!I:I)</f>
        <v>Yes</v>
      </c>
      <c r="U365" t="str">
        <f>_xlfn.XLOOKUP(B365,Disk_Pivot!G:G,Disk_Pivot!N:N)</f>
        <v>Fail</v>
      </c>
      <c r="V365">
        <f>IF(U365="Fail",MacReports!N365,"")</f>
        <v>0</v>
      </c>
      <c r="AB365" t="str">
        <f t="shared" si="14"/>
        <v/>
      </c>
    </row>
    <row r="366" spans="1:28">
      <c r="A366">
        <f>MacReports!A366</f>
        <v>0</v>
      </c>
      <c r="B366">
        <f>MacReports!B366</f>
        <v>0</v>
      </c>
      <c r="C366">
        <f>MacReports!C366</f>
        <v>0</v>
      </c>
      <c r="E366" t="e">
        <f>_xlfn.XLOOKUP(G366,Models!A:A,Models!F:F)</f>
        <v>#N/A</v>
      </c>
      <c r="F366" t="str">
        <f>_xlfn.XLOOKUP(B366,MacReports!B:B,MacReports!D:D,"")</f>
        <v/>
      </c>
      <c r="G366" s="13">
        <f>MacReports!E366</f>
        <v>0</v>
      </c>
      <c r="H366" t="e">
        <f>_xlfn.XLOOKUP(G366,Models!A:A,Models!B:B)</f>
        <v>#N/A</v>
      </c>
      <c r="I366" t="e">
        <f>_xlfn.XLOOKUP(G366,Models!A:A,Models!E:E)</f>
        <v>#N/A</v>
      </c>
      <c r="J366" t="e">
        <f>_xlfn.XLOOKUP(G366,Models!A:A,Models!D:D)</f>
        <v>#N/A</v>
      </c>
      <c r="K366">
        <f>MacReports!F366</f>
        <v>0</v>
      </c>
      <c r="L366">
        <f>MacReports!G366</f>
        <v>0</v>
      </c>
      <c r="M366" s="15" t="e" cm="1">
        <f t="array" ref="M366">--_xlfn.LET(
    _xlpm.txt, MacReports!H366,
    _xlpm.chars, MID(_xlpm.txt, _xlfn.SEQUENCE(LEN(_xlpm.txt)), 1),
    _xlfn.TEXTJOIN("", TRUE, IF(ISNUMBER(--_xlpm.chars), _xlpm.chars, ""))
)</f>
        <v>#VALUE!</v>
      </c>
      <c r="N366" s="16" t="str" cm="1">
        <f t="array" ref="N366">_xlfn.IFS(
   --MacReports!M366&lt;55,"Battery Defect",
  -- MacReports!M366&lt;=69,"Battery D",
  --MacReports!M366&lt;=80,"Battery C",
 --MacReports!M366&gt;80,""
)</f>
        <v>Battery Defect</v>
      </c>
      <c r="O366" s="16" t="str">
        <f>IF(MacReports!I366="Service","Battery Service","")</f>
        <v/>
      </c>
      <c r="P366" s="13">
        <f>MacReports!P366</f>
        <v>0</v>
      </c>
      <c r="Q366" s="13" t="str">
        <f>IF(MacReports!J366="Enabled","Apple ID Lock","")</f>
        <v/>
      </c>
      <c r="R366" s="13" t="str">
        <f>IF(MacReports!L366="y","Remote Locked","")</f>
        <v/>
      </c>
      <c r="S366" t="str">
        <f t="shared" si="13"/>
        <v>Battery Defect, 0</v>
      </c>
      <c r="T366" t="str">
        <f>_xlfn.XLOOKUP(B366,Disk_Pivot!G:G,Disk_Pivot!I:I)</f>
        <v>Yes</v>
      </c>
      <c r="U366" t="str">
        <f>_xlfn.XLOOKUP(B366,Disk_Pivot!G:G,Disk_Pivot!N:N)</f>
        <v>Fail</v>
      </c>
      <c r="V366">
        <f>IF(U366="Fail",MacReports!N366,"")</f>
        <v>0</v>
      </c>
      <c r="AB366" t="str">
        <f t="shared" si="14"/>
        <v/>
      </c>
    </row>
    <row r="367" spans="1:28">
      <c r="A367">
        <f>MacReports!A367</f>
        <v>0</v>
      </c>
      <c r="B367">
        <f>MacReports!B367</f>
        <v>0</v>
      </c>
      <c r="C367">
        <f>MacReports!C367</f>
        <v>0</v>
      </c>
      <c r="E367" t="e">
        <f>_xlfn.XLOOKUP(G367,Models!A:A,Models!F:F)</f>
        <v>#N/A</v>
      </c>
      <c r="F367" t="str">
        <f>_xlfn.XLOOKUP(B367,MacReports!B:B,MacReports!D:D,"")</f>
        <v/>
      </c>
      <c r="G367" s="13">
        <f>MacReports!E367</f>
        <v>0</v>
      </c>
      <c r="H367" t="e">
        <f>_xlfn.XLOOKUP(G367,Models!A:A,Models!B:B)</f>
        <v>#N/A</v>
      </c>
      <c r="I367" t="e">
        <f>_xlfn.XLOOKUP(G367,Models!A:A,Models!E:E)</f>
        <v>#N/A</v>
      </c>
      <c r="J367" t="e">
        <f>_xlfn.XLOOKUP(G367,Models!A:A,Models!D:D)</f>
        <v>#N/A</v>
      </c>
      <c r="K367">
        <f>MacReports!F367</f>
        <v>0</v>
      </c>
      <c r="L367">
        <f>MacReports!G367</f>
        <v>0</v>
      </c>
      <c r="M367" s="15" t="e" cm="1">
        <f t="array" ref="M367">--_xlfn.LET(
    _xlpm.txt, MacReports!H367,
    _xlpm.chars, MID(_xlpm.txt, _xlfn.SEQUENCE(LEN(_xlpm.txt)), 1),
    _xlfn.TEXTJOIN("", TRUE, IF(ISNUMBER(--_xlpm.chars), _xlpm.chars, ""))
)</f>
        <v>#VALUE!</v>
      </c>
      <c r="N367" s="16" t="str" cm="1">
        <f t="array" ref="N367">_xlfn.IFS(
   --MacReports!M367&lt;55,"Battery Defect",
  -- MacReports!M367&lt;=69,"Battery D",
  --MacReports!M367&lt;=80,"Battery C",
 --MacReports!M367&gt;80,""
)</f>
        <v>Battery Defect</v>
      </c>
      <c r="O367" s="16" t="str">
        <f>IF(MacReports!I367="Service","Battery Service","")</f>
        <v/>
      </c>
      <c r="P367" s="13">
        <f>MacReports!P367</f>
        <v>0</v>
      </c>
      <c r="Q367" s="13" t="str">
        <f>IF(MacReports!J367="Enabled","Apple ID Lock","")</f>
        <v/>
      </c>
      <c r="R367" s="13" t="str">
        <f>IF(MacReports!L367="y","Remote Locked","")</f>
        <v/>
      </c>
      <c r="S367" t="str">
        <f t="shared" si="13"/>
        <v>Battery Defect, 0</v>
      </c>
      <c r="T367" t="str">
        <f>_xlfn.XLOOKUP(B367,Disk_Pivot!G:G,Disk_Pivot!I:I)</f>
        <v>Yes</v>
      </c>
      <c r="U367" t="str">
        <f>_xlfn.XLOOKUP(B367,Disk_Pivot!G:G,Disk_Pivot!N:N)</f>
        <v>Fail</v>
      </c>
      <c r="V367">
        <f>IF(U367="Fail",MacReports!N367,"")</f>
        <v>0</v>
      </c>
      <c r="AB367" t="str">
        <f t="shared" si="14"/>
        <v/>
      </c>
    </row>
    <row r="368" spans="1:28">
      <c r="A368">
        <f>MacReports!A368</f>
        <v>0</v>
      </c>
      <c r="B368">
        <f>MacReports!B368</f>
        <v>0</v>
      </c>
      <c r="C368">
        <f>MacReports!C368</f>
        <v>0</v>
      </c>
      <c r="E368" t="e">
        <f>_xlfn.XLOOKUP(G368,Models!A:A,Models!F:F)</f>
        <v>#N/A</v>
      </c>
      <c r="F368" t="str">
        <f>_xlfn.XLOOKUP(B368,MacReports!B:B,MacReports!D:D,"")</f>
        <v/>
      </c>
      <c r="G368" s="13">
        <f>MacReports!E368</f>
        <v>0</v>
      </c>
      <c r="H368" t="e">
        <f>_xlfn.XLOOKUP(G368,Models!A:A,Models!B:B)</f>
        <v>#N/A</v>
      </c>
      <c r="I368" t="e">
        <f>_xlfn.XLOOKUP(G368,Models!A:A,Models!E:E)</f>
        <v>#N/A</v>
      </c>
      <c r="J368" t="e">
        <f>_xlfn.XLOOKUP(G368,Models!A:A,Models!D:D)</f>
        <v>#N/A</v>
      </c>
      <c r="K368">
        <f>MacReports!F368</f>
        <v>0</v>
      </c>
      <c r="L368">
        <f>MacReports!G368</f>
        <v>0</v>
      </c>
      <c r="M368" s="15" t="e" cm="1">
        <f t="array" ref="M368">--_xlfn.LET(
    _xlpm.txt, MacReports!H368,
    _xlpm.chars, MID(_xlpm.txt, _xlfn.SEQUENCE(LEN(_xlpm.txt)), 1),
    _xlfn.TEXTJOIN("", TRUE, IF(ISNUMBER(--_xlpm.chars), _xlpm.chars, ""))
)</f>
        <v>#VALUE!</v>
      </c>
      <c r="N368" s="16" t="str" cm="1">
        <f t="array" ref="N368">_xlfn.IFS(
   --MacReports!M368&lt;55,"Battery Defect",
  -- MacReports!M368&lt;=69,"Battery D",
  --MacReports!M368&lt;=80,"Battery C",
 --MacReports!M368&gt;80,""
)</f>
        <v>Battery Defect</v>
      </c>
      <c r="O368" s="16" t="str">
        <f>IF(MacReports!I368="Service","Battery Service","")</f>
        <v/>
      </c>
      <c r="P368" s="13">
        <f>MacReports!P368</f>
        <v>0</v>
      </c>
      <c r="Q368" s="13" t="str">
        <f>IF(MacReports!J368="Enabled","Apple ID Lock","")</f>
        <v/>
      </c>
      <c r="R368" s="13" t="str">
        <f>IF(MacReports!L368="y","Remote Locked","")</f>
        <v/>
      </c>
      <c r="S368" t="str">
        <f t="shared" si="13"/>
        <v>Battery Defect, 0</v>
      </c>
      <c r="T368" t="str">
        <f>_xlfn.XLOOKUP(B368,Disk_Pivot!G:G,Disk_Pivot!I:I)</f>
        <v>Yes</v>
      </c>
      <c r="U368" t="str">
        <f>_xlfn.XLOOKUP(B368,Disk_Pivot!G:G,Disk_Pivot!N:N)</f>
        <v>Fail</v>
      </c>
      <c r="V368">
        <f>IF(U368="Fail",MacReports!N368,"")</f>
        <v>0</v>
      </c>
      <c r="AB368" t="str">
        <f t="shared" si="14"/>
        <v/>
      </c>
    </row>
    <row r="369" spans="1:28">
      <c r="A369">
        <f>MacReports!A369</f>
        <v>0</v>
      </c>
      <c r="B369">
        <f>MacReports!B369</f>
        <v>0</v>
      </c>
      <c r="C369">
        <f>MacReports!C369</f>
        <v>0</v>
      </c>
      <c r="E369" t="e">
        <f>_xlfn.XLOOKUP(G369,Models!A:A,Models!F:F)</f>
        <v>#N/A</v>
      </c>
      <c r="F369" t="str">
        <f>_xlfn.XLOOKUP(B369,MacReports!B:B,MacReports!D:D,"")</f>
        <v/>
      </c>
      <c r="G369" s="13">
        <f>MacReports!E369</f>
        <v>0</v>
      </c>
      <c r="H369" t="e">
        <f>_xlfn.XLOOKUP(G369,Models!A:A,Models!B:B)</f>
        <v>#N/A</v>
      </c>
      <c r="I369" t="e">
        <f>_xlfn.XLOOKUP(G369,Models!A:A,Models!E:E)</f>
        <v>#N/A</v>
      </c>
      <c r="J369" t="e">
        <f>_xlfn.XLOOKUP(G369,Models!A:A,Models!D:D)</f>
        <v>#N/A</v>
      </c>
      <c r="K369">
        <f>MacReports!F369</f>
        <v>0</v>
      </c>
      <c r="L369">
        <f>MacReports!G369</f>
        <v>0</v>
      </c>
      <c r="M369" s="15" t="e" cm="1">
        <f t="array" ref="M369">--_xlfn.LET(
    _xlpm.txt, MacReports!H369,
    _xlpm.chars, MID(_xlpm.txt, _xlfn.SEQUENCE(LEN(_xlpm.txt)), 1),
    _xlfn.TEXTJOIN("", TRUE, IF(ISNUMBER(--_xlpm.chars), _xlpm.chars, ""))
)</f>
        <v>#VALUE!</v>
      </c>
      <c r="N369" s="16" t="str" cm="1">
        <f t="array" ref="N369">_xlfn.IFS(
   --MacReports!M369&lt;55,"Battery Defect",
  -- MacReports!M369&lt;=69,"Battery D",
  --MacReports!M369&lt;=80,"Battery C",
 --MacReports!M369&gt;80,""
)</f>
        <v>Battery Defect</v>
      </c>
      <c r="O369" s="16" t="str">
        <f>IF(MacReports!I369="Service","Battery Service","")</f>
        <v/>
      </c>
      <c r="P369" s="13">
        <f>MacReports!P369</f>
        <v>0</v>
      </c>
      <c r="Q369" s="13" t="str">
        <f>IF(MacReports!J369="Enabled","Apple ID Lock","")</f>
        <v/>
      </c>
      <c r="R369" s="13" t="str">
        <f>IF(MacReports!L369="y","Remote Locked","")</f>
        <v/>
      </c>
      <c r="S369" t="str">
        <f t="shared" si="13"/>
        <v>Battery Defect, 0</v>
      </c>
      <c r="T369" t="str">
        <f>_xlfn.XLOOKUP(B369,Disk_Pivot!G:G,Disk_Pivot!I:I)</f>
        <v>Yes</v>
      </c>
      <c r="U369" t="str">
        <f>_xlfn.XLOOKUP(B369,Disk_Pivot!G:G,Disk_Pivot!N:N)</f>
        <v>Fail</v>
      </c>
      <c r="V369">
        <f>IF(U369="Fail",MacReports!N369,"")</f>
        <v>0</v>
      </c>
      <c r="AB369" t="str">
        <f t="shared" si="14"/>
        <v/>
      </c>
    </row>
    <row r="370" spans="1:28">
      <c r="A370">
        <f>MacReports!A370</f>
        <v>0</v>
      </c>
      <c r="B370">
        <f>MacReports!B370</f>
        <v>0</v>
      </c>
      <c r="C370">
        <f>MacReports!C370</f>
        <v>0</v>
      </c>
      <c r="E370" t="e">
        <f>_xlfn.XLOOKUP(G370,Models!A:A,Models!F:F)</f>
        <v>#N/A</v>
      </c>
      <c r="F370" t="str">
        <f>_xlfn.XLOOKUP(B370,MacReports!B:B,MacReports!D:D,"")</f>
        <v/>
      </c>
      <c r="G370" s="13">
        <f>MacReports!E370</f>
        <v>0</v>
      </c>
      <c r="H370" t="e">
        <f>_xlfn.XLOOKUP(G370,Models!A:A,Models!B:B)</f>
        <v>#N/A</v>
      </c>
      <c r="I370" t="e">
        <f>_xlfn.XLOOKUP(G370,Models!A:A,Models!E:E)</f>
        <v>#N/A</v>
      </c>
      <c r="J370" t="e">
        <f>_xlfn.XLOOKUP(G370,Models!A:A,Models!D:D)</f>
        <v>#N/A</v>
      </c>
      <c r="K370">
        <f>MacReports!F370</f>
        <v>0</v>
      </c>
      <c r="L370">
        <f>MacReports!G370</f>
        <v>0</v>
      </c>
      <c r="M370" s="15" t="e" cm="1">
        <f t="array" ref="M370">--_xlfn.LET(
    _xlpm.txt, MacReports!H370,
    _xlpm.chars, MID(_xlpm.txt, _xlfn.SEQUENCE(LEN(_xlpm.txt)), 1),
    _xlfn.TEXTJOIN("", TRUE, IF(ISNUMBER(--_xlpm.chars), _xlpm.chars, ""))
)</f>
        <v>#VALUE!</v>
      </c>
      <c r="N370" s="16" t="str" cm="1">
        <f t="array" ref="N370">_xlfn.IFS(
   --MacReports!M370&lt;55,"Battery Defect",
  -- MacReports!M370&lt;=69,"Battery D",
  --MacReports!M370&lt;=80,"Battery C",
 --MacReports!M370&gt;80,""
)</f>
        <v>Battery Defect</v>
      </c>
      <c r="O370" s="16" t="str">
        <f>IF(MacReports!I370="Service","Battery Service","")</f>
        <v/>
      </c>
      <c r="P370" s="13">
        <f>MacReports!P370</f>
        <v>0</v>
      </c>
      <c r="Q370" s="13" t="str">
        <f>IF(MacReports!J370="Enabled","Apple ID Lock","")</f>
        <v/>
      </c>
      <c r="R370" s="13" t="str">
        <f>IF(MacReports!L370="y","Remote Locked","")</f>
        <v/>
      </c>
      <c r="S370" t="str">
        <f t="shared" si="13"/>
        <v>Battery Defect, 0</v>
      </c>
      <c r="T370" t="str">
        <f>_xlfn.XLOOKUP(B370,Disk_Pivot!G:G,Disk_Pivot!I:I)</f>
        <v>Yes</v>
      </c>
      <c r="U370" t="str">
        <f>_xlfn.XLOOKUP(B370,Disk_Pivot!G:G,Disk_Pivot!N:N)</f>
        <v>Fail</v>
      </c>
      <c r="V370">
        <f>IF(U370="Fail",MacReports!N370,"")</f>
        <v>0</v>
      </c>
      <c r="AB370" t="str">
        <f t="shared" si="14"/>
        <v/>
      </c>
    </row>
    <row r="371" spans="1:28">
      <c r="A371">
        <f>MacReports!A371</f>
        <v>0</v>
      </c>
      <c r="B371">
        <f>MacReports!B371</f>
        <v>0</v>
      </c>
      <c r="C371">
        <f>MacReports!C371</f>
        <v>0</v>
      </c>
      <c r="E371" t="e">
        <f>_xlfn.XLOOKUP(G371,Models!A:A,Models!F:F)</f>
        <v>#N/A</v>
      </c>
      <c r="F371" t="str">
        <f>_xlfn.XLOOKUP(B371,MacReports!B:B,MacReports!D:D,"")</f>
        <v/>
      </c>
      <c r="G371" s="13">
        <f>MacReports!E371</f>
        <v>0</v>
      </c>
      <c r="H371" t="e">
        <f>_xlfn.XLOOKUP(G371,Models!A:A,Models!B:B)</f>
        <v>#N/A</v>
      </c>
      <c r="I371" t="e">
        <f>_xlfn.XLOOKUP(G371,Models!A:A,Models!E:E)</f>
        <v>#N/A</v>
      </c>
      <c r="J371" t="e">
        <f>_xlfn.XLOOKUP(G371,Models!A:A,Models!D:D)</f>
        <v>#N/A</v>
      </c>
      <c r="K371">
        <f>MacReports!F371</f>
        <v>0</v>
      </c>
      <c r="L371">
        <f>MacReports!G371</f>
        <v>0</v>
      </c>
      <c r="M371" s="15" t="e" cm="1">
        <f t="array" ref="M371">--_xlfn.LET(
    _xlpm.txt, MacReports!H371,
    _xlpm.chars, MID(_xlpm.txt, _xlfn.SEQUENCE(LEN(_xlpm.txt)), 1),
    _xlfn.TEXTJOIN("", TRUE, IF(ISNUMBER(--_xlpm.chars), _xlpm.chars, ""))
)</f>
        <v>#VALUE!</v>
      </c>
      <c r="N371" s="16" t="str" cm="1">
        <f t="array" ref="N371">_xlfn.IFS(
   --MacReports!M371&lt;55,"Battery Defect",
  -- MacReports!M371&lt;=69,"Battery D",
  --MacReports!M371&lt;=80,"Battery C",
 --MacReports!M371&gt;80,""
)</f>
        <v>Battery Defect</v>
      </c>
      <c r="O371" s="16" t="str">
        <f>IF(MacReports!I371="Service","Battery Service","")</f>
        <v/>
      </c>
      <c r="P371" s="13">
        <f>MacReports!P371</f>
        <v>0</v>
      </c>
      <c r="Q371" s="13" t="str">
        <f>IF(MacReports!J371="Enabled","Apple ID Lock","")</f>
        <v/>
      </c>
      <c r="R371" s="13" t="str">
        <f>IF(MacReports!L371="y","Remote Locked","")</f>
        <v/>
      </c>
      <c r="S371" t="str">
        <f t="shared" si="13"/>
        <v>Battery Defect, 0</v>
      </c>
      <c r="T371" t="str">
        <f>_xlfn.XLOOKUP(B371,Disk_Pivot!G:G,Disk_Pivot!I:I)</f>
        <v>Yes</v>
      </c>
      <c r="U371" t="str">
        <f>_xlfn.XLOOKUP(B371,Disk_Pivot!G:G,Disk_Pivot!N:N)</f>
        <v>Fail</v>
      </c>
      <c r="V371">
        <f>IF(U371="Fail",MacReports!N371,"")</f>
        <v>0</v>
      </c>
      <c r="AB371" t="str">
        <f t="shared" si="14"/>
        <v/>
      </c>
    </row>
    <row r="372" spans="1:28">
      <c r="A372">
        <f>MacReports!A372</f>
        <v>0</v>
      </c>
      <c r="B372">
        <f>MacReports!B372</f>
        <v>0</v>
      </c>
      <c r="C372">
        <f>MacReports!C372</f>
        <v>0</v>
      </c>
      <c r="E372" t="e">
        <f>_xlfn.XLOOKUP(G372,Models!A:A,Models!F:F)</f>
        <v>#N/A</v>
      </c>
      <c r="F372" t="str">
        <f>_xlfn.XLOOKUP(B372,MacReports!B:B,MacReports!D:D,"")</f>
        <v/>
      </c>
      <c r="G372" s="13">
        <f>MacReports!E372</f>
        <v>0</v>
      </c>
      <c r="H372" t="e">
        <f>_xlfn.XLOOKUP(G372,Models!A:A,Models!B:B)</f>
        <v>#N/A</v>
      </c>
      <c r="I372" t="e">
        <f>_xlfn.XLOOKUP(G372,Models!A:A,Models!E:E)</f>
        <v>#N/A</v>
      </c>
      <c r="J372" t="e">
        <f>_xlfn.XLOOKUP(G372,Models!A:A,Models!D:D)</f>
        <v>#N/A</v>
      </c>
      <c r="K372">
        <f>MacReports!F372</f>
        <v>0</v>
      </c>
      <c r="L372">
        <f>MacReports!G372</f>
        <v>0</v>
      </c>
      <c r="M372" s="15" t="e" cm="1">
        <f t="array" ref="M372">--_xlfn.LET(
    _xlpm.txt, MacReports!H372,
    _xlpm.chars, MID(_xlpm.txt, _xlfn.SEQUENCE(LEN(_xlpm.txt)), 1),
    _xlfn.TEXTJOIN("", TRUE, IF(ISNUMBER(--_xlpm.chars), _xlpm.chars, ""))
)</f>
        <v>#VALUE!</v>
      </c>
      <c r="N372" s="16" t="str" cm="1">
        <f t="array" ref="N372">_xlfn.IFS(
   --MacReports!M372&lt;55,"Battery Defect",
  -- MacReports!M372&lt;=69,"Battery D",
  --MacReports!M372&lt;=80,"Battery C",
 --MacReports!M372&gt;80,""
)</f>
        <v>Battery Defect</v>
      </c>
      <c r="O372" s="16" t="str">
        <f>IF(MacReports!I372="Service","Battery Service","")</f>
        <v/>
      </c>
      <c r="P372" s="13">
        <f>MacReports!P372</f>
        <v>0</v>
      </c>
      <c r="Q372" s="13" t="str">
        <f>IF(MacReports!J372="Enabled","Apple ID Lock","")</f>
        <v/>
      </c>
      <c r="R372" s="13" t="str">
        <f>IF(MacReports!L372="y","Remote Locked","")</f>
        <v/>
      </c>
      <c r="S372" t="str">
        <f t="shared" si="13"/>
        <v>Battery Defect, 0</v>
      </c>
      <c r="T372" t="str">
        <f>_xlfn.XLOOKUP(B372,Disk_Pivot!G:G,Disk_Pivot!I:I)</f>
        <v>Yes</v>
      </c>
      <c r="U372" t="str">
        <f>_xlfn.XLOOKUP(B372,Disk_Pivot!G:G,Disk_Pivot!N:N)</f>
        <v>Fail</v>
      </c>
      <c r="V372">
        <f>IF(U372="Fail",MacReports!N372,"")</f>
        <v>0</v>
      </c>
      <c r="AB372" t="str">
        <f t="shared" si="14"/>
        <v/>
      </c>
    </row>
    <row r="373" spans="1:28">
      <c r="A373">
        <f>MacReports!A373</f>
        <v>0</v>
      </c>
      <c r="B373">
        <f>MacReports!B373</f>
        <v>0</v>
      </c>
      <c r="C373">
        <f>MacReports!C373</f>
        <v>0</v>
      </c>
      <c r="E373" t="e">
        <f>_xlfn.XLOOKUP(G373,Models!A:A,Models!F:F)</f>
        <v>#N/A</v>
      </c>
      <c r="F373" t="str">
        <f>_xlfn.XLOOKUP(B373,MacReports!B:B,MacReports!D:D,"")</f>
        <v/>
      </c>
      <c r="G373" s="13">
        <f>MacReports!E373</f>
        <v>0</v>
      </c>
      <c r="H373" t="e">
        <f>_xlfn.XLOOKUP(G373,Models!A:A,Models!B:B)</f>
        <v>#N/A</v>
      </c>
      <c r="I373" t="e">
        <f>_xlfn.XLOOKUP(G373,Models!A:A,Models!E:E)</f>
        <v>#N/A</v>
      </c>
      <c r="J373" t="e">
        <f>_xlfn.XLOOKUP(G373,Models!A:A,Models!D:D)</f>
        <v>#N/A</v>
      </c>
      <c r="K373">
        <f>MacReports!F373</f>
        <v>0</v>
      </c>
      <c r="L373">
        <f>MacReports!G373</f>
        <v>0</v>
      </c>
      <c r="M373" s="15" t="e" cm="1">
        <f t="array" ref="M373">--_xlfn.LET(
    _xlpm.txt, MacReports!H373,
    _xlpm.chars, MID(_xlpm.txt, _xlfn.SEQUENCE(LEN(_xlpm.txt)), 1),
    _xlfn.TEXTJOIN("", TRUE, IF(ISNUMBER(--_xlpm.chars), _xlpm.chars, ""))
)</f>
        <v>#VALUE!</v>
      </c>
      <c r="N373" s="16" t="str" cm="1">
        <f t="array" ref="N373">_xlfn.IFS(
   --MacReports!M373&lt;55,"Battery Defect",
  -- MacReports!M373&lt;=69,"Battery D",
  --MacReports!M373&lt;=80,"Battery C",
 --MacReports!M373&gt;80,""
)</f>
        <v>Battery Defect</v>
      </c>
      <c r="O373" s="16" t="str">
        <f>IF(MacReports!I373="Service","Battery Service","")</f>
        <v/>
      </c>
      <c r="P373" s="13">
        <f>MacReports!P373</f>
        <v>0</v>
      </c>
      <c r="Q373" s="13" t="str">
        <f>IF(MacReports!J373="Enabled","Apple ID Lock","")</f>
        <v/>
      </c>
      <c r="R373" s="13" t="str">
        <f>IF(MacReports!L373="y","Remote Locked","")</f>
        <v/>
      </c>
      <c r="S373" t="str">
        <f t="shared" si="13"/>
        <v>Battery Defect, 0</v>
      </c>
      <c r="T373" t="str">
        <f>_xlfn.XLOOKUP(B373,Disk_Pivot!G:G,Disk_Pivot!I:I)</f>
        <v>Yes</v>
      </c>
      <c r="U373" t="str">
        <f>_xlfn.XLOOKUP(B373,Disk_Pivot!G:G,Disk_Pivot!N:N)</f>
        <v>Fail</v>
      </c>
      <c r="V373">
        <f>IF(U373="Fail",MacReports!N373,"")</f>
        <v>0</v>
      </c>
      <c r="AB373" t="str">
        <f t="shared" si="14"/>
        <v/>
      </c>
    </row>
    <row r="374" spans="1:28">
      <c r="A374">
        <f>MacReports!A374</f>
        <v>0</v>
      </c>
      <c r="B374">
        <f>MacReports!B374</f>
        <v>0</v>
      </c>
      <c r="C374">
        <f>MacReports!C374</f>
        <v>0</v>
      </c>
      <c r="E374" t="e">
        <f>_xlfn.XLOOKUP(G374,Models!A:A,Models!F:F)</f>
        <v>#N/A</v>
      </c>
      <c r="F374" t="str">
        <f>_xlfn.XLOOKUP(B374,MacReports!B:B,MacReports!D:D,"")</f>
        <v/>
      </c>
      <c r="G374" s="13">
        <f>MacReports!E374</f>
        <v>0</v>
      </c>
      <c r="H374" t="e">
        <f>_xlfn.XLOOKUP(G374,Models!A:A,Models!B:B)</f>
        <v>#N/A</v>
      </c>
      <c r="I374" t="e">
        <f>_xlfn.XLOOKUP(G374,Models!A:A,Models!E:E)</f>
        <v>#N/A</v>
      </c>
      <c r="J374" t="e">
        <f>_xlfn.XLOOKUP(G374,Models!A:A,Models!D:D)</f>
        <v>#N/A</v>
      </c>
      <c r="K374">
        <f>MacReports!F374</f>
        <v>0</v>
      </c>
      <c r="L374">
        <f>MacReports!G374</f>
        <v>0</v>
      </c>
      <c r="M374" s="15" t="e" cm="1">
        <f t="array" ref="M374">--_xlfn.LET(
    _xlpm.txt, MacReports!H374,
    _xlpm.chars, MID(_xlpm.txt, _xlfn.SEQUENCE(LEN(_xlpm.txt)), 1),
    _xlfn.TEXTJOIN("", TRUE, IF(ISNUMBER(--_xlpm.chars), _xlpm.chars, ""))
)</f>
        <v>#VALUE!</v>
      </c>
      <c r="N374" s="16" t="str" cm="1">
        <f t="array" ref="N374">_xlfn.IFS(
   --MacReports!M374&lt;55,"Battery Defect",
  -- MacReports!M374&lt;=69,"Battery D",
  --MacReports!M374&lt;=80,"Battery C",
 --MacReports!M374&gt;80,""
)</f>
        <v>Battery Defect</v>
      </c>
      <c r="O374" s="16" t="str">
        <f>IF(MacReports!I374="Service","Battery Service","")</f>
        <v/>
      </c>
      <c r="P374" s="13">
        <f>MacReports!P374</f>
        <v>0</v>
      </c>
      <c r="Q374" s="13" t="str">
        <f>IF(MacReports!J374="Enabled","Apple ID Lock","")</f>
        <v/>
      </c>
      <c r="R374" s="13" t="str">
        <f>IF(MacReports!L374="y","Remote Locked","")</f>
        <v/>
      </c>
      <c r="S374" t="str">
        <f t="shared" si="13"/>
        <v>Battery Defect, 0</v>
      </c>
      <c r="T374" t="str">
        <f>_xlfn.XLOOKUP(B374,Disk_Pivot!G:G,Disk_Pivot!I:I)</f>
        <v>Yes</v>
      </c>
      <c r="U374" t="str">
        <f>_xlfn.XLOOKUP(B374,Disk_Pivot!G:G,Disk_Pivot!N:N)</f>
        <v>Fail</v>
      </c>
      <c r="V374">
        <f>IF(U374="Fail",MacReports!N374,"")</f>
        <v>0</v>
      </c>
      <c r="AB374" t="str">
        <f t="shared" si="14"/>
        <v/>
      </c>
    </row>
    <row r="375" spans="1:28">
      <c r="A375">
        <f>MacReports!A375</f>
        <v>0</v>
      </c>
      <c r="B375">
        <f>MacReports!B375</f>
        <v>0</v>
      </c>
      <c r="C375">
        <f>MacReports!C375</f>
        <v>0</v>
      </c>
      <c r="E375" t="e">
        <f>_xlfn.XLOOKUP(G375,Models!A:A,Models!F:F)</f>
        <v>#N/A</v>
      </c>
      <c r="F375" t="str">
        <f>_xlfn.XLOOKUP(B375,MacReports!B:B,MacReports!D:D,"")</f>
        <v/>
      </c>
      <c r="G375" s="13">
        <f>MacReports!E375</f>
        <v>0</v>
      </c>
      <c r="H375" t="e">
        <f>_xlfn.XLOOKUP(G375,Models!A:A,Models!B:B)</f>
        <v>#N/A</v>
      </c>
      <c r="I375" t="e">
        <f>_xlfn.XLOOKUP(G375,Models!A:A,Models!E:E)</f>
        <v>#N/A</v>
      </c>
      <c r="J375" t="e">
        <f>_xlfn.XLOOKUP(G375,Models!A:A,Models!D:D)</f>
        <v>#N/A</v>
      </c>
      <c r="K375">
        <f>MacReports!F375</f>
        <v>0</v>
      </c>
      <c r="L375">
        <f>MacReports!G375</f>
        <v>0</v>
      </c>
      <c r="M375" s="15" t="e" cm="1">
        <f t="array" ref="M375">--_xlfn.LET(
    _xlpm.txt, MacReports!H375,
    _xlpm.chars, MID(_xlpm.txt, _xlfn.SEQUENCE(LEN(_xlpm.txt)), 1),
    _xlfn.TEXTJOIN("", TRUE, IF(ISNUMBER(--_xlpm.chars), _xlpm.chars, ""))
)</f>
        <v>#VALUE!</v>
      </c>
      <c r="N375" s="16" t="str" cm="1">
        <f t="array" ref="N375">_xlfn.IFS(
   --MacReports!M375&lt;55,"Battery Defect",
  -- MacReports!M375&lt;=69,"Battery D",
  --MacReports!M375&lt;=80,"Battery C",
 --MacReports!M375&gt;80,""
)</f>
        <v>Battery Defect</v>
      </c>
      <c r="O375" s="16" t="str">
        <f>IF(MacReports!I375="Service","Battery Service","")</f>
        <v/>
      </c>
      <c r="P375" s="13">
        <f>MacReports!P375</f>
        <v>0</v>
      </c>
      <c r="Q375" s="13" t="str">
        <f>IF(MacReports!J375="Enabled","Apple ID Lock","")</f>
        <v/>
      </c>
      <c r="R375" s="13" t="str">
        <f>IF(MacReports!L375="y","Remote Locked","")</f>
        <v/>
      </c>
      <c r="S375" t="str">
        <f t="shared" si="13"/>
        <v>Battery Defect, 0</v>
      </c>
      <c r="T375" t="str">
        <f>_xlfn.XLOOKUP(B375,Disk_Pivot!G:G,Disk_Pivot!I:I)</f>
        <v>Yes</v>
      </c>
      <c r="U375" t="str">
        <f>_xlfn.XLOOKUP(B375,Disk_Pivot!G:G,Disk_Pivot!N:N)</f>
        <v>Fail</v>
      </c>
      <c r="V375">
        <f>IF(U375="Fail",MacReports!N375,"")</f>
        <v>0</v>
      </c>
      <c r="AB375" t="str">
        <f t="shared" si="14"/>
        <v/>
      </c>
    </row>
    <row r="376" spans="1:28">
      <c r="A376">
        <f>MacReports!A376</f>
        <v>0</v>
      </c>
      <c r="B376">
        <f>MacReports!B376</f>
        <v>0</v>
      </c>
      <c r="C376">
        <f>MacReports!C376</f>
        <v>0</v>
      </c>
      <c r="E376" t="e">
        <f>_xlfn.XLOOKUP(G376,Models!A:A,Models!F:F)</f>
        <v>#N/A</v>
      </c>
      <c r="F376" t="str">
        <f>_xlfn.XLOOKUP(B376,MacReports!B:B,MacReports!D:D,"")</f>
        <v/>
      </c>
      <c r="G376" s="13">
        <f>MacReports!E376</f>
        <v>0</v>
      </c>
      <c r="H376" t="e">
        <f>_xlfn.XLOOKUP(G376,Models!A:A,Models!B:B)</f>
        <v>#N/A</v>
      </c>
      <c r="I376" t="e">
        <f>_xlfn.XLOOKUP(G376,Models!A:A,Models!E:E)</f>
        <v>#N/A</v>
      </c>
      <c r="J376" t="e">
        <f>_xlfn.XLOOKUP(G376,Models!A:A,Models!D:D)</f>
        <v>#N/A</v>
      </c>
      <c r="K376">
        <f>MacReports!F376</f>
        <v>0</v>
      </c>
      <c r="L376">
        <f>MacReports!G376</f>
        <v>0</v>
      </c>
      <c r="M376" s="15" t="e" cm="1">
        <f t="array" ref="M376">--_xlfn.LET(
    _xlpm.txt, MacReports!H376,
    _xlpm.chars, MID(_xlpm.txt, _xlfn.SEQUENCE(LEN(_xlpm.txt)), 1),
    _xlfn.TEXTJOIN("", TRUE, IF(ISNUMBER(--_xlpm.chars), _xlpm.chars, ""))
)</f>
        <v>#VALUE!</v>
      </c>
      <c r="N376" s="16" t="str" cm="1">
        <f t="array" ref="N376">_xlfn.IFS(
   --MacReports!M376&lt;55,"Battery Defect",
  -- MacReports!M376&lt;=69,"Battery D",
  --MacReports!M376&lt;=80,"Battery C",
 --MacReports!M376&gt;80,""
)</f>
        <v>Battery Defect</v>
      </c>
      <c r="O376" s="16" t="str">
        <f>IF(MacReports!I376="Service","Battery Service","")</f>
        <v/>
      </c>
      <c r="P376" s="13">
        <f>MacReports!P376</f>
        <v>0</v>
      </c>
      <c r="Q376" s="13" t="str">
        <f>IF(MacReports!J376="Enabled","Apple ID Lock","")</f>
        <v/>
      </c>
      <c r="R376" s="13" t="str">
        <f>IF(MacReports!L376="y","Remote Locked","")</f>
        <v/>
      </c>
      <c r="S376" t="str">
        <f t="shared" si="13"/>
        <v>Battery Defect, 0</v>
      </c>
      <c r="T376" t="str">
        <f>_xlfn.XLOOKUP(B376,Disk_Pivot!G:G,Disk_Pivot!I:I)</f>
        <v>Yes</v>
      </c>
      <c r="U376" t="str">
        <f>_xlfn.XLOOKUP(B376,Disk_Pivot!G:G,Disk_Pivot!N:N)</f>
        <v>Fail</v>
      </c>
      <c r="V376">
        <f>IF(U376="Fail",MacReports!N376,"")</f>
        <v>0</v>
      </c>
      <c r="AB376" t="str">
        <f t="shared" si="14"/>
        <v/>
      </c>
    </row>
    <row r="377" spans="1:28">
      <c r="A377">
        <f>MacReports!A377</f>
        <v>0</v>
      </c>
      <c r="B377">
        <f>MacReports!B377</f>
        <v>0</v>
      </c>
      <c r="C377">
        <f>MacReports!C377</f>
        <v>0</v>
      </c>
      <c r="E377" t="e">
        <f>_xlfn.XLOOKUP(G377,Models!A:A,Models!F:F)</f>
        <v>#N/A</v>
      </c>
      <c r="F377" t="str">
        <f>_xlfn.XLOOKUP(B377,MacReports!B:B,MacReports!D:D,"")</f>
        <v/>
      </c>
      <c r="G377" s="13">
        <f>MacReports!E377</f>
        <v>0</v>
      </c>
      <c r="H377" t="e">
        <f>_xlfn.XLOOKUP(G377,Models!A:A,Models!B:B)</f>
        <v>#N/A</v>
      </c>
      <c r="I377" t="e">
        <f>_xlfn.XLOOKUP(G377,Models!A:A,Models!E:E)</f>
        <v>#N/A</v>
      </c>
      <c r="J377" t="e">
        <f>_xlfn.XLOOKUP(G377,Models!A:A,Models!D:D)</f>
        <v>#N/A</v>
      </c>
      <c r="K377">
        <f>MacReports!F377</f>
        <v>0</v>
      </c>
      <c r="L377">
        <f>MacReports!G377</f>
        <v>0</v>
      </c>
      <c r="M377" s="15" t="e" cm="1">
        <f t="array" ref="M377">--_xlfn.LET(
    _xlpm.txt, MacReports!H377,
    _xlpm.chars, MID(_xlpm.txt, _xlfn.SEQUENCE(LEN(_xlpm.txt)), 1),
    _xlfn.TEXTJOIN("", TRUE, IF(ISNUMBER(--_xlpm.chars), _xlpm.chars, ""))
)</f>
        <v>#VALUE!</v>
      </c>
      <c r="N377" s="16" t="str" cm="1">
        <f t="array" ref="N377">_xlfn.IFS(
   --MacReports!M377&lt;55,"Battery Defect",
  -- MacReports!M377&lt;=69,"Battery D",
  --MacReports!M377&lt;=80,"Battery C",
 --MacReports!M377&gt;80,""
)</f>
        <v>Battery Defect</v>
      </c>
      <c r="O377" s="16" t="str">
        <f>IF(MacReports!I377="Service","Battery Service","")</f>
        <v/>
      </c>
      <c r="P377" s="13">
        <f>MacReports!P377</f>
        <v>0</v>
      </c>
      <c r="Q377" s="13" t="str">
        <f>IF(MacReports!J377="Enabled","Apple ID Lock","")</f>
        <v/>
      </c>
      <c r="R377" s="13" t="str">
        <f>IF(MacReports!L377="y","Remote Locked","")</f>
        <v/>
      </c>
      <c r="S377" t="str">
        <f t="shared" si="13"/>
        <v>Battery Defect, 0</v>
      </c>
      <c r="T377" t="str">
        <f>_xlfn.XLOOKUP(B377,Disk_Pivot!G:G,Disk_Pivot!I:I)</f>
        <v>Yes</v>
      </c>
      <c r="U377" t="str">
        <f>_xlfn.XLOOKUP(B377,Disk_Pivot!G:G,Disk_Pivot!N:N)</f>
        <v>Fail</v>
      </c>
      <c r="V377">
        <f>IF(U377="Fail",MacReports!N377,"")</f>
        <v>0</v>
      </c>
      <c r="AB377" t="str">
        <f t="shared" si="14"/>
        <v/>
      </c>
    </row>
    <row r="378" spans="1:28">
      <c r="A378">
        <f>MacReports!A378</f>
        <v>0</v>
      </c>
      <c r="B378">
        <f>MacReports!B378</f>
        <v>0</v>
      </c>
      <c r="C378">
        <f>MacReports!C378</f>
        <v>0</v>
      </c>
      <c r="E378" t="e">
        <f>_xlfn.XLOOKUP(G378,Models!A:A,Models!F:F)</f>
        <v>#N/A</v>
      </c>
      <c r="F378" t="str">
        <f>_xlfn.XLOOKUP(B378,MacReports!B:B,MacReports!D:D,"")</f>
        <v/>
      </c>
      <c r="G378" s="13">
        <f>MacReports!E378</f>
        <v>0</v>
      </c>
      <c r="H378" t="e">
        <f>_xlfn.XLOOKUP(G378,Models!A:A,Models!B:B)</f>
        <v>#N/A</v>
      </c>
      <c r="I378" t="e">
        <f>_xlfn.XLOOKUP(G378,Models!A:A,Models!E:E)</f>
        <v>#N/A</v>
      </c>
      <c r="J378" t="e">
        <f>_xlfn.XLOOKUP(G378,Models!A:A,Models!D:D)</f>
        <v>#N/A</v>
      </c>
      <c r="K378">
        <f>MacReports!F378</f>
        <v>0</v>
      </c>
      <c r="L378">
        <f>MacReports!G378</f>
        <v>0</v>
      </c>
      <c r="M378" s="15" t="e" cm="1">
        <f t="array" ref="M378">--_xlfn.LET(
    _xlpm.txt, MacReports!H378,
    _xlpm.chars, MID(_xlpm.txt, _xlfn.SEQUENCE(LEN(_xlpm.txt)), 1),
    _xlfn.TEXTJOIN("", TRUE, IF(ISNUMBER(--_xlpm.chars), _xlpm.chars, ""))
)</f>
        <v>#VALUE!</v>
      </c>
      <c r="N378" s="16" t="str" cm="1">
        <f t="array" ref="N378">_xlfn.IFS(
   --MacReports!M378&lt;55,"Battery Defect",
  -- MacReports!M378&lt;=69,"Battery D",
  --MacReports!M378&lt;=80,"Battery C",
 --MacReports!M378&gt;80,""
)</f>
        <v>Battery Defect</v>
      </c>
      <c r="O378" s="16" t="str">
        <f>IF(MacReports!I378="Service","Battery Service","")</f>
        <v/>
      </c>
      <c r="P378" s="13">
        <f>MacReports!P378</f>
        <v>0</v>
      </c>
      <c r="Q378" s="13" t="str">
        <f>IF(MacReports!J378="Enabled","Apple ID Lock","")</f>
        <v/>
      </c>
      <c r="R378" s="13" t="str">
        <f>IF(MacReports!L378="y","Remote Locked","")</f>
        <v/>
      </c>
      <c r="S378" t="str">
        <f t="shared" si="13"/>
        <v>Battery Defect, 0</v>
      </c>
      <c r="T378" t="str">
        <f>_xlfn.XLOOKUP(B378,Disk_Pivot!G:G,Disk_Pivot!I:I)</f>
        <v>Yes</v>
      </c>
      <c r="U378" t="str">
        <f>_xlfn.XLOOKUP(B378,Disk_Pivot!G:G,Disk_Pivot!N:N)</f>
        <v>Fail</v>
      </c>
      <c r="V378">
        <f>IF(U378="Fail",MacReports!N378,"")</f>
        <v>0</v>
      </c>
      <c r="AB378" t="str">
        <f t="shared" si="14"/>
        <v/>
      </c>
    </row>
    <row r="379" spans="1:28">
      <c r="A379">
        <f>MacReports!A379</f>
        <v>0</v>
      </c>
      <c r="B379">
        <f>MacReports!B379</f>
        <v>0</v>
      </c>
      <c r="C379">
        <f>MacReports!C379</f>
        <v>0</v>
      </c>
      <c r="E379" t="e">
        <f>_xlfn.XLOOKUP(G379,Models!A:A,Models!F:F)</f>
        <v>#N/A</v>
      </c>
      <c r="F379" t="str">
        <f>_xlfn.XLOOKUP(B379,MacReports!B:B,MacReports!D:D,"")</f>
        <v/>
      </c>
      <c r="G379" s="13">
        <f>MacReports!E379</f>
        <v>0</v>
      </c>
      <c r="H379" t="e">
        <f>_xlfn.XLOOKUP(G379,Models!A:A,Models!B:B)</f>
        <v>#N/A</v>
      </c>
      <c r="I379" t="e">
        <f>_xlfn.XLOOKUP(G379,Models!A:A,Models!E:E)</f>
        <v>#N/A</v>
      </c>
      <c r="J379" t="e">
        <f>_xlfn.XLOOKUP(G379,Models!A:A,Models!D:D)</f>
        <v>#N/A</v>
      </c>
      <c r="K379">
        <f>MacReports!F379</f>
        <v>0</v>
      </c>
      <c r="L379">
        <f>MacReports!G379</f>
        <v>0</v>
      </c>
      <c r="M379" s="15" t="e" cm="1">
        <f t="array" ref="M379">--_xlfn.LET(
    _xlpm.txt, MacReports!H379,
    _xlpm.chars, MID(_xlpm.txt, _xlfn.SEQUENCE(LEN(_xlpm.txt)), 1),
    _xlfn.TEXTJOIN("", TRUE, IF(ISNUMBER(--_xlpm.chars), _xlpm.chars, ""))
)</f>
        <v>#VALUE!</v>
      </c>
      <c r="N379" s="16" t="str" cm="1">
        <f t="array" ref="N379">_xlfn.IFS(
   --MacReports!M379&lt;55,"Battery Defect",
  -- MacReports!M379&lt;=69,"Battery D",
  --MacReports!M379&lt;=80,"Battery C",
 --MacReports!M379&gt;80,""
)</f>
        <v>Battery Defect</v>
      </c>
      <c r="O379" s="16" t="str">
        <f>IF(MacReports!I379="Service","Battery Service","")</f>
        <v/>
      </c>
      <c r="P379" s="13">
        <f>MacReports!P379</f>
        <v>0</v>
      </c>
      <c r="Q379" s="13" t="str">
        <f>IF(MacReports!J379="Enabled","Apple ID Lock","")</f>
        <v/>
      </c>
      <c r="R379" s="13" t="str">
        <f>IF(MacReports!L379="y","Remote Locked","")</f>
        <v/>
      </c>
      <c r="S379" t="str">
        <f t="shared" si="13"/>
        <v>Battery Defect, 0</v>
      </c>
      <c r="T379" t="str">
        <f>_xlfn.XLOOKUP(B379,Disk_Pivot!G:G,Disk_Pivot!I:I)</f>
        <v>Yes</v>
      </c>
      <c r="U379" t="str">
        <f>_xlfn.XLOOKUP(B379,Disk_Pivot!G:G,Disk_Pivot!N:N)</f>
        <v>Fail</v>
      </c>
      <c r="V379">
        <f>IF(U379="Fail",MacReports!N379,"")</f>
        <v>0</v>
      </c>
      <c r="AB379" t="str">
        <f t="shared" si="14"/>
        <v/>
      </c>
    </row>
    <row r="380" spans="1:28">
      <c r="A380">
        <f>MacReports!A380</f>
        <v>0</v>
      </c>
      <c r="B380">
        <f>MacReports!B380</f>
        <v>0</v>
      </c>
      <c r="C380">
        <f>MacReports!C380</f>
        <v>0</v>
      </c>
      <c r="E380" t="e">
        <f>_xlfn.XLOOKUP(G380,Models!A:A,Models!F:F)</f>
        <v>#N/A</v>
      </c>
      <c r="F380" t="str">
        <f>_xlfn.XLOOKUP(B380,MacReports!B:B,MacReports!D:D,"")</f>
        <v/>
      </c>
      <c r="G380" s="13">
        <f>MacReports!E380</f>
        <v>0</v>
      </c>
      <c r="H380" t="e">
        <f>_xlfn.XLOOKUP(G380,Models!A:A,Models!B:B)</f>
        <v>#N/A</v>
      </c>
      <c r="I380" t="e">
        <f>_xlfn.XLOOKUP(G380,Models!A:A,Models!E:E)</f>
        <v>#N/A</v>
      </c>
      <c r="J380" t="e">
        <f>_xlfn.XLOOKUP(G380,Models!A:A,Models!D:D)</f>
        <v>#N/A</v>
      </c>
      <c r="K380">
        <f>MacReports!F380</f>
        <v>0</v>
      </c>
      <c r="L380">
        <f>MacReports!G380</f>
        <v>0</v>
      </c>
      <c r="M380" s="15" t="e" cm="1">
        <f t="array" ref="M380">--_xlfn.LET(
    _xlpm.txt, MacReports!H380,
    _xlpm.chars, MID(_xlpm.txt, _xlfn.SEQUENCE(LEN(_xlpm.txt)), 1),
    _xlfn.TEXTJOIN("", TRUE, IF(ISNUMBER(--_xlpm.chars), _xlpm.chars, ""))
)</f>
        <v>#VALUE!</v>
      </c>
      <c r="N380" s="16" t="str" cm="1">
        <f t="array" ref="N380">_xlfn.IFS(
   --MacReports!M380&lt;55,"Battery Defect",
  -- MacReports!M380&lt;=69,"Battery D",
  --MacReports!M380&lt;=80,"Battery C",
 --MacReports!M380&gt;80,""
)</f>
        <v>Battery Defect</v>
      </c>
      <c r="O380" s="16" t="str">
        <f>IF(MacReports!I380="Service","Battery Service","")</f>
        <v/>
      </c>
      <c r="P380" s="13">
        <f>MacReports!P380</f>
        <v>0</v>
      </c>
      <c r="Q380" s="13" t="str">
        <f>IF(MacReports!J380="Enabled","Apple ID Lock","")</f>
        <v/>
      </c>
      <c r="R380" s="13" t="str">
        <f>IF(MacReports!L380="y","Remote Locked","")</f>
        <v/>
      </c>
      <c r="S380" t="str">
        <f t="shared" si="13"/>
        <v>Battery Defect, 0</v>
      </c>
      <c r="T380" t="str">
        <f>_xlfn.XLOOKUP(B380,Disk_Pivot!G:G,Disk_Pivot!I:I)</f>
        <v>Yes</v>
      </c>
      <c r="U380" t="str">
        <f>_xlfn.XLOOKUP(B380,Disk_Pivot!G:G,Disk_Pivot!N:N)</f>
        <v>Fail</v>
      </c>
      <c r="V380">
        <f>IF(U380="Fail",MacReports!N380,"")</f>
        <v>0</v>
      </c>
      <c r="AB380" t="str">
        <f t="shared" si="14"/>
        <v/>
      </c>
    </row>
    <row r="381" spans="1:28">
      <c r="A381">
        <f>MacReports!A381</f>
        <v>0</v>
      </c>
      <c r="B381">
        <f>MacReports!B381</f>
        <v>0</v>
      </c>
      <c r="C381">
        <f>MacReports!C381</f>
        <v>0</v>
      </c>
      <c r="E381" t="e">
        <f>_xlfn.XLOOKUP(G381,Models!A:A,Models!F:F)</f>
        <v>#N/A</v>
      </c>
      <c r="F381" t="str">
        <f>_xlfn.XLOOKUP(B381,MacReports!B:B,MacReports!D:D,"")</f>
        <v/>
      </c>
      <c r="G381" s="13">
        <f>MacReports!E381</f>
        <v>0</v>
      </c>
      <c r="H381" t="e">
        <f>_xlfn.XLOOKUP(G381,Models!A:A,Models!B:B)</f>
        <v>#N/A</v>
      </c>
      <c r="I381" t="e">
        <f>_xlfn.XLOOKUP(G381,Models!A:A,Models!E:E)</f>
        <v>#N/A</v>
      </c>
      <c r="J381" t="e">
        <f>_xlfn.XLOOKUP(G381,Models!A:A,Models!D:D)</f>
        <v>#N/A</v>
      </c>
      <c r="K381">
        <f>MacReports!F381</f>
        <v>0</v>
      </c>
      <c r="L381">
        <f>MacReports!G381</f>
        <v>0</v>
      </c>
      <c r="M381" s="15" t="e" cm="1">
        <f t="array" ref="M381">--_xlfn.LET(
    _xlpm.txt, MacReports!H381,
    _xlpm.chars, MID(_xlpm.txt, _xlfn.SEQUENCE(LEN(_xlpm.txt)), 1),
    _xlfn.TEXTJOIN("", TRUE, IF(ISNUMBER(--_xlpm.chars), _xlpm.chars, ""))
)</f>
        <v>#VALUE!</v>
      </c>
      <c r="N381" s="16" t="str" cm="1">
        <f t="array" ref="N381">_xlfn.IFS(
   --MacReports!M381&lt;55,"Battery Defect",
  -- MacReports!M381&lt;=69,"Battery D",
  --MacReports!M381&lt;=80,"Battery C",
 --MacReports!M381&gt;80,""
)</f>
        <v>Battery Defect</v>
      </c>
      <c r="O381" s="16" t="str">
        <f>IF(MacReports!I381="Service","Battery Service","")</f>
        <v/>
      </c>
      <c r="P381" s="13">
        <f>MacReports!P381</f>
        <v>0</v>
      </c>
      <c r="Q381" s="13" t="str">
        <f>IF(MacReports!J381="Enabled","Apple ID Lock","")</f>
        <v/>
      </c>
      <c r="R381" s="13" t="str">
        <f>IF(MacReports!L381="y","Remote Locked","")</f>
        <v/>
      </c>
      <c r="S381" t="str">
        <f t="shared" si="13"/>
        <v>Battery Defect, 0</v>
      </c>
      <c r="T381" t="str">
        <f>_xlfn.XLOOKUP(B381,Disk_Pivot!G:G,Disk_Pivot!I:I)</f>
        <v>Yes</v>
      </c>
      <c r="U381" t="str">
        <f>_xlfn.XLOOKUP(B381,Disk_Pivot!G:G,Disk_Pivot!N:N)</f>
        <v>Fail</v>
      </c>
      <c r="V381">
        <f>IF(U381="Fail",MacReports!N381,"")</f>
        <v>0</v>
      </c>
      <c r="AB381" t="str">
        <f t="shared" si="14"/>
        <v/>
      </c>
    </row>
    <row r="382" spans="1:28">
      <c r="A382">
        <f>MacReports!A382</f>
        <v>0</v>
      </c>
      <c r="B382">
        <f>MacReports!B382</f>
        <v>0</v>
      </c>
      <c r="C382">
        <f>MacReports!C382</f>
        <v>0</v>
      </c>
      <c r="E382" t="e">
        <f>_xlfn.XLOOKUP(G382,Models!A:A,Models!F:F)</f>
        <v>#N/A</v>
      </c>
      <c r="F382" t="str">
        <f>_xlfn.XLOOKUP(B382,MacReports!B:B,MacReports!D:D,"")</f>
        <v/>
      </c>
      <c r="G382" s="13">
        <f>MacReports!E382</f>
        <v>0</v>
      </c>
      <c r="H382" t="e">
        <f>_xlfn.XLOOKUP(G382,Models!A:A,Models!B:B)</f>
        <v>#N/A</v>
      </c>
      <c r="I382" t="e">
        <f>_xlfn.XLOOKUP(G382,Models!A:A,Models!E:E)</f>
        <v>#N/A</v>
      </c>
      <c r="J382" t="e">
        <f>_xlfn.XLOOKUP(G382,Models!A:A,Models!D:D)</f>
        <v>#N/A</v>
      </c>
      <c r="K382">
        <f>MacReports!F382</f>
        <v>0</v>
      </c>
      <c r="L382">
        <f>MacReports!G382</f>
        <v>0</v>
      </c>
      <c r="M382" s="15" t="e" cm="1">
        <f t="array" ref="M382">--_xlfn.LET(
    _xlpm.txt, MacReports!H382,
    _xlpm.chars, MID(_xlpm.txt, _xlfn.SEQUENCE(LEN(_xlpm.txt)), 1),
    _xlfn.TEXTJOIN("", TRUE, IF(ISNUMBER(--_xlpm.chars), _xlpm.chars, ""))
)</f>
        <v>#VALUE!</v>
      </c>
      <c r="N382" s="16" t="str" cm="1">
        <f t="array" ref="N382">_xlfn.IFS(
   --MacReports!M382&lt;55,"Battery Defect",
  -- MacReports!M382&lt;=69,"Battery D",
  --MacReports!M382&lt;=80,"Battery C",
 --MacReports!M382&gt;80,""
)</f>
        <v>Battery Defect</v>
      </c>
      <c r="O382" s="16" t="str">
        <f>IF(MacReports!I382="Service","Battery Service","")</f>
        <v/>
      </c>
      <c r="P382" s="13">
        <f>MacReports!P382</f>
        <v>0</v>
      </c>
      <c r="Q382" s="13" t="str">
        <f>IF(MacReports!J382="Enabled","Apple ID Lock","")</f>
        <v/>
      </c>
      <c r="R382" s="13" t="str">
        <f>IF(MacReports!L382="y","Remote Locked","")</f>
        <v/>
      </c>
      <c r="S382" t="str">
        <f t="shared" si="13"/>
        <v>Battery Defect, 0</v>
      </c>
      <c r="T382" t="str">
        <f>_xlfn.XLOOKUP(B382,Disk_Pivot!G:G,Disk_Pivot!I:I)</f>
        <v>Yes</v>
      </c>
      <c r="U382" t="str">
        <f>_xlfn.XLOOKUP(B382,Disk_Pivot!G:G,Disk_Pivot!N:N)</f>
        <v>Fail</v>
      </c>
      <c r="V382">
        <f>IF(U382="Fail",MacReports!N382,"")</f>
        <v>0</v>
      </c>
      <c r="AB382" t="str">
        <f t="shared" si="14"/>
        <v/>
      </c>
    </row>
    <row r="383" spans="1:28">
      <c r="A383">
        <f>MacReports!A383</f>
        <v>0</v>
      </c>
      <c r="B383">
        <f>MacReports!B383</f>
        <v>0</v>
      </c>
      <c r="C383">
        <f>MacReports!C383</f>
        <v>0</v>
      </c>
      <c r="E383" t="e">
        <f>_xlfn.XLOOKUP(G383,Models!A:A,Models!F:F)</f>
        <v>#N/A</v>
      </c>
      <c r="F383" t="str">
        <f>_xlfn.XLOOKUP(B383,MacReports!B:B,MacReports!D:D,"")</f>
        <v/>
      </c>
      <c r="G383" s="13">
        <f>MacReports!E383</f>
        <v>0</v>
      </c>
      <c r="H383" t="e">
        <f>_xlfn.XLOOKUP(G383,Models!A:A,Models!B:B)</f>
        <v>#N/A</v>
      </c>
      <c r="I383" t="e">
        <f>_xlfn.XLOOKUP(G383,Models!A:A,Models!E:E)</f>
        <v>#N/A</v>
      </c>
      <c r="J383" t="e">
        <f>_xlfn.XLOOKUP(G383,Models!A:A,Models!D:D)</f>
        <v>#N/A</v>
      </c>
      <c r="K383">
        <f>MacReports!F383</f>
        <v>0</v>
      </c>
      <c r="L383">
        <f>MacReports!G383</f>
        <v>0</v>
      </c>
      <c r="M383" s="15" t="e" cm="1">
        <f t="array" ref="M383">--_xlfn.LET(
    _xlpm.txt, MacReports!H383,
    _xlpm.chars, MID(_xlpm.txt, _xlfn.SEQUENCE(LEN(_xlpm.txt)), 1),
    _xlfn.TEXTJOIN("", TRUE, IF(ISNUMBER(--_xlpm.chars), _xlpm.chars, ""))
)</f>
        <v>#VALUE!</v>
      </c>
      <c r="N383" s="16" t="str" cm="1">
        <f t="array" ref="N383">_xlfn.IFS(
   --MacReports!M383&lt;55,"Battery Defect",
  -- MacReports!M383&lt;=69,"Battery D",
  --MacReports!M383&lt;=80,"Battery C",
 --MacReports!M383&gt;80,""
)</f>
        <v>Battery Defect</v>
      </c>
      <c r="O383" s="16" t="str">
        <f>IF(MacReports!I383="Service","Battery Service","")</f>
        <v/>
      </c>
      <c r="P383" s="13">
        <f>MacReports!P383</f>
        <v>0</v>
      </c>
      <c r="Q383" s="13" t="str">
        <f>IF(MacReports!J383="Enabled","Apple ID Lock","")</f>
        <v/>
      </c>
      <c r="R383" s="13" t="str">
        <f>IF(MacReports!L383="y","Remote Locked","")</f>
        <v/>
      </c>
      <c r="S383" t="str">
        <f t="shared" si="13"/>
        <v>Battery Defect, 0</v>
      </c>
      <c r="T383" t="str">
        <f>_xlfn.XLOOKUP(B383,Disk_Pivot!G:G,Disk_Pivot!I:I)</f>
        <v>Yes</v>
      </c>
      <c r="U383" t="str">
        <f>_xlfn.XLOOKUP(B383,Disk_Pivot!G:G,Disk_Pivot!N:N)</f>
        <v>Fail</v>
      </c>
      <c r="V383">
        <f>IF(U383="Fail",MacReports!N383,"")</f>
        <v>0</v>
      </c>
      <c r="AB383" t="str">
        <f t="shared" si="14"/>
        <v/>
      </c>
    </row>
    <row r="384" spans="1:28">
      <c r="A384">
        <f>MacReports!A384</f>
        <v>0</v>
      </c>
      <c r="B384">
        <f>MacReports!B384</f>
        <v>0</v>
      </c>
      <c r="C384">
        <f>MacReports!C384</f>
        <v>0</v>
      </c>
      <c r="E384" t="e">
        <f>_xlfn.XLOOKUP(G384,Models!A:A,Models!F:F)</f>
        <v>#N/A</v>
      </c>
      <c r="F384" t="str">
        <f>_xlfn.XLOOKUP(B384,MacReports!B:B,MacReports!D:D,"")</f>
        <v/>
      </c>
      <c r="G384" s="13">
        <f>MacReports!E384</f>
        <v>0</v>
      </c>
      <c r="H384" t="e">
        <f>_xlfn.XLOOKUP(G384,Models!A:A,Models!B:B)</f>
        <v>#N/A</v>
      </c>
      <c r="I384" t="e">
        <f>_xlfn.XLOOKUP(G384,Models!A:A,Models!E:E)</f>
        <v>#N/A</v>
      </c>
      <c r="J384" t="e">
        <f>_xlfn.XLOOKUP(G384,Models!A:A,Models!D:D)</f>
        <v>#N/A</v>
      </c>
      <c r="K384">
        <f>MacReports!F384</f>
        <v>0</v>
      </c>
      <c r="L384">
        <f>MacReports!G384</f>
        <v>0</v>
      </c>
      <c r="M384" s="15" t="e" cm="1">
        <f t="array" ref="M384">--_xlfn.LET(
    _xlpm.txt, MacReports!H384,
    _xlpm.chars, MID(_xlpm.txt, _xlfn.SEQUENCE(LEN(_xlpm.txt)), 1),
    _xlfn.TEXTJOIN("", TRUE, IF(ISNUMBER(--_xlpm.chars), _xlpm.chars, ""))
)</f>
        <v>#VALUE!</v>
      </c>
      <c r="N384" s="16" t="str" cm="1">
        <f t="array" ref="N384">_xlfn.IFS(
   --MacReports!M384&lt;55,"Battery Defect",
  -- MacReports!M384&lt;=69,"Battery D",
  --MacReports!M384&lt;=80,"Battery C",
 --MacReports!M384&gt;80,""
)</f>
        <v>Battery Defect</v>
      </c>
      <c r="O384" s="16" t="str">
        <f>IF(MacReports!I384="Service","Battery Service","")</f>
        <v/>
      </c>
      <c r="P384" s="13">
        <f>MacReports!P384</f>
        <v>0</v>
      </c>
      <c r="Q384" s="13" t="str">
        <f>IF(MacReports!J384="Enabled","Apple ID Lock","")</f>
        <v/>
      </c>
      <c r="R384" s="13" t="str">
        <f>IF(MacReports!L384="y","Remote Locked","")</f>
        <v/>
      </c>
      <c r="S384" t="str">
        <f t="shared" si="13"/>
        <v>Battery Defect, 0</v>
      </c>
      <c r="T384" t="str">
        <f>_xlfn.XLOOKUP(B384,Disk_Pivot!G:G,Disk_Pivot!I:I)</f>
        <v>Yes</v>
      </c>
      <c r="U384" t="str">
        <f>_xlfn.XLOOKUP(B384,Disk_Pivot!G:G,Disk_Pivot!N:N)</f>
        <v>Fail</v>
      </c>
      <c r="V384">
        <f>IF(U384="Fail",MacReports!N384,"")</f>
        <v>0</v>
      </c>
      <c r="AB384" t="str">
        <f t="shared" si="14"/>
        <v/>
      </c>
    </row>
    <row r="385" spans="1:28">
      <c r="A385">
        <f>MacReports!A385</f>
        <v>0</v>
      </c>
      <c r="B385">
        <f>MacReports!B385</f>
        <v>0</v>
      </c>
      <c r="C385">
        <f>MacReports!C385</f>
        <v>0</v>
      </c>
      <c r="E385" t="e">
        <f>_xlfn.XLOOKUP(G385,Models!A:A,Models!F:F)</f>
        <v>#N/A</v>
      </c>
      <c r="F385" t="str">
        <f>_xlfn.XLOOKUP(B385,MacReports!B:B,MacReports!D:D,"")</f>
        <v/>
      </c>
      <c r="G385" s="13">
        <f>MacReports!E385</f>
        <v>0</v>
      </c>
      <c r="H385" t="e">
        <f>_xlfn.XLOOKUP(G385,Models!A:A,Models!B:B)</f>
        <v>#N/A</v>
      </c>
      <c r="I385" t="e">
        <f>_xlfn.XLOOKUP(G385,Models!A:A,Models!E:E)</f>
        <v>#N/A</v>
      </c>
      <c r="J385" t="e">
        <f>_xlfn.XLOOKUP(G385,Models!A:A,Models!D:D)</f>
        <v>#N/A</v>
      </c>
      <c r="K385">
        <f>MacReports!F385</f>
        <v>0</v>
      </c>
      <c r="L385">
        <f>MacReports!G385</f>
        <v>0</v>
      </c>
      <c r="M385" s="15" t="e" cm="1">
        <f t="array" ref="M385">--_xlfn.LET(
    _xlpm.txt, MacReports!H385,
    _xlpm.chars, MID(_xlpm.txt, _xlfn.SEQUENCE(LEN(_xlpm.txt)), 1),
    _xlfn.TEXTJOIN("", TRUE, IF(ISNUMBER(--_xlpm.chars), _xlpm.chars, ""))
)</f>
        <v>#VALUE!</v>
      </c>
      <c r="N385" s="16" t="str" cm="1">
        <f t="array" ref="N385">_xlfn.IFS(
   --MacReports!M385&lt;55,"Battery Defect",
  -- MacReports!M385&lt;=69,"Battery D",
  --MacReports!M385&lt;=80,"Battery C",
 --MacReports!M385&gt;80,""
)</f>
        <v>Battery Defect</v>
      </c>
      <c r="O385" s="16" t="str">
        <f>IF(MacReports!I385="Service","Battery Service","")</f>
        <v/>
      </c>
      <c r="P385" s="13">
        <f>MacReports!P385</f>
        <v>0</v>
      </c>
      <c r="Q385" s="13" t="str">
        <f>IF(MacReports!J385="Enabled","Apple ID Lock","")</f>
        <v/>
      </c>
      <c r="R385" s="13" t="str">
        <f>IF(MacReports!L385="y","Remote Locked","")</f>
        <v/>
      </c>
      <c r="S385" t="str">
        <f t="shared" si="13"/>
        <v>Battery Defect, 0</v>
      </c>
      <c r="T385" t="str">
        <f>_xlfn.XLOOKUP(B385,Disk_Pivot!G:G,Disk_Pivot!I:I)</f>
        <v>Yes</v>
      </c>
      <c r="U385" t="str">
        <f>_xlfn.XLOOKUP(B385,Disk_Pivot!G:G,Disk_Pivot!N:N)</f>
        <v>Fail</v>
      </c>
      <c r="V385">
        <f>IF(U385="Fail",MacReports!N385,"")</f>
        <v>0</v>
      </c>
      <c r="AB385" t="str">
        <f t="shared" si="14"/>
        <v/>
      </c>
    </row>
    <row r="386" spans="1:28">
      <c r="A386">
        <f>MacReports!A386</f>
        <v>0</v>
      </c>
      <c r="B386">
        <f>MacReports!B386</f>
        <v>0</v>
      </c>
      <c r="C386">
        <f>MacReports!C386</f>
        <v>0</v>
      </c>
      <c r="E386" t="e">
        <f>_xlfn.XLOOKUP(G386,Models!A:A,Models!F:F)</f>
        <v>#N/A</v>
      </c>
      <c r="F386" t="str">
        <f>_xlfn.XLOOKUP(B386,MacReports!B:B,MacReports!D:D,"")</f>
        <v/>
      </c>
      <c r="G386" s="13">
        <f>MacReports!E386</f>
        <v>0</v>
      </c>
      <c r="H386" t="e">
        <f>_xlfn.XLOOKUP(G386,Models!A:A,Models!B:B)</f>
        <v>#N/A</v>
      </c>
      <c r="I386" t="e">
        <f>_xlfn.XLOOKUP(G386,Models!A:A,Models!E:E)</f>
        <v>#N/A</v>
      </c>
      <c r="J386" t="e">
        <f>_xlfn.XLOOKUP(G386,Models!A:A,Models!D:D)</f>
        <v>#N/A</v>
      </c>
      <c r="K386">
        <f>MacReports!F386</f>
        <v>0</v>
      </c>
      <c r="L386">
        <f>MacReports!G386</f>
        <v>0</v>
      </c>
      <c r="M386" s="15" t="e" cm="1">
        <f t="array" ref="M386">--_xlfn.LET(
    _xlpm.txt, MacReports!H386,
    _xlpm.chars, MID(_xlpm.txt, _xlfn.SEQUENCE(LEN(_xlpm.txt)), 1),
    _xlfn.TEXTJOIN("", TRUE, IF(ISNUMBER(--_xlpm.chars), _xlpm.chars, ""))
)</f>
        <v>#VALUE!</v>
      </c>
      <c r="N386" s="16" t="str" cm="1">
        <f t="array" ref="N386">_xlfn.IFS(
   --MacReports!M386&lt;55,"Battery Defect",
  -- MacReports!M386&lt;=69,"Battery D",
  --MacReports!M386&lt;=80,"Battery C",
 --MacReports!M386&gt;80,""
)</f>
        <v>Battery Defect</v>
      </c>
      <c r="O386" s="16" t="str">
        <f>IF(MacReports!I386="Service","Battery Service","")</f>
        <v/>
      </c>
      <c r="P386" s="13">
        <f>MacReports!P386</f>
        <v>0</v>
      </c>
      <c r="Q386" s="13" t="str">
        <f>IF(MacReports!J386="Enabled","Apple ID Lock","")</f>
        <v/>
      </c>
      <c r="R386" s="13" t="str">
        <f>IF(MacReports!L386="y","Remote Locked","")</f>
        <v/>
      </c>
      <c r="S386" t="str">
        <f t="shared" si="13"/>
        <v>Battery Defect, 0</v>
      </c>
      <c r="T386" t="str">
        <f>_xlfn.XLOOKUP(B386,Disk_Pivot!G:G,Disk_Pivot!I:I)</f>
        <v>Yes</v>
      </c>
      <c r="U386" t="str">
        <f>_xlfn.XLOOKUP(B386,Disk_Pivot!G:G,Disk_Pivot!N:N)</f>
        <v>Fail</v>
      </c>
      <c r="V386">
        <f>IF(U386="Fail",MacReports!N386,"")</f>
        <v>0</v>
      </c>
      <c r="AB386" t="str">
        <f t="shared" si="14"/>
        <v/>
      </c>
    </row>
    <row r="387" spans="1:28">
      <c r="A387">
        <f>MacReports!A387</f>
        <v>0</v>
      </c>
      <c r="B387">
        <f>MacReports!B387</f>
        <v>0</v>
      </c>
      <c r="C387">
        <f>MacReports!C387</f>
        <v>0</v>
      </c>
      <c r="E387" t="e">
        <f>_xlfn.XLOOKUP(G387,Models!A:A,Models!F:F)</f>
        <v>#N/A</v>
      </c>
      <c r="F387" t="str">
        <f>_xlfn.XLOOKUP(B387,MacReports!B:B,MacReports!D:D,"")</f>
        <v/>
      </c>
      <c r="G387" s="13">
        <f>MacReports!E387</f>
        <v>0</v>
      </c>
      <c r="H387" t="e">
        <f>_xlfn.XLOOKUP(G387,Models!A:A,Models!B:B)</f>
        <v>#N/A</v>
      </c>
      <c r="I387" t="e">
        <f>_xlfn.XLOOKUP(G387,Models!A:A,Models!E:E)</f>
        <v>#N/A</v>
      </c>
      <c r="J387" t="e">
        <f>_xlfn.XLOOKUP(G387,Models!A:A,Models!D:D)</f>
        <v>#N/A</v>
      </c>
      <c r="K387">
        <f>MacReports!F387</f>
        <v>0</v>
      </c>
      <c r="L387">
        <f>MacReports!G387</f>
        <v>0</v>
      </c>
      <c r="M387" s="15" t="e" cm="1">
        <f t="array" ref="M387">--_xlfn.LET(
    _xlpm.txt, MacReports!H387,
    _xlpm.chars, MID(_xlpm.txt, _xlfn.SEQUENCE(LEN(_xlpm.txt)), 1),
    _xlfn.TEXTJOIN("", TRUE, IF(ISNUMBER(--_xlpm.chars), _xlpm.chars, ""))
)</f>
        <v>#VALUE!</v>
      </c>
      <c r="N387" s="16" t="str" cm="1">
        <f t="array" ref="N387">_xlfn.IFS(
   --MacReports!M387&lt;55,"Battery Defect",
  -- MacReports!M387&lt;=69,"Battery D",
  --MacReports!M387&lt;=80,"Battery C",
 --MacReports!M387&gt;80,""
)</f>
        <v>Battery Defect</v>
      </c>
      <c r="O387" s="16" t="str">
        <f>IF(MacReports!I387="Service","Battery Service","")</f>
        <v/>
      </c>
      <c r="P387" s="13">
        <f>MacReports!P387</f>
        <v>0</v>
      </c>
      <c r="Q387" s="13" t="str">
        <f>IF(MacReports!J387="Enabled","Apple ID Lock","")</f>
        <v/>
      </c>
      <c r="R387" s="13" t="str">
        <f>IF(MacReports!L387="y","Remote Locked","")</f>
        <v/>
      </c>
      <c r="S387" t="str">
        <f t="shared" si="13"/>
        <v>Battery Defect, 0</v>
      </c>
      <c r="T387" t="str">
        <f>_xlfn.XLOOKUP(B387,Disk_Pivot!G:G,Disk_Pivot!I:I)</f>
        <v>Yes</v>
      </c>
      <c r="U387" t="str">
        <f>_xlfn.XLOOKUP(B387,Disk_Pivot!G:G,Disk_Pivot!N:N)</f>
        <v>Fail</v>
      </c>
      <c r="V387">
        <f>IF(U387="Fail",MacReports!N387,"")</f>
        <v>0</v>
      </c>
      <c r="AB387" t="str">
        <f t="shared" si="14"/>
        <v/>
      </c>
    </row>
    <row r="388" spans="1:28">
      <c r="F388" t="str">
        <f>_xlfn.XLOOKUP(B388,MacReports!B:B,MacReports!D:D,"")</f>
        <v/>
      </c>
    </row>
    <row r="389" spans="1:28">
      <c r="F389" t="str">
        <f>_xlfn.XLOOKUP(B389,MacReports!B:B,MacReports!D:D,"")</f>
        <v/>
      </c>
    </row>
    <row r="390" spans="1:28">
      <c r="F390" t="str">
        <f>_xlfn.XLOOKUP(B390,MacReports!B:B,MacReports!D:D,"")</f>
        <v/>
      </c>
    </row>
    <row r="391" spans="1:28">
      <c r="F391" t="str">
        <f>_xlfn.XLOOKUP(B391,MacReports!B:B,MacReports!D:D,"")</f>
        <v/>
      </c>
    </row>
    <row r="392" spans="1:28">
      <c r="F392" t="str">
        <f>_xlfn.XLOOKUP(B392,MacReports!B:B,MacReports!D:D,"")</f>
        <v/>
      </c>
    </row>
    <row r="393" spans="1:28">
      <c r="F393" t="str">
        <f>_xlfn.XLOOKUP(B393,MacReports!B:B,MacReports!D:D,"")</f>
        <v/>
      </c>
    </row>
    <row r="394" spans="1:28">
      <c r="F394" t="str">
        <f>_xlfn.XLOOKUP(B394,MacReports!B:B,MacReports!D:D,"")</f>
        <v/>
      </c>
    </row>
    <row r="395" spans="1:28">
      <c r="F395" t="str">
        <f>_xlfn.XLOOKUP(B395,MacReports!B:B,MacReports!D:D,"")</f>
        <v/>
      </c>
    </row>
    <row r="396" spans="1:28">
      <c r="F396" t="str">
        <f>_xlfn.XLOOKUP(B396,MacReports!B:B,MacReports!D:D,"")</f>
        <v/>
      </c>
    </row>
    <row r="397" spans="1:28">
      <c r="F397" t="str">
        <f>_xlfn.XLOOKUP(B397,MacReports!B:B,MacReports!D:D,"")</f>
        <v/>
      </c>
    </row>
    <row r="398" spans="1:28">
      <c r="F398" t="str">
        <f>_xlfn.XLOOKUP(B398,MacReports!B:B,MacReports!D:D,"")</f>
        <v/>
      </c>
    </row>
    <row r="399" spans="1:28">
      <c r="F399" t="str">
        <f>_xlfn.XLOOKUP(B399,MacReports!B:B,MacReports!D:D,"")</f>
        <v/>
      </c>
    </row>
    <row r="400" spans="1:28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 t="str">
        <f>_xlfn.XLOOKUP(B410,MacReports!B:B,MacReports!D:D,"")</f>
        <v/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 t="str">
        <f>_xlfn.XLOOKUP(B416,MacReports!B:B,MacReports!D:D,"")</f>
        <v/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 t="str">
        <f>_xlfn.XLOOKUP(B458,MacReports!B:B,MacReports!D:D,"")</f>
        <v/>
      </c>
    </row>
    <row r="459" spans="6:6">
      <c r="F459" t="str">
        <f>_xlfn.XLOOKUP(B459,MacReports!B:B,MacReports!D:D,"")</f>
        <v/>
      </c>
    </row>
    <row r="460" spans="6:6">
      <c r="F460" t="str">
        <f>_xlfn.XLOOKUP(B460,MacReports!B:B,MacReports!D:D,"")</f>
        <v/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 t="str">
        <f>_xlfn.XLOOKUP(B470,MacReports!B:B,MacReports!D:D,"")</f>
        <v/>
      </c>
    </row>
    <row r="471" spans="6:6">
      <c r="F471" t="str">
        <f>_xlfn.XLOOKUP(B471,MacReports!B:B,MacReports!D:D,"")</f>
        <v/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 t="str">
        <f>_xlfn.XLOOKUP(B478,MacReports!B:B,MacReports!D:D,"")</f>
        <v/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 t="str">
        <f>_xlfn.XLOOKUP(B485,MacReports!B:B,MacReports!D:D,"")</f>
        <v/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 t="str">
        <f>_xlfn.XLOOKUP(B496,MacReports!B:B,MacReports!D:D,"")</f>
        <v/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 t="str">
        <f>_xlfn.XLOOKUP(B503,MacReports!B:B,MacReports!D:D,"")</f>
        <v/>
      </c>
    </row>
    <row r="504" spans="6:6">
      <c r="F504" t="str">
        <f>_xlfn.XLOOKUP(B504,MacReports!B:B,MacReports!D:D,"")</f>
        <v/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 t="str">
        <f>_xlfn.XLOOKUP(B509,MacReports!B:B,MacReports!D:D,"")</f>
        <v/>
      </c>
    </row>
    <row r="510" spans="6:6">
      <c r="F510" t="str">
        <f>_xlfn.XLOOKUP(B510,MacReports!B:B,MacReports!D:D,"")</f>
        <v/>
      </c>
    </row>
    <row r="511" spans="6:6">
      <c r="F511" t="str">
        <f>_xlfn.XLOOKUP(B511,MacReports!B:B,MacReports!D:D,"")</f>
        <v/>
      </c>
    </row>
    <row r="512" spans="6:6">
      <c r="F512" t="str">
        <f>_xlfn.XLOOKUP(B512,MacReports!B:B,MacReports!D:D,"")</f>
        <v/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 t="str">
        <f>_xlfn.XLOOKUP(B517,MacReports!B:B,MacReports!D:D,"")</f>
        <v/>
      </c>
    </row>
    <row r="518" spans="6:6">
      <c r="F518" t="str">
        <f>_xlfn.XLOOKUP(B518,MacReports!B:B,MacReports!D:D,"")</f>
        <v/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 t="str">
        <f>_xlfn.XLOOKUP(B528,MacReports!B:B,MacReports!D:D,"")</f>
        <v/>
      </c>
    </row>
    <row r="529" spans="6:6">
      <c r="F529" t="str">
        <f>_xlfn.XLOOKUP(B529,MacReports!B:B,MacReports!D:D,"")</f>
        <v/>
      </c>
    </row>
    <row r="530" spans="6:6">
      <c r="F530" t="str">
        <f>_xlfn.XLOOKUP(B530,MacReports!B:B,MacReports!D:D,"")</f>
        <v/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 t="str">
        <f>_xlfn.XLOOKUP(B536,MacReports!B:B,MacReports!D:D,"")</f>
        <v/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 t="str">
        <f>_xlfn.XLOOKUP(B541,MacReports!B:B,MacReports!D:D,"")</f>
        <v/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 t="str">
        <f>_xlfn.XLOOKUP(B546,MacReports!B:B,MacReports!D:D,"")</f>
        <v/>
      </c>
    </row>
    <row r="547" spans="6:6">
      <c r="F547" t="str">
        <f>_xlfn.XLOOKUP(B547,MacReports!B:B,MacReports!D:D,"")</f>
        <v/>
      </c>
    </row>
    <row r="548" spans="6:6">
      <c r="F548" t="str">
        <f>_xlfn.XLOOKUP(B548,MacReports!B:B,MacReports!D:D,"")</f>
        <v/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 t="str">
        <f>_xlfn.XLOOKUP(B553,MacReports!B:B,MacReports!D:D,"")</f>
        <v/>
      </c>
    </row>
    <row r="554" spans="6:6">
      <c r="F554" t="str">
        <f>_xlfn.XLOOKUP(B554,MacReports!B:B,MacReports!D:D,"")</f>
        <v/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 t="str">
        <f>_xlfn.XLOOKUP(B560,MacReports!B:B,MacReports!D:D,"")</f>
        <v/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 t="str">
        <f>_xlfn.XLOOKUP(B564,MacReports!B:B,MacReports!D:D,"")</f>
        <v/>
      </c>
    </row>
    <row r="565" spans="6:6">
      <c r="F565" t="str">
        <f>_xlfn.XLOOKUP(B565,MacReports!B:B,MacReports!D:D,"")</f>
        <v/>
      </c>
    </row>
    <row r="566" spans="6:6">
      <c r="F566" t="str">
        <f>_xlfn.XLOOKUP(B566,MacReports!B:B,MacReports!D:D,"")</f>
        <v/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 t="str">
        <f>_xlfn.XLOOKUP(B571,MacReports!B:B,MacReports!D:D,"")</f>
        <v/>
      </c>
    </row>
    <row r="572" spans="6:6">
      <c r="F572" t="str">
        <f>_xlfn.XLOOKUP(B572,MacReports!B:B,MacReports!D:D,"")</f>
        <v/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 t="str">
        <f>_xlfn.XLOOKUP(B577,MacReports!B:B,MacReports!D:D,"")</f>
        <v/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 t="str">
        <f>_xlfn.XLOOKUP(B582,MacReports!B:B,MacReports!D:D,"")</f>
        <v/>
      </c>
    </row>
    <row r="583" spans="6:6">
      <c r="F583" t="str">
        <f>_xlfn.XLOOKUP(B583,MacReports!B:B,MacReports!D:D,"")</f>
        <v/>
      </c>
    </row>
    <row r="584" spans="6:6">
      <c r="F584" t="str">
        <f>_xlfn.XLOOKUP(B584,MacReports!B:B,MacReports!D:D,"")</f>
        <v/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 t="str">
        <f>_xlfn.XLOOKUP(B589,MacReports!B:B,MacReports!D:D,"")</f>
        <v/>
      </c>
    </row>
    <row r="590" spans="6:6">
      <c r="F590" t="str">
        <f>_xlfn.XLOOKUP(B590,MacReports!B:B,MacReports!D:D,"")</f>
        <v/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 t="str">
        <f>_xlfn.XLOOKUP(B595,MacReports!B:B,MacReports!D:D,"")</f>
        <v/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 t="str">
        <f>_xlfn.XLOOKUP(B600,MacReports!B:B,MacReports!D:D,"")</f>
        <v/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 t="str">
        <f>_xlfn.XLOOKUP(B607,MacReports!B:B,MacReports!D:D,"")</f>
        <v/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 t="str">
        <f>_xlfn.XLOOKUP(B614,MacReports!B:B,MacReports!D:D,"")</f>
        <v/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 t="str">
        <f>_xlfn.XLOOKUP(B618,MacReports!B:B,MacReports!D:D,"")</f>
        <v/>
      </c>
    </row>
    <row r="619" spans="6:6">
      <c r="F619" t="str">
        <f>_xlfn.XLOOKUP(B619,MacReports!B:B,MacReports!D:D,"")</f>
        <v/>
      </c>
    </row>
    <row r="620" spans="6:6">
      <c r="F620" t="str">
        <f>_xlfn.XLOOKUP(B620,MacReports!B:B,MacReports!D:D,"")</f>
        <v/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 t="str">
        <f>_xlfn.XLOOKUP(B625,MacReports!B:B,MacReports!D:D,"")</f>
        <v/>
      </c>
    </row>
    <row r="626" spans="6:6">
      <c r="F626" t="str">
        <f>_xlfn.XLOOKUP(B626,MacReports!B:B,MacReports!D:D,"")</f>
        <v/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 t="str">
        <f>_xlfn.XLOOKUP(B631,MacReports!B:B,MacReports!D:D,"")</f>
        <v/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 t="str">
        <f>_xlfn.XLOOKUP(B636,MacReports!B:B,MacReports!D:D,"")</f>
        <v/>
      </c>
    </row>
    <row r="637" spans="6:6">
      <c r="F637" t="str">
        <f>_xlfn.XLOOKUP(B637,MacReports!B:B,MacReports!D:D,"")</f>
        <v/>
      </c>
    </row>
    <row r="638" spans="6:6">
      <c r="F638" t="str">
        <f>_xlfn.XLOOKUP(B638,MacReports!B:B,MacReports!D:D,"")</f>
        <v/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 t="str">
        <f>_xlfn.XLOOKUP(B644,MacReports!B:B,MacReports!D:D,"")</f>
        <v/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 t="str">
        <f>_xlfn.XLOOKUP(B654,MacReports!B:B,MacReports!D:D,"")</f>
        <v/>
      </c>
    </row>
    <row r="655" spans="6:6">
      <c r="F655" t="str">
        <f>_xlfn.XLOOKUP(B655,MacReports!B:B,MacReports!D:D,"")</f>
        <v/>
      </c>
    </row>
    <row r="656" spans="6:6">
      <c r="F656" t="str">
        <f>_xlfn.XLOOKUP(B656,MacReports!B:B,MacReports!D:D,"")</f>
        <v/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 t="str">
        <f>_xlfn.XLOOKUP(B661,MacReports!B:B,MacReports!D:D,"")</f>
        <v/>
      </c>
    </row>
    <row r="662" spans="6:6">
      <c r="F662" t="str">
        <f>_xlfn.XLOOKUP(B662,MacReports!B:B,MacReports!D:D,"")</f>
        <v/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 t="str">
        <f>_xlfn.XLOOKUP(B667,MacReports!B:B,MacReports!D:D,"")</f>
        <v/>
      </c>
    </row>
    <row r="668" spans="6:6">
      <c r="F668" t="str">
        <f>_xlfn.XLOOKUP(B668,MacReports!B:B,MacReports!D:D,"")</f>
        <v/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 t="str">
        <f>_xlfn.XLOOKUP(B672,MacReports!B:B,MacReports!D:D,"")</f>
        <v/>
      </c>
    </row>
    <row r="673" spans="6:6">
      <c r="F673" t="str">
        <f>_xlfn.XLOOKUP(B673,MacReports!B:B,MacReports!D:D,"")</f>
        <v/>
      </c>
    </row>
    <row r="674" spans="6:6">
      <c r="F674" t="str">
        <f>_xlfn.XLOOKUP(B674,MacReports!B:B,MacReports!D:D,"")</f>
        <v/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 t="str">
        <f>_xlfn.XLOOKUP(B679,MacReports!B:B,MacReports!D:D,"")</f>
        <v/>
      </c>
    </row>
    <row r="680" spans="6:6">
      <c r="F680" t="str">
        <f>_xlfn.XLOOKUP(B680,MacReports!B:B,MacReports!D:D,"")</f>
        <v/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 t="str">
        <f>_xlfn.XLOOKUP(B685,MacReports!B:B,MacReports!D:D,"")</f>
        <v/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 t="str">
        <f>_xlfn.XLOOKUP(B690,MacReports!B:B,MacReports!D:D,"")</f>
        <v/>
      </c>
    </row>
    <row r="691" spans="6:6">
      <c r="F691" t="str">
        <f>_xlfn.XLOOKUP(B691,MacReports!B:B,MacReports!D:D,"")</f>
        <v/>
      </c>
    </row>
    <row r="692" spans="6:6">
      <c r="F692" t="str">
        <f>_xlfn.XLOOKUP(B692,MacReports!B:B,MacReports!D:D,"")</f>
        <v/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 t="str">
        <f>_xlfn.XLOOKUP(B697,MacReports!B:B,MacReports!D:D,"")</f>
        <v/>
      </c>
    </row>
    <row r="698" spans="6:6">
      <c r="F698" t="str">
        <f>_xlfn.XLOOKUP(B698,MacReports!B:B,MacReports!D:D,"")</f>
        <v/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 t="str">
        <f>_xlfn.XLOOKUP(B703,MacReports!B:B,MacReports!D:D,"")</f>
        <v/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 t="str">
        <f>_xlfn.XLOOKUP(B708,MacReports!B:B,MacReports!D:D,"")</f>
        <v/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 t="str">
        <f>_xlfn.XLOOKUP(B715,MacReports!B:B,MacReports!D:D,"")</f>
        <v/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 t="str">
        <f>_xlfn.XLOOKUP(B721,MacReports!B:B,MacReports!D:D,"")</f>
        <v/>
      </c>
    </row>
    <row r="722" spans="6:6">
      <c r="F722" t="str">
        <f>_xlfn.XLOOKUP(B722,MacReports!B:B,MacReports!D:D,"")</f>
        <v/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 t="str">
        <f>_xlfn.XLOOKUP(B726,MacReports!B:B,MacReports!D:D,"")</f>
        <v/>
      </c>
    </row>
    <row r="727" spans="6:6">
      <c r="F727" t="str">
        <f>_xlfn.XLOOKUP(B727,MacReports!B:B,MacReports!D:D,"")</f>
        <v/>
      </c>
    </row>
    <row r="728" spans="6:6">
      <c r="F728" t="str">
        <f>_xlfn.XLOOKUP(B728,MacReports!B:B,MacReports!D:D,"")</f>
        <v/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 t="str">
        <f>_xlfn.XLOOKUP(B733,MacReports!B:B,MacReports!D:D,"")</f>
        <v/>
      </c>
    </row>
    <row r="734" spans="6:6">
      <c r="F734" t="str">
        <f>_xlfn.XLOOKUP(B734,MacReports!B:B,MacReports!D:D,"")</f>
        <v/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 t="str">
        <f>_xlfn.XLOOKUP(B744,MacReports!B:B,MacReports!D:D,"")</f>
        <v/>
      </c>
    </row>
    <row r="745" spans="6:6">
      <c r="F745" t="str">
        <f>_xlfn.XLOOKUP(B745,MacReports!B:B,MacReports!D:D,"")</f>
        <v/>
      </c>
    </row>
    <row r="746" spans="6:6">
      <c r="F746" t="str">
        <f>_xlfn.XLOOKUP(B746,MacReports!B:B,MacReports!D:D,"")</f>
        <v/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 t="str">
        <f>_xlfn.XLOOKUP(B752,MacReports!B:B,MacReports!D:D,"")</f>
        <v/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 t="str">
        <f>_xlfn.XLOOKUP(B757,MacReports!B:B,MacReports!D:D,"")</f>
        <v/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 t="str">
        <f>_xlfn.XLOOKUP(B762,MacReports!B:B,MacReports!D:D,"")</f>
        <v/>
      </c>
    </row>
    <row r="763" spans="6:6">
      <c r="F763" t="str">
        <f>_xlfn.XLOOKUP(B763,MacReports!B:B,MacReports!D:D,"")</f>
        <v/>
      </c>
    </row>
    <row r="764" spans="6:6">
      <c r="F764" t="str">
        <f>_xlfn.XLOOKUP(B764,MacReports!B:B,MacReports!D:D,"")</f>
        <v/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 t="str">
        <f>_xlfn.XLOOKUP(B769,MacReports!B:B,MacReports!D:D,"")</f>
        <v/>
      </c>
    </row>
    <row r="770" spans="6:6">
      <c r="F770" t="str">
        <f>_xlfn.XLOOKUP(B770,MacReports!B:B,MacReports!D:D,"")</f>
        <v/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 t="str">
        <f>_xlfn.XLOOKUP(B775,MacReports!B:B,MacReports!D:D,"")</f>
        <v/>
      </c>
    </row>
    <row r="776" spans="6:6">
      <c r="F776" t="str">
        <f>_xlfn.XLOOKUP(B776,MacReports!B:B,MacReports!D:D,"")</f>
        <v/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 t="str">
        <f>_xlfn.XLOOKUP(B780,MacReports!B:B,MacReports!D:D,"")</f>
        <v/>
      </c>
    </row>
    <row r="781" spans="6:6">
      <c r="F781" t="str">
        <f>_xlfn.XLOOKUP(B781,MacReports!B:B,MacReports!D:D,"")</f>
        <v/>
      </c>
    </row>
    <row r="782" spans="6:6">
      <c r="F782" t="str">
        <f>_xlfn.XLOOKUP(B782,MacReports!B:B,MacReports!D:D,"")</f>
        <v/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 t="str">
        <f>_xlfn.XLOOKUP(B787,MacReports!B:B,MacReports!D:D,"")</f>
        <v/>
      </c>
    </row>
    <row r="788" spans="6:6">
      <c r="F788" t="str">
        <f>_xlfn.XLOOKUP(B788,MacReports!B:B,MacReports!D:D,"")</f>
        <v/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 t="str">
        <f>_xlfn.XLOOKUP(B793,MacReports!B:B,MacReports!D:D,"")</f>
        <v/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 t="str">
        <f>_xlfn.XLOOKUP(B798,MacReports!B:B,MacReports!D:D,"")</f>
        <v/>
      </c>
    </row>
    <row r="799" spans="6:6">
      <c r="F799" t="str">
        <f>_xlfn.XLOOKUP(B799,MacReports!B:B,MacReports!D:D,"")</f>
        <v/>
      </c>
    </row>
    <row r="800" spans="6:6">
      <c r="F800" t="str">
        <f>_xlfn.XLOOKUP(B800,MacReports!B:B,MacReports!D:D,"")</f>
        <v/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 t="str">
        <f>_xlfn.XLOOKUP(B805,MacReports!B:B,MacReports!D:D,"")</f>
        <v/>
      </c>
    </row>
    <row r="806" spans="6:6">
      <c r="F806" t="str">
        <f>_xlfn.XLOOKUP(B806,MacReports!B:B,MacReports!D:D,"")</f>
        <v/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 t="str">
        <f>_xlfn.XLOOKUP(B811,MacReports!B:B,MacReports!D:D,"")</f>
        <v/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4"/>
  <sheetViews>
    <sheetView workbookViewId="0">
      <selection activeCell="C17" sqref="C17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69</v>
      </c>
      <c r="B1" s="23" t="s">
        <v>70</v>
      </c>
      <c r="C1" s="23" t="s">
        <v>2</v>
      </c>
      <c r="D1" s="24" t="s">
        <v>71</v>
      </c>
      <c r="E1" s="25" t="s">
        <v>72</v>
      </c>
      <c r="F1" s="25" t="s">
        <v>73</v>
      </c>
      <c r="G1" s="26" t="s">
        <v>2</v>
      </c>
      <c r="H1" s="26" t="s">
        <v>280</v>
      </c>
    </row>
    <row r="2" spans="1:8" ht="15.75" thickBot="1">
      <c r="A2" s="20" t="s">
        <v>74</v>
      </c>
      <c r="B2" s="20" t="s">
        <v>511</v>
      </c>
      <c r="C2" s="20" t="s">
        <v>45</v>
      </c>
      <c r="D2" s="21">
        <v>2019</v>
      </c>
      <c r="E2" s="22">
        <v>16</v>
      </c>
      <c r="F2" s="22">
        <v>2</v>
      </c>
      <c r="G2" s="19" t="s">
        <v>45</v>
      </c>
      <c r="H2" s="19" t="s">
        <v>45</v>
      </c>
    </row>
    <row r="3" spans="1:8" ht="15.75" thickBot="1">
      <c r="A3" s="5" t="s">
        <v>75</v>
      </c>
      <c r="B3" s="5" t="s">
        <v>512</v>
      </c>
      <c r="C3" s="5" t="s">
        <v>45</v>
      </c>
      <c r="D3" s="8">
        <v>2020</v>
      </c>
      <c r="E3" s="9">
        <v>13</v>
      </c>
      <c r="F3" s="9">
        <v>1.4</v>
      </c>
      <c r="G3" s="19" t="s">
        <v>45</v>
      </c>
      <c r="H3" s="19" t="s">
        <v>44</v>
      </c>
    </row>
    <row r="4" spans="1:8" ht="15.75" thickBot="1">
      <c r="A4" s="5" t="s">
        <v>51</v>
      </c>
      <c r="B4" s="5" t="s">
        <v>513</v>
      </c>
      <c r="C4" s="5" t="s">
        <v>45</v>
      </c>
      <c r="D4" s="8">
        <v>2020</v>
      </c>
      <c r="E4" s="9">
        <v>13</v>
      </c>
      <c r="F4" s="9">
        <v>1.4</v>
      </c>
      <c r="G4" s="19" t="s">
        <v>45</v>
      </c>
      <c r="H4" s="19" t="s">
        <v>281</v>
      </c>
    </row>
    <row r="5" spans="1:8" ht="15.75" thickBot="1">
      <c r="A5" s="5" t="s">
        <v>76</v>
      </c>
      <c r="B5" s="5" t="s">
        <v>511</v>
      </c>
      <c r="C5" s="5" t="s">
        <v>45</v>
      </c>
      <c r="D5" s="8">
        <v>2019</v>
      </c>
      <c r="E5" s="9">
        <v>16</v>
      </c>
      <c r="F5" s="9">
        <v>2</v>
      </c>
      <c r="G5" s="19" t="s">
        <v>274</v>
      </c>
      <c r="H5" s="19" t="s">
        <v>274</v>
      </c>
    </row>
    <row r="6" spans="1:8" ht="15.75" thickBot="1">
      <c r="A6" s="5" t="s">
        <v>77</v>
      </c>
      <c r="B6" s="5" t="s">
        <v>514</v>
      </c>
      <c r="C6" s="5" t="s">
        <v>45</v>
      </c>
      <c r="D6" s="8">
        <v>2019</v>
      </c>
      <c r="E6" s="9">
        <v>13</v>
      </c>
      <c r="F6" s="9">
        <v>1.4</v>
      </c>
      <c r="G6" s="19" t="s">
        <v>274</v>
      </c>
      <c r="H6" s="19" t="s">
        <v>282</v>
      </c>
    </row>
    <row r="7" spans="1:8" ht="15.75" thickBot="1">
      <c r="A7" s="5" t="s">
        <v>78</v>
      </c>
      <c r="B7" s="5" t="s">
        <v>515</v>
      </c>
      <c r="C7" s="5" t="s">
        <v>45</v>
      </c>
      <c r="D7" s="8">
        <v>2019</v>
      </c>
      <c r="E7" s="9">
        <v>15</v>
      </c>
      <c r="F7" s="9">
        <v>1.8</v>
      </c>
    </row>
    <row r="8" spans="1:8" ht="15.75" thickBot="1">
      <c r="A8" s="5" t="s">
        <v>79</v>
      </c>
      <c r="B8" s="5" t="s">
        <v>516</v>
      </c>
      <c r="C8" s="5" t="s">
        <v>45</v>
      </c>
      <c r="D8" s="8">
        <v>2018</v>
      </c>
      <c r="E8" s="9">
        <v>13</v>
      </c>
      <c r="F8" s="9">
        <v>1.4</v>
      </c>
    </row>
    <row r="9" spans="1:8" ht="15.75" thickBot="1">
      <c r="A9" s="5" t="s">
        <v>79</v>
      </c>
      <c r="B9" s="5" t="s">
        <v>516</v>
      </c>
      <c r="C9" s="5" t="s">
        <v>45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79</v>
      </c>
      <c r="B10" s="5" t="s">
        <v>516</v>
      </c>
      <c r="C10" s="5" t="s">
        <v>45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79</v>
      </c>
      <c r="B11" s="5" t="s">
        <v>516</v>
      </c>
      <c r="C11" s="5" t="s">
        <v>45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80</v>
      </c>
      <c r="B12" s="5" t="s">
        <v>515</v>
      </c>
      <c r="C12" s="5" t="s">
        <v>45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80</v>
      </c>
      <c r="B13" s="5" t="s">
        <v>515</v>
      </c>
      <c r="C13" s="5" t="s">
        <v>45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80</v>
      </c>
      <c r="B14" s="5" t="s">
        <v>515</v>
      </c>
      <c r="C14" s="5" t="s">
        <v>45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80</v>
      </c>
      <c r="B15" s="5" t="s">
        <v>515</v>
      </c>
      <c r="C15" s="5" t="s">
        <v>45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80</v>
      </c>
      <c r="B16" s="5" t="s">
        <v>515</v>
      </c>
      <c r="C16" s="5" t="s">
        <v>45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80</v>
      </c>
      <c r="B17" s="5" t="s">
        <v>515</v>
      </c>
      <c r="C17" s="5" t="s">
        <v>45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81</v>
      </c>
      <c r="B18" s="5" t="s">
        <v>517</v>
      </c>
      <c r="C18" s="5" t="s">
        <v>45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82</v>
      </c>
      <c r="B19" s="5" t="s">
        <v>518</v>
      </c>
      <c r="C19" s="5" t="s">
        <v>45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83</v>
      </c>
      <c r="B20" s="5" t="s">
        <v>519</v>
      </c>
      <c r="C20" s="5" t="s">
        <v>45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84</v>
      </c>
      <c r="B21" s="5" t="s">
        <v>517</v>
      </c>
      <c r="C21" s="5" t="s">
        <v>45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85</v>
      </c>
      <c r="B22" s="5" t="s">
        <v>518</v>
      </c>
      <c r="C22" s="5" t="s">
        <v>45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86</v>
      </c>
      <c r="B23" s="5" t="s">
        <v>519</v>
      </c>
      <c r="C23" s="5" t="s">
        <v>45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87</v>
      </c>
      <c r="B24" s="5" t="s">
        <v>520</v>
      </c>
      <c r="C24" s="5" t="s">
        <v>45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88</v>
      </c>
      <c r="B25" s="5" t="s">
        <v>521</v>
      </c>
      <c r="C25" s="5" t="s">
        <v>45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89</v>
      </c>
      <c r="B26" s="5" t="s">
        <v>521</v>
      </c>
      <c r="C26" s="5" t="s">
        <v>45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90</v>
      </c>
      <c r="B27" s="5" t="s">
        <v>521</v>
      </c>
      <c r="C27" s="5" t="s">
        <v>45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90</v>
      </c>
      <c r="B28" s="5" t="s">
        <v>521</v>
      </c>
      <c r="C28" s="5" t="s">
        <v>45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90</v>
      </c>
      <c r="B29" s="5" t="s">
        <v>521</v>
      </c>
      <c r="C29" s="5" t="s">
        <v>45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91</v>
      </c>
      <c r="B30" s="5" t="s">
        <v>521</v>
      </c>
      <c r="C30" s="5" t="s">
        <v>45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90</v>
      </c>
      <c r="B31" s="5" t="s">
        <v>521</v>
      </c>
      <c r="C31" s="5" t="s">
        <v>45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92</v>
      </c>
      <c r="B32" s="5" t="s">
        <v>522</v>
      </c>
      <c r="C32" s="5" t="s">
        <v>45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93</v>
      </c>
      <c r="B33" s="5" t="s">
        <v>523</v>
      </c>
      <c r="C33" s="5" t="s">
        <v>45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94</v>
      </c>
      <c r="B34" s="5" t="s">
        <v>524</v>
      </c>
      <c r="C34" s="5" t="s">
        <v>45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95</v>
      </c>
      <c r="B35" s="5" t="s">
        <v>524</v>
      </c>
      <c r="C35" s="5" t="s">
        <v>45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96</v>
      </c>
      <c r="B36" s="7" t="s">
        <v>523</v>
      </c>
      <c r="C36" s="5" t="s">
        <v>45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96</v>
      </c>
      <c r="B37" s="7" t="s">
        <v>523</v>
      </c>
      <c r="C37" s="5" t="s">
        <v>45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97</v>
      </c>
      <c r="B38" s="5" t="s">
        <v>522</v>
      </c>
      <c r="C38" s="5" t="s">
        <v>45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98</v>
      </c>
      <c r="B39" s="7" t="s">
        <v>525</v>
      </c>
      <c r="C39" s="5" t="s">
        <v>45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99</v>
      </c>
      <c r="B40" s="7" t="s">
        <v>525</v>
      </c>
      <c r="C40" s="5" t="s">
        <v>45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100</v>
      </c>
      <c r="B41" s="7" t="s">
        <v>526</v>
      </c>
      <c r="C41" s="5" t="s">
        <v>45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101</v>
      </c>
      <c r="B42" s="7" t="s">
        <v>526</v>
      </c>
      <c r="C42" s="5" t="s">
        <v>45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508</v>
      </c>
      <c r="B43" s="7" t="s">
        <v>527</v>
      </c>
      <c r="C43" s="5" t="s">
        <v>45</v>
      </c>
      <c r="D43" s="9">
        <v>2025</v>
      </c>
      <c r="E43" s="9">
        <v>13</v>
      </c>
      <c r="F43" s="9">
        <v>1.24</v>
      </c>
    </row>
    <row r="44" spans="1:6" ht="15.75" thickBot="1">
      <c r="A44" s="7" t="s">
        <v>102</v>
      </c>
      <c r="B44" s="7" t="s">
        <v>528</v>
      </c>
      <c r="C44" s="5" t="s">
        <v>45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103</v>
      </c>
      <c r="B45" s="7" t="s">
        <v>529</v>
      </c>
      <c r="C45" s="5" t="s">
        <v>45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104</v>
      </c>
      <c r="B46" s="7" t="s">
        <v>529</v>
      </c>
      <c r="C46" s="5" t="s">
        <v>45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105</v>
      </c>
      <c r="B47" s="7" t="s">
        <v>529</v>
      </c>
      <c r="C47" s="5" t="s">
        <v>45</v>
      </c>
      <c r="D47" s="9">
        <v>2023</v>
      </c>
      <c r="E47" s="9">
        <v>14</v>
      </c>
      <c r="F47" s="9">
        <v>1.6</v>
      </c>
    </row>
    <row r="48" spans="1:6" ht="15.75" thickBot="1">
      <c r="A48" s="7" t="s">
        <v>106</v>
      </c>
      <c r="B48" s="7" t="s">
        <v>530</v>
      </c>
      <c r="C48" s="5" t="s">
        <v>45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107</v>
      </c>
      <c r="B49" s="7" t="s">
        <v>530</v>
      </c>
      <c r="C49" s="5" t="s">
        <v>45</v>
      </c>
      <c r="D49" s="9">
        <v>2023</v>
      </c>
      <c r="E49" s="9">
        <v>16</v>
      </c>
      <c r="F49" s="9">
        <v>2</v>
      </c>
    </row>
    <row r="50" spans="1:6" ht="15.75" thickBot="1">
      <c r="A50" s="7" t="s">
        <v>108</v>
      </c>
      <c r="B50" s="7" t="s">
        <v>530</v>
      </c>
      <c r="C50" s="5" t="s">
        <v>45</v>
      </c>
      <c r="D50" s="9">
        <v>2023</v>
      </c>
      <c r="E50" s="9">
        <v>16</v>
      </c>
      <c r="F50" s="9">
        <v>2</v>
      </c>
    </row>
    <row r="51" spans="1:6" ht="15.75" thickBot="1">
      <c r="A51" s="7" t="s">
        <v>531</v>
      </c>
      <c r="B51" s="7" t="s">
        <v>532</v>
      </c>
      <c r="C51" s="5" t="s">
        <v>45</v>
      </c>
      <c r="D51" s="9">
        <v>2025</v>
      </c>
      <c r="E51" s="9">
        <v>14</v>
      </c>
      <c r="F51" s="9">
        <v>1.55</v>
      </c>
    </row>
    <row r="52" spans="1:6" ht="15.75" thickBot="1">
      <c r="A52" s="5" t="s">
        <v>109</v>
      </c>
      <c r="B52" s="7" t="s">
        <v>533</v>
      </c>
      <c r="C52" s="5" t="s">
        <v>45</v>
      </c>
      <c r="D52" s="9">
        <v>2015</v>
      </c>
      <c r="E52" s="9">
        <v>11</v>
      </c>
      <c r="F52" s="9">
        <v>11</v>
      </c>
    </row>
    <row r="53" spans="1:6" ht="15.75" thickBot="1">
      <c r="A53" s="5" t="s">
        <v>109</v>
      </c>
      <c r="B53" s="7" t="s">
        <v>533</v>
      </c>
      <c r="C53" s="7" t="s">
        <v>45</v>
      </c>
      <c r="D53" s="9">
        <v>2015</v>
      </c>
      <c r="E53" s="9">
        <v>11</v>
      </c>
      <c r="F53" s="9">
        <v>11</v>
      </c>
    </row>
    <row r="54" spans="1:6" ht="15.75" thickBot="1">
      <c r="A54" s="5" t="s">
        <v>110</v>
      </c>
      <c r="B54" s="7" t="s">
        <v>534</v>
      </c>
      <c r="C54" s="7" t="s">
        <v>45</v>
      </c>
      <c r="D54" s="9">
        <v>2015</v>
      </c>
      <c r="E54" s="9">
        <v>13</v>
      </c>
      <c r="F54" s="9">
        <v>1.4</v>
      </c>
    </row>
    <row r="55" spans="1:6" ht="15.75" thickBot="1">
      <c r="A55" s="5" t="s">
        <v>110</v>
      </c>
      <c r="B55" s="7" t="s">
        <v>534</v>
      </c>
      <c r="C55" s="7" t="s">
        <v>45</v>
      </c>
      <c r="D55" s="9">
        <v>2015</v>
      </c>
      <c r="E55" s="9">
        <v>13</v>
      </c>
      <c r="F55" s="9">
        <v>1.4</v>
      </c>
    </row>
    <row r="56" spans="1:6" ht="15.75" thickBot="1">
      <c r="A56" s="5" t="s">
        <v>110</v>
      </c>
      <c r="B56" s="7" t="s">
        <v>534</v>
      </c>
      <c r="C56" s="7" t="s">
        <v>45</v>
      </c>
      <c r="D56" s="9">
        <v>2017</v>
      </c>
      <c r="E56" s="9">
        <v>13</v>
      </c>
      <c r="F56" s="9">
        <v>1.4</v>
      </c>
    </row>
    <row r="57" spans="1:6" ht="15.75" thickBot="1">
      <c r="A57" s="5" t="s">
        <v>110</v>
      </c>
      <c r="B57" s="7" t="s">
        <v>534</v>
      </c>
      <c r="C57" s="7" t="s">
        <v>45</v>
      </c>
      <c r="D57" s="9">
        <v>2017</v>
      </c>
      <c r="E57" s="9">
        <v>13</v>
      </c>
      <c r="F57" s="9">
        <v>1.4</v>
      </c>
    </row>
    <row r="58" spans="1:6" ht="15.75" thickBot="1">
      <c r="A58" s="5" t="s">
        <v>112</v>
      </c>
      <c r="B58" s="7" t="s">
        <v>535</v>
      </c>
      <c r="C58" s="7" t="s">
        <v>45</v>
      </c>
      <c r="D58" s="9">
        <v>2018</v>
      </c>
      <c r="E58" s="9">
        <v>13</v>
      </c>
      <c r="F58" s="9">
        <v>1.4</v>
      </c>
    </row>
    <row r="59" spans="1:6" ht="15.75" thickBot="1">
      <c r="A59" s="5" t="s">
        <v>113</v>
      </c>
      <c r="B59" s="7" t="s">
        <v>535</v>
      </c>
      <c r="C59" s="7" t="s">
        <v>45</v>
      </c>
      <c r="D59" s="9">
        <v>2019</v>
      </c>
      <c r="E59" s="9">
        <v>13</v>
      </c>
      <c r="F59" s="9">
        <v>1.4</v>
      </c>
    </row>
    <row r="60" spans="1:6" ht="15.75" thickBot="1">
      <c r="A60" s="5" t="s">
        <v>114</v>
      </c>
      <c r="B60" s="7" t="s">
        <v>536</v>
      </c>
      <c r="C60" s="7" t="s">
        <v>45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114</v>
      </c>
      <c r="B61" s="7" t="s">
        <v>536</v>
      </c>
      <c r="C61" s="7" t="s">
        <v>45</v>
      </c>
      <c r="D61" s="9">
        <v>2020</v>
      </c>
      <c r="E61" s="9">
        <v>13</v>
      </c>
      <c r="F61" s="9">
        <v>1.4</v>
      </c>
    </row>
    <row r="62" spans="1:6" ht="15.75" thickBot="1">
      <c r="A62" s="5" t="s">
        <v>114</v>
      </c>
      <c r="B62" s="7" t="s">
        <v>536</v>
      </c>
      <c r="C62" s="7" t="s">
        <v>45</v>
      </c>
      <c r="D62" s="9">
        <v>2020</v>
      </c>
      <c r="E62" s="9">
        <v>13</v>
      </c>
      <c r="F62" s="9">
        <v>1.4</v>
      </c>
    </row>
    <row r="63" spans="1:6" ht="15.75" thickBot="1">
      <c r="A63" s="5" t="s">
        <v>115</v>
      </c>
      <c r="B63" s="7" t="s">
        <v>537</v>
      </c>
      <c r="C63" s="7" t="s">
        <v>45</v>
      </c>
      <c r="D63" s="9">
        <v>2020</v>
      </c>
      <c r="E63" s="9">
        <v>13</v>
      </c>
      <c r="F63" s="9">
        <v>1.4</v>
      </c>
    </row>
    <row r="64" spans="1:6" ht="15.75" thickBot="1">
      <c r="A64" s="7" t="s">
        <v>116</v>
      </c>
      <c r="B64" s="7" t="s">
        <v>538</v>
      </c>
      <c r="C64" s="7" t="s">
        <v>45</v>
      </c>
      <c r="D64" s="9">
        <v>2022</v>
      </c>
      <c r="E64" s="9">
        <v>13</v>
      </c>
      <c r="F64" s="9">
        <v>1.4</v>
      </c>
    </row>
    <row r="65" spans="1:6" ht="15.75" thickBot="1">
      <c r="A65" s="7" t="s">
        <v>117</v>
      </c>
      <c r="B65" s="7" t="s">
        <v>539</v>
      </c>
      <c r="C65" s="7" t="s">
        <v>45</v>
      </c>
      <c r="D65" s="9">
        <v>2023</v>
      </c>
      <c r="E65" s="9">
        <v>15</v>
      </c>
      <c r="F65" s="9">
        <v>1.8</v>
      </c>
    </row>
    <row r="66" spans="1:6" ht="15.75" thickBot="1">
      <c r="A66" s="7" t="s">
        <v>118</v>
      </c>
      <c r="B66" s="7" t="s">
        <v>540</v>
      </c>
      <c r="C66" s="7" t="s">
        <v>45</v>
      </c>
      <c r="D66" s="9">
        <v>2024</v>
      </c>
      <c r="E66" s="9">
        <v>13</v>
      </c>
      <c r="F66" s="9">
        <v>1.4</v>
      </c>
    </row>
    <row r="67" spans="1:6" ht="15.75" thickBot="1">
      <c r="A67" s="7" t="s">
        <v>119</v>
      </c>
      <c r="B67" s="7" t="s">
        <v>541</v>
      </c>
      <c r="C67" s="7" t="s">
        <v>45</v>
      </c>
      <c r="D67" s="9">
        <v>2024</v>
      </c>
      <c r="E67" s="9">
        <v>15</v>
      </c>
      <c r="F67" s="9">
        <v>1.8</v>
      </c>
    </row>
    <row r="68" spans="1:6" ht="15.75" thickBot="1">
      <c r="A68" s="7" t="s">
        <v>120</v>
      </c>
      <c r="B68" s="7" t="s">
        <v>121</v>
      </c>
      <c r="C68" s="7" t="s">
        <v>274</v>
      </c>
      <c r="D68" s="9">
        <v>2013</v>
      </c>
      <c r="E68" s="7"/>
      <c r="F68" s="9">
        <v>5</v>
      </c>
    </row>
    <row r="69" spans="1:6" ht="15.75" thickBot="1">
      <c r="A69" s="7" t="s">
        <v>122</v>
      </c>
      <c r="B69" s="7" t="s">
        <v>123</v>
      </c>
      <c r="C69" s="7" t="s">
        <v>273</v>
      </c>
      <c r="D69" s="9">
        <v>2015</v>
      </c>
      <c r="E69" s="9">
        <v>27</v>
      </c>
      <c r="F69" s="9">
        <v>9.5399999999999991</v>
      </c>
    </row>
    <row r="70" spans="1:6" ht="15.75" thickBot="1">
      <c r="A70" s="7" t="s">
        <v>124</v>
      </c>
      <c r="B70" s="7" t="s">
        <v>123</v>
      </c>
      <c r="C70" s="7" t="s">
        <v>273</v>
      </c>
      <c r="D70" s="9">
        <v>2017</v>
      </c>
      <c r="E70" s="9">
        <v>27</v>
      </c>
      <c r="F70" s="9">
        <v>9.5399999999999991</v>
      </c>
    </row>
    <row r="71" spans="1:6" ht="15.75" thickBot="1">
      <c r="A71" s="7" t="s">
        <v>125</v>
      </c>
      <c r="B71" s="7" t="s">
        <v>126</v>
      </c>
      <c r="C71" s="7" t="s">
        <v>273</v>
      </c>
      <c r="D71" s="9">
        <v>2017</v>
      </c>
      <c r="E71" s="9">
        <v>21.5</v>
      </c>
      <c r="F71" s="9">
        <v>9.5399999999999991</v>
      </c>
    </row>
    <row r="72" spans="1:6" ht="15.75" thickBot="1">
      <c r="A72" s="7"/>
      <c r="B72" s="7" t="s">
        <v>127</v>
      </c>
      <c r="C72" s="7"/>
      <c r="D72" s="7"/>
      <c r="E72" s="7"/>
      <c r="F72" s="9">
        <v>2</v>
      </c>
    </row>
    <row r="73" spans="1:6" ht="15.75" thickBot="1">
      <c r="A73" s="7"/>
      <c r="B73" s="7" t="s">
        <v>127</v>
      </c>
      <c r="C73" s="7"/>
      <c r="D73" s="7"/>
      <c r="E73" s="7"/>
      <c r="F73" s="9">
        <v>2</v>
      </c>
    </row>
    <row r="74" spans="1:6" ht="15.75" thickBot="1">
      <c r="A74" s="7"/>
      <c r="B74" s="7" t="s">
        <v>127</v>
      </c>
      <c r="C74" s="7"/>
      <c r="D74" s="7"/>
      <c r="E74" s="7"/>
      <c r="F74" s="9">
        <v>2</v>
      </c>
    </row>
    <row r="75" spans="1:6" ht="15.75" thickBot="1">
      <c r="A75" s="7"/>
      <c r="B75" s="7" t="s">
        <v>127</v>
      </c>
      <c r="C75" s="7"/>
      <c r="D75" s="7"/>
      <c r="E75" s="7"/>
      <c r="F75" s="9">
        <v>2</v>
      </c>
    </row>
    <row r="76" spans="1:6" ht="15.75" thickBot="1">
      <c r="A76" s="7"/>
      <c r="B76" s="10" t="s">
        <v>128</v>
      </c>
      <c r="C76" s="10"/>
      <c r="D76" s="7"/>
      <c r="E76" s="7"/>
      <c r="F76" s="9">
        <v>1.74</v>
      </c>
    </row>
    <row r="77" spans="1:6" ht="15.75" thickBot="1">
      <c r="A77" s="7"/>
      <c r="B77" s="7" t="s">
        <v>127</v>
      </c>
      <c r="C77" s="7"/>
      <c r="D77" s="7"/>
      <c r="E77" s="7"/>
      <c r="F77" s="9">
        <v>2</v>
      </c>
    </row>
    <row r="78" spans="1:6" ht="15.75" thickBot="1">
      <c r="A78" s="7"/>
      <c r="B78" s="10" t="s">
        <v>128</v>
      </c>
      <c r="C78" s="10"/>
      <c r="D78" s="7"/>
      <c r="E78" s="7"/>
      <c r="F78" s="9">
        <v>1.74</v>
      </c>
    </row>
    <row r="79" spans="1:6" ht="15.75" thickBot="1">
      <c r="A79" s="7"/>
      <c r="B79" s="10" t="s">
        <v>129</v>
      </c>
      <c r="C79" s="10"/>
      <c r="D79" s="7"/>
      <c r="E79" s="7"/>
      <c r="F79" s="9">
        <v>1.8</v>
      </c>
    </row>
    <row r="80" spans="1:6" ht="15.75" thickBot="1">
      <c r="A80" s="7"/>
      <c r="B80" s="7" t="s">
        <v>127</v>
      </c>
      <c r="C80" s="7"/>
      <c r="D80" s="7"/>
      <c r="E80" s="7"/>
      <c r="F80" s="9">
        <v>2</v>
      </c>
    </row>
    <row r="81" spans="1:6" ht="15.75" thickBot="1">
      <c r="A81" s="7"/>
      <c r="B81" s="7" t="s">
        <v>130</v>
      </c>
      <c r="C81" s="7"/>
      <c r="D81" s="7"/>
      <c r="E81" s="7"/>
      <c r="F81" s="9">
        <v>1.8</v>
      </c>
    </row>
    <row r="82" spans="1:6" ht="15.75" thickBot="1">
      <c r="A82" s="7"/>
      <c r="B82" s="7" t="s">
        <v>131</v>
      </c>
      <c r="C82" s="7"/>
      <c r="D82" s="7"/>
      <c r="E82" s="7"/>
      <c r="F82" s="9">
        <v>1.26</v>
      </c>
    </row>
    <row r="83" spans="1:6" ht="15.75" thickBot="1">
      <c r="A83" s="7"/>
      <c r="B83" s="7" t="s">
        <v>132</v>
      </c>
      <c r="C83" s="7"/>
      <c r="D83" s="7"/>
      <c r="E83" s="7"/>
      <c r="F83" s="9">
        <v>1.26</v>
      </c>
    </row>
    <row r="84" spans="1:6" ht="15.75" thickBot="1">
      <c r="A84" s="7"/>
      <c r="B84" s="7" t="s">
        <v>133</v>
      </c>
      <c r="C84" s="7"/>
      <c r="D84" s="7"/>
      <c r="E84" s="7"/>
      <c r="F84" s="9">
        <v>1.26</v>
      </c>
    </row>
    <row r="85" spans="1:6" ht="15.75" thickBot="1">
      <c r="A85" s="7"/>
      <c r="B85" s="10" t="s">
        <v>134</v>
      </c>
      <c r="C85" s="10"/>
      <c r="D85" s="7"/>
      <c r="E85" s="7"/>
      <c r="F85" s="9">
        <v>1.26</v>
      </c>
    </row>
    <row r="86" spans="1:6" ht="15.75" thickBot="1">
      <c r="A86" s="7"/>
      <c r="B86" s="7" t="s">
        <v>135</v>
      </c>
      <c r="C86" s="7"/>
      <c r="D86" s="7"/>
      <c r="E86" s="7"/>
      <c r="F86" s="9">
        <v>1.17</v>
      </c>
    </row>
    <row r="87" spans="1:6" ht="15.75" thickBot="1">
      <c r="A87" s="7"/>
      <c r="B87" s="7" t="s">
        <v>136</v>
      </c>
      <c r="C87" s="7"/>
      <c r="D87" s="7"/>
      <c r="E87" s="7"/>
      <c r="F87" s="9">
        <v>1.8</v>
      </c>
    </row>
    <row r="88" spans="1:6" ht="15.75" thickBot="1">
      <c r="A88" s="7"/>
      <c r="B88" s="7" t="s">
        <v>137</v>
      </c>
      <c r="C88" s="7"/>
      <c r="D88" s="7"/>
      <c r="E88" s="7"/>
      <c r="F88" s="9">
        <v>1.35</v>
      </c>
    </row>
    <row r="89" spans="1:6" ht="15.75" thickBot="1">
      <c r="A89" s="7"/>
      <c r="B89" s="6" t="s">
        <v>138</v>
      </c>
      <c r="C89" s="6"/>
      <c r="D89" s="7"/>
      <c r="E89" s="7"/>
      <c r="F89" s="9">
        <v>1.1000000000000001</v>
      </c>
    </row>
    <row r="90" spans="1:6" ht="15.75" thickBot="1">
      <c r="A90" s="7"/>
      <c r="B90" s="6" t="s">
        <v>139</v>
      </c>
      <c r="C90" s="6"/>
      <c r="D90" s="7"/>
      <c r="E90" s="7"/>
      <c r="F90" s="9">
        <v>1.2</v>
      </c>
    </row>
    <row r="91" spans="1:6" ht="15.75" thickBot="1">
      <c r="A91" s="7"/>
      <c r="B91" s="6" t="s">
        <v>140</v>
      </c>
      <c r="C91" s="6"/>
      <c r="D91" s="7"/>
      <c r="E91" s="7"/>
      <c r="F91" s="9">
        <v>1.26</v>
      </c>
    </row>
    <row r="92" spans="1:6" ht="15.75" thickBot="1">
      <c r="A92" s="7"/>
      <c r="B92" s="7" t="s">
        <v>141</v>
      </c>
      <c r="C92" s="7"/>
      <c r="D92" s="7"/>
      <c r="E92" s="7"/>
      <c r="F92" s="9">
        <v>1.27</v>
      </c>
    </row>
    <row r="93" spans="1:6" ht="15.75" thickBot="1">
      <c r="A93" s="7"/>
      <c r="B93" s="7" t="s">
        <v>141</v>
      </c>
      <c r="C93" s="7"/>
      <c r="D93" s="7"/>
      <c r="E93" s="7"/>
      <c r="F93" s="9">
        <v>1.27</v>
      </c>
    </row>
    <row r="94" spans="1:6" ht="15.75" thickBot="1">
      <c r="A94" s="7"/>
      <c r="B94" s="7" t="s">
        <v>142</v>
      </c>
      <c r="C94" s="7"/>
      <c r="D94" s="7"/>
      <c r="E94" s="7"/>
      <c r="F94" s="9">
        <v>1.3</v>
      </c>
    </row>
    <row r="95" spans="1:6" ht="15.75" thickBot="1">
      <c r="A95" s="7"/>
      <c r="B95" s="7" t="s">
        <v>143</v>
      </c>
      <c r="C95" s="7"/>
      <c r="D95" s="7"/>
      <c r="E95" s="7"/>
      <c r="F95" s="9">
        <v>1.4</v>
      </c>
    </row>
    <row r="96" spans="1:6" ht="15.75" thickBot="1">
      <c r="A96" s="7"/>
      <c r="B96" s="7" t="s">
        <v>144</v>
      </c>
      <c r="C96" s="7"/>
      <c r="D96" s="7"/>
      <c r="E96" s="7"/>
      <c r="F96" s="9">
        <v>1.4</v>
      </c>
    </row>
    <row r="97" spans="1:6" ht="15.75" thickBot="1">
      <c r="A97" s="7"/>
      <c r="B97" s="7" t="s">
        <v>145</v>
      </c>
      <c r="C97" s="7"/>
      <c r="D97" s="7"/>
      <c r="E97" s="7"/>
      <c r="F97" s="9">
        <v>3.26</v>
      </c>
    </row>
    <row r="98" spans="1:6" ht="15.75" thickBot="1">
      <c r="A98" s="7"/>
      <c r="B98" s="7" t="s">
        <v>146</v>
      </c>
      <c r="C98" s="7"/>
      <c r="D98" s="7"/>
      <c r="E98" s="7"/>
      <c r="F98" s="9">
        <v>5.23</v>
      </c>
    </row>
    <row r="99" spans="1:6" ht="15.75" thickBot="1">
      <c r="A99" s="7"/>
      <c r="B99" s="7" t="s">
        <v>147</v>
      </c>
      <c r="C99" s="7"/>
      <c r="D99" s="7"/>
      <c r="E99" s="7"/>
      <c r="F99" s="9">
        <v>7.5</v>
      </c>
    </row>
    <row r="100" spans="1:6" ht="15.75" thickBot="1">
      <c r="A100" s="7"/>
      <c r="B100" s="7" t="s">
        <v>148</v>
      </c>
      <c r="C100" s="7"/>
      <c r="D100" s="7"/>
      <c r="E100" s="7"/>
      <c r="F100" s="9">
        <v>6.6</v>
      </c>
    </row>
    <row r="101" spans="1:6" ht="15.75" thickBot="1">
      <c r="A101" s="7"/>
      <c r="B101" s="7" t="s">
        <v>149</v>
      </c>
      <c r="C101" s="7"/>
      <c r="D101" s="7"/>
      <c r="E101" s="7"/>
      <c r="F101" s="9">
        <v>5.6</v>
      </c>
    </row>
    <row r="102" spans="1:6" ht="15.75" thickBot="1">
      <c r="A102" s="7"/>
      <c r="B102" s="7" t="s">
        <v>150</v>
      </c>
      <c r="C102" s="7"/>
      <c r="D102" s="7"/>
      <c r="E102" s="7"/>
      <c r="F102" s="9">
        <v>7.65</v>
      </c>
    </row>
    <row r="103" spans="1:6" ht="15.75" thickBot="1">
      <c r="A103" s="7"/>
      <c r="B103" s="7" t="s">
        <v>151</v>
      </c>
      <c r="C103" s="7"/>
      <c r="D103" s="7"/>
      <c r="E103" s="7"/>
      <c r="F103" s="9">
        <v>5.26</v>
      </c>
    </row>
    <row r="104" spans="1:6" ht="15.75" thickBot="1">
      <c r="A104" s="7"/>
      <c r="B104" s="7" t="s">
        <v>152</v>
      </c>
      <c r="C104" s="7"/>
      <c r="D104" s="7"/>
      <c r="E104" s="7"/>
      <c r="F104" s="9">
        <v>9</v>
      </c>
    </row>
    <row r="105" spans="1:6" ht="15.75" thickBot="1">
      <c r="A105" s="7"/>
      <c r="B105" s="7" t="s">
        <v>153</v>
      </c>
      <c r="C105" s="7"/>
      <c r="D105" s="7"/>
      <c r="E105" s="7"/>
      <c r="F105" s="9">
        <v>2.2999999999999998</v>
      </c>
    </row>
    <row r="106" spans="1:6" ht="15.75" thickBot="1">
      <c r="A106" s="7"/>
      <c r="B106" s="7" t="s">
        <v>154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155</v>
      </c>
      <c r="C107" s="7"/>
      <c r="D107" s="7"/>
      <c r="E107" s="7"/>
      <c r="F107" s="9">
        <v>5.26</v>
      </c>
    </row>
    <row r="108" spans="1:6" ht="15.75" thickBot="1">
      <c r="A108" s="7"/>
      <c r="B108" s="7" t="s">
        <v>156</v>
      </c>
      <c r="C108" s="7"/>
      <c r="D108" s="7"/>
      <c r="E108" s="7"/>
      <c r="F108" s="9">
        <v>9.4</v>
      </c>
    </row>
    <row r="109" spans="1:6" ht="15.75" thickBot="1">
      <c r="A109" s="7"/>
      <c r="B109" s="7" t="s">
        <v>157</v>
      </c>
      <c r="C109" s="7"/>
      <c r="D109" s="7"/>
      <c r="E109" s="7"/>
      <c r="F109" s="9">
        <v>5.9</v>
      </c>
    </row>
    <row r="110" spans="1:6" ht="15.75" thickBot="1">
      <c r="A110" s="7"/>
      <c r="B110" s="7" t="s">
        <v>158</v>
      </c>
      <c r="C110" s="7"/>
      <c r="D110" s="7"/>
      <c r="E110" s="7"/>
      <c r="F110" s="9">
        <v>5.26</v>
      </c>
    </row>
    <row r="111" spans="1:6" ht="15.75" thickBot="1">
      <c r="A111" s="7"/>
      <c r="B111" s="7" t="s">
        <v>159</v>
      </c>
      <c r="C111" s="7"/>
      <c r="D111" s="7"/>
      <c r="E111" s="7"/>
      <c r="F111" s="9">
        <v>1.3</v>
      </c>
    </row>
    <row r="112" spans="1:6" ht="15.75" thickBot="1">
      <c r="A112" s="7"/>
      <c r="B112" s="7" t="s">
        <v>160</v>
      </c>
      <c r="C112" s="7"/>
      <c r="D112" s="7"/>
      <c r="E112" s="7"/>
      <c r="F112" s="9">
        <v>3</v>
      </c>
    </row>
    <row r="113" spans="1:6" ht="15.75" thickBot="1">
      <c r="A113" s="7"/>
      <c r="B113" s="7" t="s">
        <v>161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162</v>
      </c>
      <c r="C114" s="7"/>
      <c r="D114" s="7"/>
      <c r="E114" s="7"/>
      <c r="F114" s="9">
        <v>5.2</v>
      </c>
    </row>
    <row r="115" spans="1:6" ht="15.75" thickBot="1">
      <c r="A115" s="7"/>
      <c r="B115" s="7" t="s">
        <v>163</v>
      </c>
      <c r="C115" s="7"/>
      <c r="D115" s="7"/>
      <c r="E115" s="7"/>
      <c r="F115" s="9">
        <v>4.25</v>
      </c>
    </row>
    <row r="116" spans="1:6" ht="15.75" thickBot="1">
      <c r="A116" s="7"/>
      <c r="B116" s="7" t="s">
        <v>164</v>
      </c>
      <c r="C116" s="7"/>
      <c r="D116" s="7"/>
      <c r="E116" s="7"/>
      <c r="F116" s="9">
        <v>3.33</v>
      </c>
    </row>
    <row r="117" spans="1:6" ht="15.75" thickBot="1">
      <c r="A117" s="7"/>
      <c r="B117" s="7" t="s">
        <v>165</v>
      </c>
      <c r="C117" s="7"/>
      <c r="D117" s="7"/>
      <c r="E117" s="7"/>
      <c r="F117" s="9">
        <v>2.8</v>
      </c>
    </row>
    <row r="118" spans="1:6" ht="15.75" thickBot="1">
      <c r="A118" s="7"/>
      <c r="B118" s="7" t="s">
        <v>166</v>
      </c>
      <c r="C118" s="7"/>
      <c r="D118" s="7"/>
      <c r="E118" s="7"/>
      <c r="F118" s="9">
        <v>1.7</v>
      </c>
    </row>
    <row r="119" spans="1:6" ht="15.75" thickBot="1">
      <c r="A119" s="7"/>
      <c r="B119" s="7" t="s">
        <v>167</v>
      </c>
      <c r="C119" s="7"/>
      <c r="D119" s="7"/>
      <c r="E119" s="7"/>
      <c r="F119" s="9">
        <v>1.48</v>
      </c>
    </row>
    <row r="120" spans="1:6" ht="15.75" thickBot="1">
      <c r="A120" s="7"/>
      <c r="B120" s="7" t="s">
        <v>168</v>
      </c>
      <c r="C120" s="7"/>
      <c r="D120" s="7"/>
      <c r="E120" s="7"/>
      <c r="F120" s="9">
        <v>3.33</v>
      </c>
    </row>
    <row r="121" spans="1:6" ht="15.75" thickBot="1">
      <c r="A121" s="7"/>
      <c r="B121" s="7" t="s">
        <v>169</v>
      </c>
      <c r="C121" s="7"/>
      <c r="D121" s="7"/>
      <c r="E121" s="7"/>
      <c r="F121" s="9">
        <v>0.75</v>
      </c>
    </row>
    <row r="122" spans="1:6" ht="15.75" thickBot="1">
      <c r="A122" s="7"/>
      <c r="B122" s="7" t="s">
        <v>170</v>
      </c>
      <c r="C122" s="7"/>
      <c r="D122" s="7"/>
      <c r="E122" s="7"/>
      <c r="F122" s="9">
        <v>4.25</v>
      </c>
    </row>
    <row r="123" spans="1:6" ht="15.75" thickBot="1">
      <c r="A123" s="7"/>
      <c r="B123" s="7" t="s">
        <v>171</v>
      </c>
      <c r="C123" s="7"/>
      <c r="D123" s="7"/>
      <c r="E123" s="7"/>
      <c r="F123" s="9">
        <v>1.44</v>
      </c>
    </row>
    <row r="124" spans="1:6" ht="15.75" thickBot="1">
      <c r="A124" s="7"/>
      <c r="B124" s="7" t="s">
        <v>172</v>
      </c>
      <c r="C124" s="7"/>
      <c r="D124" s="7"/>
      <c r="E124" s="7"/>
      <c r="F124" s="9">
        <v>1.1299999999999999</v>
      </c>
    </row>
    <row r="125" spans="1:6" ht="15.75" thickBot="1">
      <c r="A125" s="7"/>
      <c r="B125" s="7" t="s">
        <v>173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174</v>
      </c>
      <c r="C126" s="7"/>
      <c r="D126" s="7"/>
      <c r="E126" s="7"/>
      <c r="F126" s="9">
        <v>1.5</v>
      </c>
    </row>
    <row r="127" spans="1:6" ht="15.75" thickBot="1">
      <c r="A127" s="7"/>
      <c r="B127" s="7" t="s">
        <v>175</v>
      </c>
      <c r="C127" s="7"/>
      <c r="D127" s="7"/>
      <c r="E127" s="7"/>
      <c r="F127" s="9">
        <v>1.46</v>
      </c>
    </row>
    <row r="128" spans="1:6" ht="15.75" thickBot="1">
      <c r="A128" s="7"/>
      <c r="B128" s="7" t="s">
        <v>176</v>
      </c>
      <c r="C128" s="7"/>
      <c r="D128" s="7"/>
      <c r="E128" s="7"/>
      <c r="F128" s="9">
        <v>1.18</v>
      </c>
    </row>
    <row r="129" spans="1:6" ht="15.75" thickBot="1">
      <c r="A129" s="7"/>
      <c r="B129" s="7" t="s">
        <v>177</v>
      </c>
      <c r="C129" s="7"/>
      <c r="D129" s="7"/>
      <c r="E129" s="7"/>
      <c r="F129" s="9">
        <v>1.73</v>
      </c>
    </row>
    <row r="130" spans="1:6" ht="15.75" thickBot="1">
      <c r="A130" s="7"/>
      <c r="B130" s="7" t="s">
        <v>178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179</v>
      </c>
      <c r="C131" s="7"/>
      <c r="D131" s="7"/>
      <c r="E131" s="7"/>
      <c r="F131" s="9">
        <v>1.68</v>
      </c>
    </row>
    <row r="132" spans="1:6" ht="15.75" thickBot="1">
      <c r="A132" s="7"/>
      <c r="B132" s="7" t="s">
        <v>180</v>
      </c>
      <c r="C132" s="7"/>
      <c r="D132" s="7"/>
      <c r="E132" s="7"/>
      <c r="F132" s="9">
        <v>1.64</v>
      </c>
    </row>
    <row r="133" spans="1:6" ht="15.75" thickBot="1">
      <c r="A133" s="7"/>
      <c r="B133" s="7" t="s">
        <v>181</v>
      </c>
      <c r="C133" s="7"/>
      <c r="D133" s="7"/>
      <c r="E133" s="7"/>
      <c r="F133" s="9">
        <v>2.2999999999999998</v>
      </c>
    </row>
    <row r="134" spans="1:6" ht="15.75" thickBot="1">
      <c r="A134" s="7"/>
      <c r="B134" s="7" t="s">
        <v>182</v>
      </c>
      <c r="C134" s="7"/>
      <c r="D134" s="7"/>
      <c r="E134" s="7"/>
      <c r="F134" s="9">
        <v>1.96</v>
      </c>
    </row>
    <row r="135" spans="1:6" ht="15.75" thickBot="1">
      <c r="A135" s="7"/>
      <c r="B135" s="7" t="s">
        <v>183</v>
      </c>
      <c r="C135" s="7"/>
      <c r="D135" s="7"/>
      <c r="E135" s="7"/>
      <c r="F135" s="9">
        <v>1.7</v>
      </c>
    </row>
    <row r="136" spans="1:6" ht="15.75" thickBot="1">
      <c r="A136" s="7"/>
      <c r="B136" s="7" t="s">
        <v>184</v>
      </c>
      <c r="C136" s="7"/>
      <c r="D136" s="7"/>
      <c r="E136" s="7"/>
      <c r="F136" s="9">
        <v>2.7</v>
      </c>
    </row>
    <row r="137" spans="1:6" ht="15.75" thickBot="1">
      <c r="A137" s="7"/>
      <c r="B137" s="7" t="s">
        <v>185</v>
      </c>
      <c r="C137" s="7"/>
      <c r="D137" s="7"/>
      <c r="E137" s="7"/>
      <c r="F137" s="9">
        <v>2.74</v>
      </c>
    </row>
    <row r="138" spans="1:6" ht="15.75" thickBot="1">
      <c r="A138" s="7"/>
      <c r="B138" s="7" t="s">
        <v>186</v>
      </c>
      <c r="C138" s="7"/>
      <c r="D138" s="7"/>
      <c r="E138" s="7"/>
      <c r="F138" s="9">
        <v>2</v>
      </c>
    </row>
    <row r="139" spans="1:6" ht="15.75" thickBot="1">
      <c r="A139" s="7"/>
      <c r="B139" s="7" t="s">
        <v>177</v>
      </c>
      <c r="C139" s="7"/>
      <c r="D139" s="7"/>
      <c r="E139" s="7"/>
      <c r="F139" s="9">
        <v>1.73</v>
      </c>
    </row>
    <row r="140" spans="1:6" ht="15.75" thickBot="1">
      <c r="A140" s="7"/>
      <c r="B140" s="7" t="s">
        <v>187</v>
      </c>
      <c r="C140" s="7"/>
      <c r="D140" s="7"/>
      <c r="E140" s="7"/>
      <c r="F140" s="9">
        <v>1.68</v>
      </c>
    </row>
    <row r="141" spans="1:6" ht="15.75" thickBot="1">
      <c r="A141" s="7"/>
      <c r="B141" s="7" t="s">
        <v>188</v>
      </c>
      <c r="C141" s="7"/>
      <c r="D141" s="7"/>
      <c r="E141" s="7"/>
      <c r="F141" s="9">
        <v>1.64</v>
      </c>
    </row>
    <row r="142" spans="1:6" ht="15.75" thickBot="1">
      <c r="A142" s="7"/>
      <c r="B142" s="7" t="s">
        <v>189</v>
      </c>
      <c r="C142" s="7"/>
      <c r="D142" s="7"/>
      <c r="E142" s="7"/>
      <c r="F142" s="9">
        <v>2.2999999999999998</v>
      </c>
    </row>
    <row r="143" spans="1:6" ht="15.75" thickBot="1">
      <c r="A143" s="7"/>
      <c r="B143" s="7" t="s">
        <v>190</v>
      </c>
      <c r="C143" s="7"/>
      <c r="D143" s="7"/>
      <c r="E143" s="7"/>
      <c r="F143" s="9">
        <v>1.96</v>
      </c>
    </row>
    <row r="144" spans="1:6" ht="15.75" thickBot="1">
      <c r="A144" s="7"/>
      <c r="B144" s="7" t="s">
        <v>191</v>
      </c>
      <c r="C144" s="7"/>
      <c r="D144" s="7"/>
      <c r="E144" s="7"/>
      <c r="F144" s="9">
        <v>1.7</v>
      </c>
    </row>
    <row r="145" spans="1:6" ht="15.75" thickBot="1">
      <c r="A145" s="7"/>
      <c r="B145" s="7" t="s">
        <v>192</v>
      </c>
      <c r="C145" s="7"/>
      <c r="D145" s="7"/>
      <c r="E145" s="7"/>
      <c r="F145" s="9">
        <v>2.7</v>
      </c>
    </row>
    <row r="146" spans="1:6" ht="15.75" thickBot="1">
      <c r="A146" s="7"/>
      <c r="B146" s="7" t="s">
        <v>193</v>
      </c>
      <c r="C146" s="7"/>
      <c r="D146" s="7"/>
      <c r="E146" s="7"/>
      <c r="F146" s="9">
        <v>2.74</v>
      </c>
    </row>
    <row r="147" spans="1:6" ht="15.75" thickBot="1">
      <c r="A147" s="7"/>
      <c r="B147" s="7" t="s">
        <v>194</v>
      </c>
      <c r="C147" s="7"/>
      <c r="D147" s="7"/>
      <c r="E147" s="7"/>
      <c r="F147" s="9">
        <v>1.36</v>
      </c>
    </row>
    <row r="148" spans="1:6" ht="15.75" thickBot="1">
      <c r="A148" s="7"/>
      <c r="B148" s="7" t="s">
        <v>195</v>
      </c>
      <c r="C148" s="7"/>
      <c r="D148" s="7"/>
      <c r="E148" s="7"/>
      <c r="F148" s="9">
        <v>1.4</v>
      </c>
    </row>
    <row r="149" spans="1:6" ht="15.75" thickBot="1">
      <c r="A149" s="7"/>
      <c r="B149" s="7" t="s">
        <v>196</v>
      </c>
      <c r="C149" s="7"/>
      <c r="D149" s="7"/>
      <c r="E149" s="7"/>
      <c r="F149" s="9">
        <v>2.5</v>
      </c>
    </row>
    <row r="150" spans="1:6" ht="15.75" thickBot="1">
      <c r="A150" s="7"/>
      <c r="B150" s="7" t="s">
        <v>197</v>
      </c>
      <c r="C150" s="7"/>
      <c r="D150" s="7"/>
      <c r="E150" s="7"/>
      <c r="F150" s="9">
        <v>1.7</v>
      </c>
    </row>
    <row r="151" spans="1:6" ht="15.75" thickBot="1">
      <c r="A151" s="7"/>
      <c r="B151" s="7" t="s">
        <v>198</v>
      </c>
      <c r="C151" s="7"/>
      <c r="D151" s="7"/>
      <c r="E151" s="7"/>
      <c r="F151" s="9">
        <v>1.32</v>
      </c>
    </row>
    <row r="152" spans="1:6" ht="15.75" thickBot="1">
      <c r="A152" s="7"/>
      <c r="B152" s="7" t="s">
        <v>199</v>
      </c>
      <c r="C152" s="7"/>
      <c r="D152" s="7"/>
      <c r="E152" s="7"/>
      <c r="F152" s="9">
        <v>1.36</v>
      </c>
    </row>
    <row r="153" spans="1:6" ht="15.75" thickBot="1">
      <c r="A153" s="7"/>
      <c r="B153" s="7" t="s">
        <v>200</v>
      </c>
      <c r="C153" s="7"/>
      <c r="D153" s="7"/>
      <c r="E153" s="7"/>
      <c r="F153" s="9">
        <v>1.7</v>
      </c>
    </row>
    <row r="154" spans="1:6" ht="15.75" thickBot="1">
      <c r="A154" s="7"/>
      <c r="B154" s="7" t="s">
        <v>201</v>
      </c>
      <c r="C154" s="7"/>
      <c r="D154" s="7"/>
      <c r="E154" s="7"/>
      <c r="F154" s="9">
        <v>1.3</v>
      </c>
    </row>
    <row r="155" spans="1:6" ht="15.75" thickBot="1">
      <c r="A155" s="7"/>
      <c r="B155" s="7" t="s">
        <v>202</v>
      </c>
      <c r="C155" s="7"/>
      <c r="D155" s="7"/>
      <c r="E155" s="7"/>
      <c r="F155" s="9">
        <v>1.8</v>
      </c>
    </row>
    <row r="156" spans="1:6" ht="15.75" thickBot="1">
      <c r="A156" s="7"/>
      <c r="B156" s="7" t="s">
        <v>203</v>
      </c>
      <c r="C156" s="7"/>
      <c r="D156" s="7"/>
      <c r="E156" s="7"/>
      <c r="F156" s="9">
        <v>1.32</v>
      </c>
    </row>
    <row r="157" spans="1:6" ht="15.75" thickBot="1">
      <c r="A157" s="7"/>
      <c r="B157" s="7" t="s">
        <v>204</v>
      </c>
      <c r="C157" s="7"/>
      <c r="D157" s="7"/>
      <c r="E157" s="7"/>
      <c r="F157" s="9">
        <v>1.27</v>
      </c>
    </row>
    <row r="158" spans="1:6" ht="15.75" thickBot="1">
      <c r="A158" s="7"/>
      <c r="B158" s="7" t="s">
        <v>205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202</v>
      </c>
      <c r="C159" s="7"/>
      <c r="D159" s="7"/>
      <c r="E159" s="7"/>
      <c r="F159" s="9">
        <v>1.8</v>
      </c>
    </row>
    <row r="160" spans="1:6" ht="15.75" thickBot="1">
      <c r="A160" s="7"/>
      <c r="B160" s="7" t="s">
        <v>206</v>
      </c>
      <c r="C160" s="7"/>
      <c r="D160" s="7"/>
      <c r="E160" s="7"/>
      <c r="F160" s="9">
        <v>1.4</v>
      </c>
    </row>
    <row r="161" spans="1:6" ht="15.75" thickBot="1">
      <c r="A161" s="7"/>
      <c r="B161" s="7" t="s">
        <v>207</v>
      </c>
      <c r="C161" s="7"/>
      <c r="D161" s="7"/>
      <c r="E161" s="7"/>
      <c r="F161" s="9">
        <v>2.63</v>
      </c>
    </row>
    <row r="162" spans="1:6" ht="15.75" thickBot="1">
      <c r="A162" s="7"/>
      <c r="B162" s="7" t="s">
        <v>208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209</v>
      </c>
      <c r="C163" s="7"/>
      <c r="D163" s="7"/>
      <c r="E163" s="7"/>
      <c r="F163" s="9">
        <v>2</v>
      </c>
    </row>
    <row r="164" spans="1:6" ht="15.75" thickBot="1">
      <c r="A164" s="7"/>
      <c r="B164" s="7" t="s">
        <v>210</v>
      </c>
      <c r="C164" s="7"/>
      <c r="D164" s="7"/>
      <c r="E164" s="7"/>
      <c r="F164" s="9">
        <v>1.8</v>
      </c>
    </row>
    <row r="165" spans="1:6" ht="15.75" thickBot="1">
      <c r="A165" s="7"/>
      <c r="B165" s="7" t="s">
        <v>211</v>
      </c>
      <c r="C165" s="7"/>
      <c r="D165" s="7"/>
      <c r="E165" s="7"/>
      <c r="F165" s="9">
        <v>2.2000000000000002</v>
      </c>
    </row>
    <row r="166" spans="1:6" ht="15.75" thickBot="1">
      <c r="A166" s="7"/>
      <c r="B166" s="7" t="s">
        <v>212</v>
      </c>
      <c r="C166" s="7"/>
      <c r="D166" s="7"/>
      <c r="E166" s="7"/>
      <c r="F166" s="9">
        <v>2.63</v>
      </c>
    </row>
    <row r="167" spans="1:6" ht="15.75" thickBot="1">
      <c r="A167" s="7"/>
      <c r="B167" s="10" t="s">
        <v>213</v>
      </c>
      <c r="C167" s="10"/>
      <c r="D167" s="7"/>
      <c r="E167" s="7"/>
      <c r="F167" s="9">
        <v>2</v>
      </c>
    </row>
    <row r="168" spans="1:6" ht="15.75" thickBot="1">
      <c r="A168" s="7"/>
      <c r="B168" s="7" t="s">
        <v>214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215</v>
      </c>
      <c r="C169" s="7"/>
      <c r="D169" s="7"/>
      <c r="E169" s="7"/>
      <c r="F169" s="9">
        <v>1.36</v>
      </c>
    </row>
    <row r="170" spans="1:6" ht="15.75" thickBot="1">
      <c r="A170" s="7"/>
      <c r="B170" s="7" t="s">
        <v>216</v>
      </c>
      <c r="C170" s="7"/>
      <c r="D170" s="7"/>
      <c r="E170" s="7"/>
      <c r="F170" s="9">
        <v>1.47</v>
      </c>
    </row>
    <row r="171" spans="1:6" ht="15.75" thickBot="1">
      <c r="A171" s="7"/>
      <c r="B171" s="7" t="s">
        <v>217</v>
      </c>
      <c r="C171" s="7"/>
      <c r="D171" s="7"/>
      <c r="E171" s="7"/>
      <c r="F171" s="9">
        <v>1.53</v>
      </c>
    </row>
    <row r="172" spans="1:6" ht="15.75" thickBot="1">
      <c r="A172" s="7"/>
      <c r="B172" s="7" t="s">
        <v>218</v>
      </c>
      <c r="C172" s="7"/>
      <c r="D172" s="7"/>
      <c r="E172" s="7"/>
      <c r="F172" s="9">
        <v>1.24</v>
      </c>
    </row>
    <row r="173" spans="1:6" ht="15.75" thickBot="1">
      <c r="A173" s="7"/>
      <c r="B173" s="7" t="s">
        <v>219</v>
      </c>
      <c r="C173" s="7"/>
      <c r="D173" s="7"/>
      <c r="E173" s="7"/>
      <c r="F173" s="9">
        <v>1.47</v>
      </c>
    </row>
    <row r="174" spans="1:6" ht="15.75" thickBot="1">
      <c r="A174" s="7"/>
      <c r="B174" s="7" t="s">
        <v>220</v>
      </c>
      <c r="C174" s="7"/>
      <c r="D174" s="7"/>
      <c r="E174" s="7"/>
      <c r="F174" s="9">
        <v>1.55</v>
      </c>
    </row>
    <row r="175" spans="1:6" ht="15.75" thickBot="1">
      <c r="A175" s="7"/>
      <c r="B175" s="7" t="s">
        <v>221</v>
      </c>
      <c r="C175" s="7"/>
      <c r="D175" s="7"/>
      <c r="E175" s="7"/>
      <c r="F175" s="9">
        <v>1.75</v>
      </c>
    </row>
    <row r="176" spans="1:6" ht="15.75" thickBot="1">
      <c r="A176" s="7"/>
      <c r="B176" s="7" t="s">
        <v>222</v>
      </c>
      <c r="C176" s="7"/>
      <c r="D176" s="7"/>
      <c r="E176" s="7"/>
      <c r="F176" s="9">
        <v>1.7</v>
      </c>
    </row>
    <row r="177" spans="1:6" ht="15.75" thickBot="1">
      <c r="A177" s="7"/>
      <c r="B177" s="7" t="s">
        <v>223</v>
      </c>
      <c r="C177" s="7"/>
      <c r="D177" s="7"/>
      <c r="E177" s="7"/>
      <c r="F177" s="9">
        <v>1.3</v>
      </c>
    </row>
    <row r="178" spans="1:6" ht="15.75" thickBot="1">
      <c r="A178" s="7"/>
      <c r="B178" s="7" t="s">
        <v>224</v>
      </c>
      <c r="C178" s="7"/>
      <c r="D178" s="7"/>
      <c r="E178" s="7"/>
      <c r="F178" s="9">
        <v>1.53</v>
      </c>
    </row>
    <row r="179" spans="1:6" ht="15.75" thickBot="1">
      <c r="A179" s="7"/>
      <c r="B179" s="7" t="s">
        <v>225</v>
      </c>
      <c r="C179" s="7"/>
      <c r="D179" s="7"/>
      <c r="E179" s="7"/>
      <c r="F179" s="9">
        <v>1.27</v>
      </c>
    </row>
    <row r="180" spans="1:6" ht="15.75" thickBot="1">
      <c r="A180" s="7"/>
      <c r="B180" s="7" t="s">
        <v>226</v>
      </c>
      <c r="C180" s="7"/>
      <c r="D180" s="7"/>
      <c r="E180" s="7"/>
      <c r="F180" s="9">
        <v>1.3</v>
      </c>
    </row>
    <row r="181" spans="1:6" ht="15.75" thickBot="1">
      <c r="A181" s="7"/>
      <c r="B181" s="7" t="s">
        <v>227</v>
      </c>
      <c r="C181" s="7"/>
      <c r="D181" s="7"/>
      <c r="E181" s="7"/>
      <c r="F181" s="9">
        <v>1.4</v>
      </c>
    </row>
    <row r="182" spans="1:6" ht="15.75" thickBot="1">
      <c r="A182" s="7"/>
      <c r="B182" s="7" t="s">
        <v>228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229</v>
      </c>
      <c r="C183" s="7"/>
      <c r="D183" s="7"/>
      <c r="E183" s="7"/>
      <c r="F183" s="9">
        <v>1.44</v>
      </c>
    </row>
    <row r="184" spans="1:6" ht="15.75" thickBot="1">
      <c r="A184" s="7"/>
      <c r="B184" s="7" t="s">
        <v>230</v>
      </c>
      <c r="C184" s="7"/>
      <c r="D184" s="7"/>
      <c r="E184" s="7"/>
      <c r="F184" s="9">
        <v>1.1299999999999999</v>
      </c>
    </row>
    <row r="185" spans="1:6" ht="15.75" thickBot="1">
      <c r="A185" s="7"/>
      <c r="B185" s="7" t="s">
        <v>231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232</v>
      </c>
      <c r="C186" s="7"/>
      <c r="D186" s="7"/>
      <c r="E186" s="7"/>
      <c r="F186" s="9">
        <v>1.5</v>
      </c>
    </row>
    <row r="187" spans="1:6" ht="15.75" thickBot="1">
      <c r="A187" s="7"/>
      <c r="B187" s="7" t="s">
        <v>177</v>
      </c>
      <c r="C187" s="7"/>
      <c r="D187" s="7"/>
      <c r="E187" s="7"/>
      <c r="F187" s="9">
        <v>1.73</v>
      </c>
    </row>
    <row r="188" spans="1:6" ht="15.75" thickBot="1">
      <c r="A188" s="7"/>
      <c r="B188" s="7" t="s">
        <v>187</v>
      </c>
      <c r="C188" s="7"/>
      <c r="D188" s="7"/>
      <c r="E188" s="7"/>
      <c r="F188" s="9">
        <v>1.68</v>
      </c>
    </row>
    <row r="189" spans="1:6" ht="15.75" thickBot="1">
      <c r="A189" s="7"/>
      <c r="B189" s="7" t="s">
        <v>188</v>
      </c>
      <c r="C189" s="7"/>
      <c r="D189" s="7"/>
      <c r="E189" s="7"/>
      <c r="F189" s="9">
        <v>1.64</v>
      </c>
    </row>
    <row r="190" spans="1:6" ht="15.75" thickBot="1">
      <c r="A190" s="7"/>
      <c r="B190" s="7" t="s">
        <v>189</v>
      </c>
      <c r="C190" s="7"/>
      <c r="D190" s="7"/>
      <c r="E190" s="7"/>
      <c r="F190" s="9">
        <v>2.2999999999999998</v>
      </c>
    </row>
    <row r="191" spans="1:6" ht="15.75" thickBot="1">
      <c r="A191" s="7"/>
      <c r="B191" s="7" t="s">
        <v>190</v>
      </c>
      <c r="C191" s="7"/>
      <c r="D191" s="7"/>
      <c r="E191" s="7"/>
      <c r="F191" s="9">
        <v>1.96</v>
      </c>
    </row>
    <row r="192" spans="1:6" ht="15.75" thickBot="1">
      <c r="A192" s="7"/>
      <c r="B192" s="7" t="s">
        <v>191</v>
      </c>
      <c r="C192" s="7"/>
      <c r="D192" s="7"/>
      <c r="E192" s="7"/>
      <c r="F192" s="9">
        <v>1.7</v>
      </c>
    </row>
    <row r="193" spans="1:6" ht="15.75" thickBot="1">
      <c r="A193" s="7"/>
      <c r="B193" s="7" t="s">
        <v>192</v>
      </c>
      <c r="C193" s="7"/>
      <c r="D193" s="7"/>
      <c r="E193" s="7"/>
      <c r="F193" s="9">
        <v>2.7</v>
      </c>
    </row>
    <row r="194" spans="1:6" ht="15.75" thickBot="1">
      <c r="A194" s="7"/>
      <c r="B194" s="7" t="s">
        <v>193</v>
      </c>
      <c r="C194" s="7"/>
      <c r="D194" s="7"/>
      <c r="E194" s="7"/>
      <c r="F194" s="9">
        <v>2.74</v>
      </c>
    </row>
    <row r="195" spans="1:6" ht="15.75" thickBot="1">
      <c r="A195" s="7"/>
      <c r="B195" s="7" t="s">
        <v>233</v>
      </c>
      <c r="C195" s="7"/>
      <c r="D195" s="7"/>
      <c r="E195" s="7"/>
      <c r="F195" s="9">
        <v>1.36</v>
      </c>
    </row>
    <row r="196" spans="1:6" ht="15.75" thickBot="1">
      <c r="A196" s="7"/>
      <c r="B196" s="7" t="s">
        <v>234</v>
      </c>
      <c r="C196" s="7"/>
      <c r="D196" s="7"/>
      <c r="E196" s="7"/>
      <c r="F196" s="9">
        <v>2.5</v>
      </c>
    </row>
    <row r="197" spans="1:6" ht="15.75" thickBot="1">
      <c r="A197" s="7"/>
      <c r="B197" s="7" t="s">
        <v>235</v>
      </c>
      <c r="C197" s="7"/>
      <c r="D197" s="7"/>
      <c r="E197" s="7"/>
      <c r="F197" s="9">
        <v>1.7</v>
      </c>
    </row>
    <row r="198" spans="1:6" ht="15.75" thickBot="1">
      <c r="A198" s="7"/>
      <c r="B198" s="7" t="s">
        <v>236</v>
      </c>
      <c r="C198" s="7"/>
      <c r="D198" s="7"/>
      <c r="E198" s="7"/>
      <c r="F198" s="9">
        <v>1.32</v>
      </c>
    </row>
    <row r="199" spans="1:6" ht="15.75" thickBot="1">
      <c r="A199" s="7"/>
      <c r="B199" s="7" t="s">
        <v>137</v>
      </c>
      <c r="C199" s="7"/>
      <c r="D199" s="7"/>
      <c r="E199" s="7"/>
      <c r="F199" s="9">
        <v>1.36</v>
      </c>
    </row>
    <row r="200" spans="1:6" ht="15.75" thickBot="1">
      <c r="A200" s="7"/>
      <c r="B200" s="7" t="s">
        <v>237</v>
      </c>
      <c r="C200" s="7"/>
      <c r="D200" s="7"/>
      <c r="E200" s="7"/>
      <c r="F200" s="9">
        <v>1.7</v>
      </c>
    </row>
    <row r="201" spans="1:6" ht="15.75" thickBot="1">
      <c r="A201" s="7"/>
      <c r="B201" s="7" t="s">
        <v>223</v>
      </c>
      <c r="C201" s="7"/>
      <c r="D201" s="7"/>
      <c r="E201" s="7"/>
      <c r="F201" s="9">
        <v>1.3</v>
      </c>
    </row>
    <row r="202" spans="1:6" ht="15.75" thickBot="1">
      <c r="A202" s="7"/>
      <c r="B202" s="7" t="s">
        <v>238</v>
      </c>
      <c r="C202" s="7"/>
      <c r="D202" s="7"/>
      <c r="E202" s="7"/>
      <c r="F202" s="9">
        <v>1.32</v>
      </c>
    </row>
    <row r="203" spans="1:6" ht="15.75" thickBot="1">
      <c r="A203" s="7"/>
      <c r="B203" s="7" t="s">
        <v>239</v>
      </c>
      <c r="C203" s="7"/>
      <c r="D203" s="7"/>
      <c r="E203" s="7"/>
      <c r="F203" s="9">
        <v>1.27</v>
      </c>
    </row>
    <row r="204" spans="1:6" ht="15.75" thickBot="1">
      <c r="A204" s="7"/>
      <c r="B204" s="7" t="s">
        <v>240</v>
      </c>
      <c r="C204" s="7"/>
      <c r="D204" s="7"/>
      <c r="E204" s="7"/>
      <c r="F204" s="9">
        <v>1.4</v>
      </c>
    </row>
    <row r="205" spans="1:6" ht="15.75" thickBot="1">
      <c r="A205" s="7"/>
      <c r="B205" s="7" t="s">
        <v>241</v>
      </c>
      <c r="C205" s="7"/>
      <c r="D205" s="7"/>
      <c r="E205" s="7"/>
      <c r="F205" s="9">
        <v>2.63</v>
      </c>
    </row>
    <row r="206" spans="1:6" ht="15.75" thickBot="1">
      <c r="A206" s="7"/>
      <c r="B206" s="7" t="s">
        <v>242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243</v>
      </c>
      <c r="C207" s="7"/>
      <c r="D207" s="7"/>
      <c r="E207" s="7"/>
      <c r="F207" s="9">
        <v>2</v>
      </c>
    </row>
    <row r="208" spans="1:6" ht="15.75" thickBot="1">
      <c r="A208" s="7"/>
      <c r="B208" s="7" t="s">
        <v>244</v>
      </c>
      <c r="C208" s="7"/>
      <c r="D208" s="7"/>
      <c r="E208" s="7"/>
      <c r="F208" s="9">
        <v>1.8</v>
      </c>
    </row>
    <row r="209" spans="1:6" ht="15.75" thickBot="1">
      <c r="A209" s="7"/>
      <c r="B209" s="7" t="s">
        <v>212</v>
      </c>
      <c r="C209" s="7"/>
      <c r="D209" s="7"/>
      <c r="E209" s="7"/>
      <c r="F209" s="9">
        <v>2.63</v>
      </c>
    </row>
    <row r="210" spans="1:6" ht="15.75" thickBot="1">
      <c r="A210" s="7"/>
      <c r="B210" s="7" t="s">
        <v>245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246</v>
      </c>
      <c r="C211" s="7"/>
      <c r="D211" s="7"/>
      <c r="E211" s="7"/>
      <c r="F211" s="9">
        <v>1.36</v>
      </c>
    </row>
    <row r="212" spans="1:6" ht="15.75" thickBot="1">
      <c r="A212" s="7"/>
      <c r="B212" s="7" t="s">
        <v>247</v>
      </c>
      <c r="C212" s="7"/>
      <c r="D212" s="7"/>
      <c r="E212" s="7"/>
      <c r="F212" s="9">
        <v>1.47</v>
      </c>
    </row>
    <row r="213" spans="1:6" ht="15.75" thickBot="1">
      <c r="A213" s="7"/>
      <c r="B213" s="7" t="s">
        <v>224</v>
      </c>
      <c r="C213" s="7"/>
      <c r="D213" s="7"/>
      <c r="E213" s="7"/>
      <c r="F213" s="9">
        <v>1.53</v>
      </c>
    </row>
    <row r="214" spans="1:6" ht="15.75" thickBot="1">
      <c r="A214" s="7"/>
      <c r="B214" s="7" t="s">
        <v>248</v>
      </c>
      <c r="C214" s="7"/>
      <c r="D214" s="7"/>
      <c r="E214" s="7"/>
      <c r="F214" s="9">
        <v>1.24</v>
      </c>
    </row>
    <row r="215" spans="1:6" ht="15.75" thickBot="1">
      <c r="A215" s="7"/>
      <c r="B215" s="7" t="s">
        <v>249</v>
      </c>
      <c r="C215" s="7"/>
      <c r="D215" s="7"/>
      <c r="E215" s="7"/>
      <c r="F215" s="9">
        <v>1.47</v>
      </c>
    </row>
    <row r="216" spans="1:6" ht="15.75" thickBot="1">
      <c r="A216" s="7"/>
      <c r="B216" s="7" t="s">
        <v>250</v>
      </c>
      <c r="C216" s="7"/>
      <c r="D216" s="7"/>
      <c r="E216" s="7"/>
      <c r="F216" s="9">
        <v>1.75</v>
      </c>
    </row>
    <row r="217" spans="1:6" ht="15.75" thickBot="1">
      <c r="A217" s="7"/>
      <c r="B217" s="7" t="s">
        <v>251</v>
      </c>
      <c r="C217" s="7"/>
      <c r="D217" s="7"/>
      <c r="E217" s="7"/>
      <c r="F217" s="9">
        <v>1.9</v>
      </c>
    </row>
    <row r="218" spans="1:6" ht="15.75" thickBot="1">
      <c r="A218" s="7"/>
      <c r="B218" s="11" t="s">
        <v>252</v>
      </c>
      <c r="C218" s="11"/>
      <c r="D218" s="7"/>
      <c r="E218" s="7"/>
      <c r="F218" s="9">
        <v>1.9</v>
      </c>
    </row>
    <row r="219" spans="1:6" ht="15.75" thickBot="1">
      <c r="A219" s="7"/>
      <c r="B219" s="7" t="s">
        <v>253</v>
      </c>
      <c r="C219" s="7"/>
      <c r="D219" s="7"/>
      <c r="E219" s="7"/>
      <c r="F219" s="9">
        <v>1.9</v>
      </c>
    </row>
    <row r="220" spans="1:6" ht="15.75" thickBot="1">
      <c r="A220" s="7"/>
      <c r="B220" s="10" t="s">
        <v>254</v>
      </c>
      <c r="C220" s="10"/>
      <c r="D220" s="7"/>
      <c r="E220" s="7"/>
      <c r="F220" s="9">
        <v>1.5</v>
      </c>
    </row>
    <row r="221" spans="1:6" ht="15.75" thickBot="1">
      <c r="A221" s="7"/>
      <c r="B221" s="10" t="s">
        <v>255</v>
      </c>
      <c r="C221" s="10"/>
      <c r="D221" s="7"/>
      <c r="E221" s="7"/>
      <c r="F221" s="9">
        <v>1.9</v>
      </c>
    </row>
    <row r="222" spans="1:6" ht="15.75" thickBot="1">
      <c r="A222" s="7"/>
      <c r="B222" s="7" t="s">
        <v>256</v>
      </c>
      <c r="C222" s="7"/>
      <c r="D222" s="7"/>
      <c r="E222" s="7"/>
      <c r="F222" s="9">
        <v>0.78</v>
      </c>
    </row>
    <row r="223" spans="1:6" ht="15.75" thickBot="1">
      <c r="A223" s="7"/>
      <c r="B223" s="11" t="s">
        <v>257</v>
      </c>
      <c r="C223" s="11"/>
      <c r="D223" s="7"/>
      <c r="E223" s="7"/>
      <c r="F223" s="9">
        <v>1.5</v>
      </c>
    </row>
    <row r="224" spans="1:6" ht="15.75" thickBot="1">
      <c r="A224" s="7"/>
      <c r="B224" s="7" t="s">
        <v>258</v>
      </c>
      <c r="C224" s="7"/>
      <c r="D224" s="7"/>
      <c r="E224" s="7"/>
      <c r="F224" s="9">
        <v>2.54</v>
      </c>
    </row>
    <row r="225" spans="1:6" ht="15.75" thickBot="1">
      <c r="A225" s="7"/>
      <c r="B225" s="7" t="s">
        <v>259</v>
      </c>
      <c r="C225" s="7"/>
      <c r="D225" s="7"/>
      <c r="E225" s="7"/>
      <c r="F225" s="9">
        <v>1.2</v>
      </c>
    </row>
    <row r="226" spans="1:6" ht="15.75" thickBot="1">
      <c r="A226" s="7"/>
      <c r="B226" s="7" t="s">
        <v>260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261</v>
      </c>
      <c r="C227" s="7"/>
      <c r="D227" s="7"/>
      <c r="E227" s="7"/>
      <c r="F227" s="9">
        <v>1.4</v>
      </c>
    </row>
    <row r="228" spans="1:6" ht="15.75" thickBot="1">
      <c r="A228" s="7"/>
      <c r="B228" s="7" t="s">
        <v>262</v>
      </c>
      <c r="C228" s="7"/>
      <c r="D228" s="7"/>
      <c r="E228" s="7"/>
      <c r="F228" s="9">
        <v>2.2999999999999998</v>
      </c>
    </row>
    <row r="229" spans="1:6" ht="15.75" thickBot="1">
      <c r="A229" s="7"/>
      <c r="B229" s="7" t="s">
        <v>263</v>
      </c>
      <c r="C229" s="7"/>
      <c r="D229" s="7"/>
      <c r="E229" s="7"/>
      <c r="F229" s="9">
        <v>0.33</v>
      </c>
    </row>
    <row r="230" spans="1:6" ht="15.75" thickBot="1">
      <c r="A230" s="7"/>
      <c r="B230" s="7" t="s">
        <v>264</v>
      </c>
      <c r="C230" s="7"/>
      <c r="D230" s="7"/>
      <c r="E230" s="7"/>
      <c r="F230" s="9">
        <v>4.45</v>
      </c>
    </row>
    <row r="231" spans="1:6" ht="15.75" thickBot="1">
      <c r="A231" s="27"/>
      <c r="B231" s="27" t="s">
        <v>265</v>
      </c>
      <c r="C231" s="27"/>
      <c r="D231" s="27"/>
      <c r="E231" s="7"/>
      <c r="F231" s="9">
        <v>4.3</v>
      </c>
    </row>
    <row r="232" spans="1:6" ht="15.75" thickBot="1">
      <c r="A232" s="27"/>
      <c r="B232" s="27" t="s">
        <v>266</v>
      </c>
      <c r="C232" s="27"/>
      <c r="D232" s="27"/>
      <c r="E232" s="7"/>
      <c r="F232" s="9">
        <v>4.57</v>
      </c>
    </row>
    <row r="233" spans="1:6" ht="15.75" thickBot="1">
      <c r="A233" s="27"/>
      <c r="B233" s="27" t="s">
        <v>267</v>
      </c>
      <c r="C233" s="27"/>
      <c r="D233" s="27"/>
      <c r="E233" s="7"/>
      <c r="F233" s="9">
        <v>4.9000000000000004</v>
      </c>
    </row>
    <row r="234" spans="1:6" ht="15.75" thickBot="1">
      <c r="A234" s="27"/>
      <c r="B234" s="28" t="s">
        <v>268</v>
      </c>
      <c r="C234" s="28"/>
      <c r="D234" s="27"/>
      <c r="E234" s="7"/>
      <c r="F234" s="9">
        <v>1.67</v>
      </c>
    </row>
    <row r="235" spans="1:6" ht="15.75" thickBot="1">
      <c r="A235" s="27"/>
      <c r="B235" s="28" t="s">
        <v>269</v>
      </c>
      <c r="C235" s="28"/>
      <c r="D235" s="27"/>
      <c r="E235" s="7"/>
      <c r="F235" s="9">
        <v>2.5</v>
      </c>
    </row>
    <row r="236" spans="1:6" ht="15.75" thickBot="1">
      <c r="A236" s="27"/>
      <c r="B236" s="28" t="s">
        <v>270</v>
      </c>
      <c r="C236" s="28"/>
      <c r="D236" s="27"/>
      <c r="E236" s="7"/>
      <c r="F236" s="9">
        <v>1.78</v>
      </c>
    </row>
    <row r="237" spans="1:6" ht="15.75" thickBot="1">
      <c r="A237" s="27"/>
      <c r="B237" s="28" t="s">
        <v>271</v>
      </c>
      <c r="C237" s="28"/>
      <c r="D237" s="27"/>
      <c r="E237" s="7"/>
      <c r="F237" s="9">
        <v>1.7</v>
      </c>
    </row>
    <row r="238" spans="1:6" ht="15.75" thickBot="1">
      <c r="A238" s="27"/>
      <c r="B238" s="28" t="s">
        <v>272</v>
      </c>
      <c r="C238" s="28"/>
      <c r="D238" s="27"/>
      <c r="E238" s="7"/>
      <c r="F238" s="9">
        <v>7.6</v>
      </c>
    </row>
    <row r="239" spans="1:6">
      <c r="B239" t="s">
        <v>127</v>
      </c>
      <c r="F239">
        <v>2</v>
      </c>
    </row>
    <row r="240" spans="1:6">
      <c r="B240" t="s">
        <v>127</v>
      </c>
      <c r="F240">
        <v>2</v>
      </c>
    </row>
    <row r="241" spans="2:6">
      <c r="B241" t="s">
        <v>127</v>
      </c>
      <c r="F241">
        <v>2</v>
      </c>
    </row>
    <row r="242" spans="2:6">
      <c r="B242" t="s">
        <v>127</v>
      </c>
      <c r="F242">
        <v>2</v>
      </c>
    </row>
    <row r="243" spans="2:6">
      <c r="B243" t="s">
        <v>128</v>
      </c>
      <c r="F243">
        <v>1.74</v>
      </c>
    </row>
    <row r="244" spans="2:6">
      <c r="B244" t="s">
        <v>127</v>
      </c>
      <c r="F244">
        <v>2</v>
      </c>
    </row>
    <row r="245" spans="2:6">
      <c r="B245" t="s">
        <v>128</v>
      </c>
      <c r="F245">
        <v>1.74</v>
      </c>
    </row>
    <row r="246" spans="2:6">
      <c r="B246" t="s">
        <v>129</v>
      </c>
      <c r="F246">
        <v>1.8</v>
      </c>
    </row>
    <row r="247" spans="2:6">
      <c r="B247" t="s">
        <v>127</v>
      </c>
      <c r="F247">
        <v>2</v>
      </c>
    </row>
    <row r="248" spans="2:6">
      <c r="B248" t="s">
        <v>130</v>
      </c>
      <c r="F248">
        <v>1.8</v>
      </c>
    </row>
    <row r="249" spans="2:6">
      <c r="B249" t="s">
        <v>131</v>
      </c>
      <c r="F249">
        <v>1.26</v>
      </c>
    </row>
    <row r="250" spans="2:6">
      <c r="B250" t="s">
        <v>132</v>
      </c>
      <c r="F250">
        <v>1.26</v>
      </c>
    </row>
    <row r="251" spans="2:6">
      <c r="B251" t="s">
        <v>133</v>
      </c>
      <c r="F251">
        <v>1.26</v>
      </c>
    </row>
    <row r="252" spans="2:6">
      <c r="B252" t="s">
        <v>134</v>
      </c>
      <c r="F252">
        <v>1.26</v>
      </c>
    </row>
    <row r="253" spans="2:6">
      <c r="B253" t="s">
        <v>135</v>
      </c>
      <c r="F253">
        <v>1.17</v>
      </c>
    </row>
    <row r="254" spans="2:6">
      <c r="B254" t="s">
        <v>136</v>
      </c>
      <c r="F254">
        <v>1.8</v>
      </c>
    </row>
    <row r="255" spans="2:6">
      <c r="B255" t="s">
        <v>137</v>
      </c>
      <c r="F255">
        <v>1.35</v>
      </c>
    </row>
    <row r="256" spans="2:6">
      <c r="B256" t="s">
        <v>138</v>
      </c>
      <c r="F256">
        <v>1.1000000000000001</v>
      </c>
    </row>
    <row r="257" spans="2:6">
      <c r="B257" t="s">
        <v>139</v>
      </c>
      <c r="F257">
        <v>1.2</v>
      </c>
    </row>
    <row r="258" spans="2:6">
      <c r="B258" t="s">
        <v>140</v>
      </c>
      <c r="F258">
        <v>1.26</v>
      </c>
    </row>
    <row r="259" spans="2:6">
      <c r="B259" t="s">
        <v>141</v>
      </c>
      <c r="F259">
        <v>1.27</v>
      </c>
    </row>
    <row r="260" spans="2:6">
      <c r="B260" t="s">
        <v>141</v>
      </c>
      <c r="F260">
        <v>1.27</v>
      </c>
    </row>
    <row r="261" spans="2:6">
      <c r="B261" t="s">
        <v>142</v>
      </c>
      <c r="F261">
        <v>1.3</v>
      </c>
    </row>
    <row r="262" spans="2:6">
      <c r="B262" t="s">
        <v>143</v>
      </c>
      <c r="F262">
        <v>1.4</v>
      </c>
    </row>
    <row r="263" spans="2:6">
      <c r="B263" t="s">
        <v>144</v>
      </c>
      <c r="F263">
        <v>1.4</v>
      </c>
    </row>
    <row r="264" spans="2:6">
      <c r="B264" t="s">
        <v>145</v>
      </c>
      <c r="F264">
        <v>3.26</v>
      </c>
    </row>
    <row r="265" spans="2:6">
      <c r="B265" t="s">
        <v>146</v>
      </c>
      <c r="F265">
        <v>5.23</v>
      </c>
    </row>
    <row r="266" spans="2:6">
      <c r="B266" t="s">
        <v>147</v>
      </c>
      <c r="F266">
        <v>7.5</v>
      </c>
    </row>
    <row r="267" spans="2:6">
      <c r="B267" t="s">
        <v>148</v>
      </c>
      <c r="F267">
        <v>6.6</v>
      </c>
    </row>
    <row r="268" spans="2:6">
      <c r="B268" t="s">
        <v>149</v>
      </c>
      <c r="F268">
        <v>1.3</v>
      </c>
    </row>
    <row r="269" spans="2:6">
      <c r="B269" t="s">
        <v>150</v>
      </c>
      <c r="F269">
        <v>7.65</v>
      </c>
    </row>
    <row r="270" spans="2:6">
      <c r="B270" t="s">
        <v>151</v>
      </c>
      <c r="F270">
        <v>5.26</v>
      </c>
    </row>
    <row r="271" spans="2:6">
      <c r="B271" t="s">
        <v>152</v>
      </c>
      <c r="F271">
        <v>9</v>
      </c>
    </row>
    <row r="272" spans="2:6">
      <c r="B272" t="s">
        <v>153</v>
      </c>
      <c r="F272">
        <v>2.2999999999999998</v>
      </c>
    </row>
    <row r="273" spans="2:6">
      <c r="B273" t="s">
        <v>154</v>
      </c>
      <c r="F273">
        <v>2.2999999999999998</v>
      </c>
    </row>
    <row r="274" spans="2:6">
      <c r="B274" t="s">
        <v>155</v>
      </c>
      <c r="F274">
        <v>5.26</v>
      </c>
    </row>
    <row r="275" spans="2:6">
      <c r="B275" t="s">
        <v>156</v>
      </c>
      <c r="F275">
        <v>9.4</v>
      </c>
    </row>
    <row r="276" spans="2:6">
      <c r="B276" t="s">
        <v>157</v>
      </c>
      <c r="F276">
        <v>5.9</v>
      </c>
    </row>
    <row r="277" spans="2:6">
      <c r="B277" t="s">
        <v>158</v>
      </c>
      <c r="F277">
        <v>5.26</v>
      </c>
    </row>
    <row r="278" spans="2:6">
      <c r="B278" t="s">
        <v>159</v>
      </c>
      <c r="F278">
        <v>1.3</v>
      </c>
    </row>
    <row r="279" spans="2:6">
      <c r="B279" t="s">
        <v>160</v>
      </c>
      <c r="F279">
        <v>3</v>
      </c>
    </row>
    <row r="280" spans="2:6">
      <c r="B280" t="s">
        <v>161</v>
      </c>
      <c r="F280">
        <v>3</v>
      </c>
    </row>
    <row r="281" spans="2:6">
      <c r="B281" t="s">
        <v>162</v>
      </c>
      <c r="F281">
        <v>5.2</v>
      </c>
    </row>
    <row r="282" spans="2:6">
      <c r="B282" t="s">
        <v>163</v>
      </c>
      <c r="F282">
        <v>4.25</v>
      </c>
    </row>
    <row r="283" spans="2:6">
      <c r="B283" t="s">
        <v>164</v>
      </c>
      <c r="F283">
        <v>3.33</v>
      </c>
    </row>
    <row r="284" spans="2:6">
      <c r="B284" t="s">
        <v>165</v>
      </c>
      <c r="F284">
        <v>2.8</v>
      </c>
    </row>
    <row r="285" spans="2:6">
      <c r="B285" t="s">
        <v>166</v>
      </c>
      <c r="F285">
        <v>1.7</v>
      </c>
    </row>
    <row r="286" spans="2:6">
      <c r="B286" t="s">
        <v>167</v>
      </c>
      <c r="F286">
        <v>1.48</v>
      </c>
    </row>
    <row r="287" spans="2:6">
      <c r="B287" t="s">
        <v>168</v>
      </c>
      <c r="F287">
        <v>3.33</v>
      </c>
    </row>
    <row r="288" spans="2:6">
      <c r="B288" t="s">
        <v>169</v>
      </c>
      <c r="F288">
        <v>0.75</v>
      </c>
    </row>
    <row r="289" spans="2:6">
      <c r="B289" t="s">
        <v>170</v>
      </c>
      <c r="F289">
        <v>4.25</v>
      </c>
    </row>
    <row r="290" spans="2:6">
      <c r="B290" t="s">
        <v>171</v>
      </c>
      <c r="F290">
        <v>1.44</v>
      </c>
    </row>
    <row r="291" spans="2:6">
      <c r="B291" t="s">
        <v>172</v>
      </c>
      <c r="F291">
        <v>1.1299999999999999</v>
      </c>
    </row>
    <row r="292" spans="2:6">
      <c r="B292" t="s">
        <v>173</v>
      </c>
      <c r="F292">
        <v>1.1299999999999999</v>
      </c>
    </row>
    <row r="293" spans="2:6">
      <c r="B293" t="s">
        <v>174</v>
      </c>
      <c r="F293">
        <v>1.5</v>
      </c>
    </row>
    <row r="294" spans="2:6">
      <c r="B294" t="s">
        <v>175</v>
      </c>
      <c r="F294">
        <v>1.46</v>
      </c>
    </row>
    <row r="295" spans="2:6">
      <c r="B295" t="s">
        <v>176</v>
      </c>
      <c r="F295">
        <v>1.18</v>
      </c>
    </row>
    <row r="296" spans="2:6">
      <c r="B296" t="s">
        <v>177</v>
      </c>
      <c r="F296">
        <v>1.73</v>
      </c>
    </row>
    <row r="297" spans="2:6">
      <c r="B297" t="s">
        <v>178</v>
      </c>
      <c r="F297">
        <v>1.73</v>
      </c>
    </row>
    <row r="298" spans="2:6">
      <c r="B298" t="s">
        <v>179</v>
      </c>
      <c r="F298">
        <v>1.68</v>
      </c>
    </row>
    <row r="299" spans="2:6">
      <c r="B299" t="s">
        <v>180</v>
      </c>
      <c r="F299">
        <v>1.64</v>
      </c>
    </row>
    <row r="300" spans="2:6">
      <c r="B300" t="s">
        <v>181</v>
      </c>
      <c r="F300">
        <v>2.2999999999999998</v>
      </c>
    </row>
    <row r="301" spans="2:6">
      <c r="B301" t="s">
        <v>182</v>
      </c>
      <c r="F301">
        <v>1.96</v>
      </c>
    </row>
    <row r="302" spans="2:6">
      <c r="B302" t="s">
        <v>183</v>
      </c>
      <c r="F302">
        <v>1.7</v>
      </c>
    </row>
    <row r="303" spans="2:6">
      <c r="B303" t="s">
        <v>184</v>
      </c>
      <c r="F303">
        <v>2.7</v>
      </c>
    </row>
    <row r="304" spans="2:6">
      <c r="B304" t="s">
        <v>185</v>
      </c>
      <c r="F304">
        <v>2.74</v>
      </c>
    </row>
    <row r="305" spans="2:6">
      <c r="B305" t="s">
        <v>186</v>
      </c>
      <c r="F305">
        <v>2</v>
      </c>
    </row>
    <row r="306" spans="2:6">
      <c r="B306" t="s">
        <v>177</v>
      </c>
      <c r="F306">
        <v>1.73</v>
      </c>
    </row>
    <row r="307" spans="2:6">
      <c r="B307" t="s">
        <v>187</v>
      </c>
      <c r="F307">
        <v>1.68</v>
      </c>
    </row>
    <row r="308" spans="2:6">
      <c r="B308" t="s">
        <v>188</v>
      </c>
      <c r="F308">
        <v>1.64</v>
      </c>
    </row>
    <row r="309" spans="2:6">
      <c r="B309" t="s">
        <v>189</v>
      </c>
      <c r="F309">
        <v>2.2999999999999998</v>
      </c>
    </row>
    <row r="310" spans="2:6">
      <c r="B310" t="s">
        <v>190</v>
      </c>
      <c r="F310">
        <v>1.96</v>
      </c>
    </row>
    <row r="311" spans="2:6">
      <c r="B311" t="s">
        <v>191</v>
      </c>
      <c r="F311">
        <v>1.7</v>
      </c>
    </row>
    <row r="312" spans="2:6">
      <c r="B312" t="s">
        <v>192</v>
      </c>
      <c r="F312">
        <v>2.7</v>
      </c>
    </row>
    <row r="313" spans="2:6">
      <c r="B313" t="s">
        <v>193</v>
      </c>
      <c r="F313">
        <v>2.74</v>
      </c>
    </row>
    <row r="314" spans="2:6">
      <c r="B314" t="s">
        <v>194</v>
      </c>
      <c r="F314">
        <v>1.36</v>
      </c>
    </row>
    <row r="315" spans="2:6">
      <c r="B315" t="s">
        <v>195</v>
      </c>
      <c r="F315">
        <v>1.4</v>
      </c>
    </row>
    <row r="316" spans="2:6">
      <c r="B316" t="s">
        <v>196</v>
      </c>
      <c r="F316">
        <v>2.5</v>
      </c>
    </row>
    <row r="317" spans="2:6">
      <c r="B317" t="s">
        <v>197</v>
      </c>
      <c r="F317">
        <v>1.7</v>
      </c>
    </row>
    <row r="318" spans="2:6">
      <c r="B318" t="s">
        <v>198</v>
      </c>
      <c r="F318">
        <v>1.32</v>
      </c>
    </row>
    <row r="319" spans="2:6">
      <c r="B319" t="s">
        <v>199</v>
      </c>
      <c r="F319">
        <v>1.36</v>
      </c>
    </row>
    <row r="320" spans="2:6">
      <c r="B320" t="s">
        <v>200</v>
      </c>
      <c r="F320">
        <v>1.7</v>
      </c>
    </row>
    <row r="321" spans="2:6">
      <c r="B321" t="s">
        <v>201</v>
      </c>
      <c r="F321">
        <v>1.3</v>
      </c>
    </row>
    <row r="322" spans="2:6">
      <c r="B322" t="s">
        <v>202</v>
      </c>
      <c r="F322">
        <v>1.8</v>
      </c>
    </row>
    <row r="323" spans="2:6">
      <c r="B323" t="s">
        <v>203</v>
      </c>
      <c r="F323">
        <v>1.32</v>
      </c>
    </row>
    <row r="324" spans="2:6">
      <c r="B324" t="s">
        <v>204</v>
      </c>
      <c r="F324">
        <v>1.27</v>
      </c>
    </row>
    <row r="325" spans="2:6">
      <c r="B325" t="s">
        <v>205</v>
      </c>
      <c r="F325">
        <v>1.4</v>
      </c>
    </row>
    <row r="326" spans="2:6">
      <c r="B326" t="s">
        <v>202</v>
      </c>
      <c r="F326">
        <v>1.8</v>
      </c>
    </row>
    <row r="327" spans="2:6">
      <c r="B327" t="s">
        <v>206</v>
      </c>
      <c r="F327">
        <v>1.4</v>
      </c>
    </row>
    <row r="328" spans="2:6">
      <c r="B328" t="s">
        <v>207</v>
      </c>
      <c r="F328">
        <v>2.63</v>
      </c>
    </row>
    <row r="329" spans="2:6">
      <c r="B329" t="s">
        <v>208</v>
      </c>
      <c r="F329">
        <v>2.63</v>
      </c>
    </row>
    <row r="330" spans="2:6">
      <c r="B330" t="s">
        <v>209</v>
      </c>
      <c r="F330">
        <v>2</v>
      </c>
    </row>
    <row r="331" spans="2:6">
      <c r="B331" t="s">
        <v>210</v>
      </c>
      <c r="F331">
        <v>1.8</v>
      </c>
    </row>
    <row r="332" spans="2:6">
      <c r="B332" t="s">
        <v>211</v>
      </c>
      <c r="F332">
        <v>2.2000000000000002</v>
      </c>
    </row>
    <row r="333" spans="2:6">
      <c r="B333" t="s">
        <v>212</v>
      </c>
      <c r="F333">
        <v>2.63</v>
      </c>
    </row>
    <row r="334" spans="2:6">
      <c r="B334" t="s">
        <v>213</v>
      </c>
      <c r="F334">
        <v>2</v>
      </c>
    </row>
    <row r="335" spans="2:6">
      <c r="B335" t="s">
        <v>214</v>
      </c>
      <c r="F335">
        <v>1.47</v>
      </c>
    </row>
    <row r="336" spans="2:6">
      <c r="B336" t="s">
        <v>215</v>
      </c>
      <c r="F336">
        <v>1.36</v>
      </c>
    </row>
    <row r="337" spans="2:6">
      <c r="B337" t="s">
        <v>216</v>
      </c>
      <c r="F337">
        <v>1.47</v>
      </c>
    </row>
    <row r="338" spans="2:6">
      <c r="B338" t="s">
        <v>217</v>
      </c>
      <c r="F338">
        <v>1.53</v>
      </c>
    </row>
    <row r="339" spans="2:6">
      <c r="B339" t="s">
        <v>218</v>
      </c>
      <c r="F339">
        <v>1.24</v>
      </c>
    </row>
    <row r="340" spans="2:6">
      <c r="B340" t="s">
        <v>219</v>
      </c>
      <c r="F340">
        <v>1.47</v>
      </c>
    </row>
    <row r="341" spans="2:6">
      <c r="B341" t="s">
        <v>220</v>
      </c>
      <c r="F341">
        <v>1.55</v>
      </c>
    </row>
    <row r="342" spans="2:6">
      <c r="B342" t="s">
        <v>221</v>
      </c>
      <c r="F342">
        <v>1.75</v>
      </c>
    </row>
    <row r="343" spans="2:6">
      <c r="B343" t="s">
        <v>222</v>
      </c>
      <c r="F343">
        <v>1.7</v>
      </c>
    </row>
    <row r="344" spans="2:6">
      <c r="B344" t="s">
        <v>223</v>
      </c>
      <c r="F344">
        <v>1.3</v>
      </c>
    </row>
    <row r="345" spans="2:6">
      <c r="B345" t="s">
        <v>224</v>
      </c>
      <c r="F345">
        <v>1.53</v>
      </c>
    </row>
    <row r="346" spans="2:6">
      <c r="B346" t="s">
        <v>225</v>
      </c>
      <c r="F346">
        <v>1.27</v>
      </c>
    </row>
    <row r="347" spans="2:6">
      <c r="B347" t="s">
        <v>226</v>
      </c>
      <c r="F347">
        <v>1.3</v>
      </c>
    </row>
    <row r="348" spans="2:6">
      <c r="B348" t="s">
        <v>227</v>
      </c>
      <c r="F348">
        <v>1.4</v>
      </c>
    </row>
    <row r="349" spans="2:6">
      <c r="B349" t="s">
        <v>228</v>
      </c>
      <c r="F349">
        <v>1.4</v>
      </c>
    </row>
    <row r="350" spans="2:6">
      <c r="B350" t="s">
        <v>229</v>
      </c>
      <c r="F350">
        <v>1.44</v>
      </c>
    </row>
    <row r="351" spans="2:6">
      <c r="B351" t="s">
        <v>230</v>
      </c>
      <c r="F351">
        <v>1.1299999999999999</v>
      </c>
    </row>
    <row r="352" spans="2:6">
      <c r="B352" t="s">
        <v>231</v>
      </c>
      <c r="F352">
        <v>1.1299999999999999</v>
      </c>
    </row>
    <row r="353" spans="2:6">
      <c r="B353" t="s">
        <v>232</v>
      </c>
      <c r="F353">
        <v>1.5</v>
      </c>
    </row>
    <row r="354" spans="2:6">
      <c r="B354" t="s">
        <v>177</v>
      </c>
      <c r="F354">
        <v>1.73</v>
      </c>
    </row>
    <row r="355" spans="2:6">
      <c r="B355" t="s">
        <v>187</v>
      </c>
      <c r="F355">
        <v>1.68</v>
      </c>
    </row>
    <row r="356" spans="2:6">
      <c r="B356" t="s">
        <v>188</v>
      </c>
      <c r="F356">
        <v>1.64</v>
      </c>
    </row>
    <row r="357" spans="2:6">
      <c r="B357" t="s">
        <v>189</v>
      </c>
      <c r="F357">
        <v>2.2999999999999998</v>
      </c>
    </row>
    <row r="358" spans="2:6">
      <c r="B358" t="s">
        <v>190</v>
      </c>
      <c r="F358">
        <v>1.96</v>
      </c>
    </row>
    <row r="359" spans="2:6">
      <c r="B359" t="s">
        <v>191</v>
      </c>
      <c r="F359">
        <v>1.7</v>
      </c>
    </row>
    <row r="360" spans="2:6">
      <c r="B360" t="s">
        <v>192</v>
      </c>
      <c r="F360">
        <v>2.7</v>
      </c>
    </row>
    <row r="361" spans="2:6">
      <c r="B361" t="s">
        <v>193</v>
      </c>
      <c r="F361">
        <v>2.74</v>
      </c>
    </row>
    <row r="362" spans="2:6">
      <c r="B362" t="s">
        <v>233</v>
      </c>
      <c r="F362">
        <v>1.36</v>
      </c>
    </row>
    <row r="363" spans="2:6">
      <c r="B363" t="s">
        <v>234</v>
      </c>
      <c r="F363">
        <v>2.5</v>
      </c>
    </row>
    <row r="364" spans="2:6">
      <c r="B364" t="s">
        <v>235</v>
      </c>
      <c r="F364">
        <v>1.7</v>
      </c>
    </row>
    <row r="365" spans="2:6">
      <c r="B365" t="s">
        <v>236</v>
      </c>
      <c r="F365">
        <v>1.32</v>
      </c>
    </row>
    <row r="366" spans="2:6">
      <c r="B366" t="s">
        <v>137</v>
      </c>
      <c r="F366">
        <v>1.36</v>
      </c>
    </row>
    <row r="367" spans="2:6">
      <c r="B367" t="s">
        <v>237</v>
      </c>
      <c r="F367">
        <v>1.7</v>
      </c>
    </row>
    <row r="368" spans="2:6">
      <c r="B368" t="s">
        <v>223</v>
      </c>
      <c r="F368">
        <v>1.3</v>
      </c>
    </row>
    <row r="369" spans="2:6">
      <c r="B369" t="s">
        <v>238</v>
      </c>
      <c r="F369">
        <v>1.32</v>
      </c>
    </row>
    <row r="370" spans="2:6">
      <c r="B370" t="s">
        <v>239</v>
      </c>
      <c r="F370">
        <v>1.27</v>
      </c>
    </row>
    <row r="371" spans="2:6">
      <c r="B371" t="s">
        <v>240</v>
      </c>
      <c r="F371">
        <v>1.4</v>
      </c>
    </row>
    <row r="372" spans="2:6">
      <c r="B372" t="s">
        <v>241</v>
      </c>
      <c r="F372">
        <v>2.63</v>
      </c>
    </row>
    <row r="373" spans="2:6">
      <c r="B373" t="s">
        <v>242</v>
      </c>
      <c r="F373">
        <v>2.63</v>
      </c>
    </row>
    <row r="374" spans="2:6">
      <c r="B374" t="s">
        <v>243</v>
      </c>
      <c r="F374">
        <v>2</v>
      </c>
    </row>
    <row r="375" spans="2:6">
      <c r="B375" t="s">
        <v>244</v>
      </c>
      <c r="F375">
        <v>1.8</v>
      </c>
    </row>
    <row r="376" spans="2:6">
      <c r="B376" t="s">
        <v>212</v>
      </c>
      <c r="F376">
        <v>2.63</v>
      </c>
    </row>
    <row r="377" spans="2:6">
      <c r="B377" t="s">
        <v>245</v>
      </c>
      <c r="F377">
        <v>1.47</v>
      </c>
    </row>
    <row r="378" spans="2:6">
      <c r="B378" t="s">
        <v>246</v>
      </c>
      <c r="F378">
        <v>1.36</v>
      </c>
    </row>
    <row r="379" spans="2:6">
      <c r="B379" t="s">
        <v>247</v>
      </c>
      <c r="F379">
        <v>1.47</v>
      </c>
    </row>
    <row r="380" spans="2:6">
      <c r="B380" t="s">
        <v>224</v>
      </c>
      <c r="F380">
        <v>1.53</v>
      </c>
    </row>
    <row r="381" spans="2:6">
      <c r="B381" t="s">
        <v>248</v>
      </c>
      <c r="F381">
        <v>1.24</v>
      </c>
    </row>
    <row r="382" spans="2:6">
      <c r="B382" t="s">
        <v>249</v>
      </c>
      <c r="F382">
        <v>1.47</v>
      </c>
    </row>
    <row r="383" spans="2:6">
      <c r="B383" t="s">
        <v>250</v>
      </c>
      <c r="F383">
        <v>1.75</v>
      </c>
    </row>
    <row r="384" spans="2:6">
      <c r="B384" t="s">
        <v>251</v>
      </c>
      <c r="F384">
        <v>1.9</v>
      </c>
    </row>
    <row r="385" spans="2:6">
      <c r="B385" t="s">
        <v>252</v>
      </c>
      <c r="F385">
        <v>1.9</v>
      </c>
    </row>
    <row r="386" spans="2:6">
      <c r="B386" t="s">
        <v>253</v>
      </c>
      <c r="F386">
        <v>1.9</v>
      </c>
    </row>
    <row r="387" spans="2:6">
      <c r="B387" t="s">
        <v>254</v>
      </c>
      <c r="F387">
        <v>1.5</v>
      </c>
    </row>
    <row r="388" spans="2:6">
      <c r="B388" t="s">
        <v>255</v>
      </c>
      <c r="F388">
        <v>1.9</v>
      </c>
    </row>
    <row r="389" spans="2:6">
      <c r="B389" t="s">
        <v>256</v>
      </c>
      <c r="F389">
        <v>0.78</v>
      </c>
    </row>
    <row r="390" spans="2:6">
      <c r="B390" t="s">
        <v>257</v>
      </c>
      <c r="F390">
        <v>1.5</v>
      </c>
    </row>
    <row r="391" spans="2:6">
      <c r="B391" t="s">
        <v>258</v>
      </c>
      <c r="F391">
        <v>2.54</v>
      </c>
    </row>
    <row r="392" spans="2:6">
      <c r="B392" t="s">
        <v>259</v>
      </c>
      <c r="F392">
        <v>1.2</v>
      </c>
    </row>
    <row r="393" spans="2:6">
      <c r="B393" t="s">
        <v>260</v>
      </c>
      <c r="F393">
        <v>1.2</v>
      </c>
    </row>
    <row r="394" spans="2:6">
      <c r="B394" t="s">
        <v>261</v>
      </c>
      <c r="F394">
        <v>1.4</v>
      </c>
    </row>
    <row r="395" spans="2:6">
      <c r="B395" t="s">
        <v>262</v>
      </c>
      <c r="F395">
        <v>2.2999999999999998</v>
      </c>
    </row>
    <row r="396" spans="2:6">
      <c r="B396" t="s">
        <v>263</v>
      </c>
      <c r="F396">
        <v>0.33</v>
      </c>
    </row>
    <row r="397" spans="2:6">
      <c r="B397" t="s">
        <v>264</v>
      </c>
      <c r="F397">
        <v>4.45</v>
      </c>
    </row>
    <row r="398" spans="2:6">
      <c r="B398" t="s">
        <v>265</v>
      </c>
      <c r="F398">
        <v>4.3</v>
      </c>
    </row>
    <row r="399" spans="2:6">
      <c r="B399" t="s">
        <v>266</v>
      </c>
      <c r="F399">
        <v>4.57</v>
      </c>
    </row>
    <row r="400" spans="2:6">
      <c r="B400" t="s">
        <v>267</v>
      </c>
      <c r="F400">
        <v>4.9000000000000004</v>
      </c>
    </row>
    <row r="401" spans="2:6">
      <c r="B401" t="s">
        <v>268</v>
      </c>
      <c r="F401">
        <v>1.67</v>
      </c>
    </row>
    <row r="402" spans="2:6">
      <c r="B402" t="s">
        <v>269</v>
      </c>
      <c r="F402">
        <v>2.5</v>
      </c>
    </row>
    <row r="403" spans="2:6">
      <c r="B403" t="s">
        <v>270</v>
      </c>
      <c r="F403">
        <v>1.78</v>
      </c>
    </row>
    <row r="404" spans="2:6">
      <c r="B404" t="s">
        <v>271</v>
      </c>
      <c r="F404">
        <v>1.7</v>
      </c>
    </row>
    <row r="405" spans="2:6">
      <c r="B405" t="s">
        <v>272</v>
      </c>
      <c r="F405">
        <v>7.6</v>
      </c>
    </row>
    <row r="406" spans="2:6">
      <c r="B406" t="s">
        <v>303</v>
      </c>
      <c r="F406">
        <v>1.92</v>
      </c>
    </row>
    <row r="407" spans="2:6">
      <c r="B407" t="s">
        <v>304</v>
      </c>
      <c r="F407">
        <v>1.55</v>
      </c>
    </row>
    <row r="408" spans="2:6">
      <c r="B408" t="s">
        <v>305</v>
      </c>
      <c r="F408">
        <v>1.36</v>
      </c>
    </row>
    <row r="409" spans="2:6">
      <c r="B409" t="s">
        <v>306</v>
      </c>
      <c r="F409">
        <v>1.87</v>
      </c>
    </row>
    <row r="410" spans="2:6">
      <c r="B410" t="s">
        <v>307</v>
      </c>
      <c r="F410">
        <v>1.6</v>
      </c>
    </row>
    <row r="411" spans="2:6">
      <c r="B411" t="s">
        <v>308</v>
      </c>
      <c r="F411">
        <v>1.86</v>
      </c>
    </row>
    <row r="412" spans="2:6">
      <c r="B412" t="s">
        <v>309</v>
      </c>
      <c r="F412">
        <v>1.78</v>
      </c>
    </row>
    <row r="413" spans="2:6">
      <c r="B413" t="s">
        <v>310</v>
      </c>
      <c r="F413">
        <v>1.96</v>
      </c>
    </row>
    <row r="414" spans="2:6">
      <c r="B414" t="s">
        <v>311</v>
      </c>
      <c r="F414">
        <v>1.6</v>
      </c>
    </row>
    <row r="415" spans="2:6">
      <c r="B415" t="s">
        <v>312</v>
      </c>
      <c r="F415">
        <v>1.7</v>
      </c>
    </row>
    <row r="416" spans="2:6">
      <c r="B416" t="s">
        <v>313</v>
      </c>
      <c r="F416">
        <v>1.63</v>
      </c>
    </row>
    <row r="417" spans="2:6">
      <c r="B417" t="s">
        <v>314</v>
      </c>
      <c r="F417">
        <v>2.2000000000000002</v>
      </c>
    </row>
    <row r="418" spans="2:6">
      <c r="B418" t="s">
        <v>315</v>
      </c>
      <c r="F418">
        <v>2.2999999999999998</v>
      </c>
    </row>
    <row r="419" spans="2:6">
      <c r="B419" t="s">
        <v>316</v>
      </c>
      <c r="F419">
        <v>1.1200000000000001</v>
      </c>
    </row>
    <row r="420" spans="2:6">
      <c r="B420" t="s">
        <v>317</v>
      </c>
      <c r="F420">
        <v>1.55</v>
      </c>
    </row>
    <row r="421" spans="2:6">
      <c r="B421" t="s">
        <v>318</v>
      </c>
      <c r="F421">
        <v>1.36</v>
      </c>
    </row>
    <row r="422" spans="2:6">
      <c r="B422" t="s">
        <v>306</v>
      </c>
      <c r="F422">
        <v>1.87</v>
      </c>
    </row>
    <row r="423" spans="2:6">
      <c r="B423" t="s">
        <v>307</v>
      </c>
      <c r="F423">
        <v>1.6</v>
      </c>
    </row>
    <row r="424" spans="2:6">
      <c r="B424" t="s">
        <v>319</v>
      </c>
      <c r="F424">
        <v>1.86</v>
      </c>
    </row>
    <row r="425" spans="2:6">
      <c r="B425" t="s">
        <v>320</v>
      </c>
      <c r="F425">
        <v>1.78</v>
      </c>
    </row>
    <row r="426" spans="2:6">
      <c r="B426" t="s">
        <v>321</v>
      </c>
      <c r="F426">
        <v>1.96</v>
      </c>
    </row>
    <row r="427" spans="2:6">
      <c r="B427" t="s">
        <v>322</v>
      </c>
      <c r="F427">
        <v>1.6</v>
      </c>
    </row>
    <row r="428" spans="2:6">
      <c r="B428" t="s">
        <v>323</v>
      </c>
      <c r="F428">
        <v>1.7</v>
      </c>
    </row>
    <row r="429" spans="2:6">
      <c r="B429" t="s">
        <v>324</v>
      </c>
      <c r="F429">
        <v>1.63</v>
      </c>
    </row>
    <row r="430" spans="2:6">
      <c r="B430" t="s">
        <v>325</v>
      </c>
      <c r="F430">
        <v>2.2000000000000002</v>
      </c>
    </row>
    <row r="431" spans="2:6">
      <c r="B431" t="s">
        <v>315</v>
      </c>
      <c r="F431">
        <v>2.2999999999999998</v>
      </c>
    </row>
    <row r="432" spans="2:6">
      <c r="B432" t="s">
        <v>326</v>
      </c>
      <c r="F432">
        <v>1.1200000000000001</v>
      </c>
    </row>
    <row r="433" spans="2:6">
      <c r="B433" t="s">
        <v>327</v>
      </c>
      <c r="F433">
        <v>2.2999999999999998</v>
      </c>
    </row>
    <row r="434" spans="2:6">
      <c r="B434" t="s">
        <v>302</v>
      </c>
      <c r="F434">
        <v>1.6</v>
      </c>
    </row>
    <row r="435" spans="2:6">
      <c r="B435" t="s">
        <v>328</v>
      </c>
      <c r="F435">
        <v>1.6</v>
      </c>
    </row>
    <row r="436" spans="2:6">
      <c r="B436" t="s">
        <v>329</v>
      </c>
      <c r="F436">
        <v>1.76</v>
      </c>
    </row>
    <row r="437" spans="2:6">
      <c r="B437" t="s">
        <v>330</v>
      </c>
      <c r="F437">
        <v>2</v>
      </c>
    </row>
    <row r="438" spans="2:6">
      <c r="B438" t="s">
        <v>48</v>
      </c>
      <c r="F438">
        <v>1.48</v>
      </c>
    </row>
    <row r="439" spans="2:6">
      <c r="B439" t="s">
        <v>53</v>
      </c>
      <c r="F439">
        <v>1.53</v>
      </c>
    </row>
    <row r="440" spans="2:6">
      <c r="B440" t="s">
        <v>46</v>
      </c>
      <c r="F440">
        <v>1.37</v>
      </c>
    </row>
    <row r="441" spans="2:6">
      <c r="B441" t="s">
        <v>55</v>
      </c>
      <c r="F441">
        <v>1.48</v>
      </c>
    </row>
    <row r="442" spans="2:6">
      <c r="B442" t="s">
        <v>331</v>
      </c>
      <c r="F442">
        <v>1.3</v>
      </c>
    </row>
    <row r="443" spans="2:6">
      <c r="B443" t="s">
        <v>332</v>
      </c>
      <c r="F443">
        <v>1.54</v>
      </c>
    </row>
    <row r="444" spans="2:6">
      <c r="B444" t="s">
        <v>333</v>
      </c>
      <c r="F444">
        <v>1.3</v>
      </c>
    </row>
    <row r="445" spans="2:6">
      <c r="B445" t="s">
        <v>334</v>
      </c>
      <c r="F445">
        <v>1.55</v>
      </c>
    </row>
    <row r="446" spans="2:6">
      <c r="B446" t="s">
        <v>335</v>
      </c>
      <c r="F446">
        <v>1.8</v>
      </c>
    </row>
    <row r="447" spans="2:6">
      <c r="B447" t="s">
        <v>336</v>
      </c>
      <c r="F447">
        <v>1.9</v>
      </c>
    </row>
    <row r="448" spans="2:6">
      <c r="B448" t="s">
        <v>337</v>
      </c>
      <c r="F448">
        <v>1.25</v>
      </c>
    </row>
    <row r="449" spans="2:6">
      <c r="B449" t="s">
        <v>52</v>
      </c>
      <c r="F449">
        <v>2</v>
      </c>
    </row>
    <row r="450" spans="2:6">
      <c r="B450" t="s">
        <v>49</v>
      </c>
      <c r="F450">
        <v>2</v>
      </c>
    </row>
    <row r="451" spans="2:6">
      <c r="B451" t="s">
        <v>47</v>
      </c>
      <c r="F451">
        <v>2.1</v>
      </c>
    </row>
    <row r="452" spans="2:6">
      <c r="B452" t="s">
        <v>338</v>
      </c>
      <c r="F452">
        <v>1.7</v>
      </c>
    </row>
    <row r="453" spans="2:6">
      <c r="B453" t="s">
        <v>339</v>
      </c>
      <c r="F453">
        <v>1.2</v>
      </c>
    </row>
    <row r="454" spans="2:6">
      <c r="B454" t="s">
        <v>340</v>
      </c>
      <c r="F454">
        <v>5.0999999999999996</v>
      </c>
    </row>
    <row r="455" spans="2:6">
      <c r="B455" t="s">
        <v>341</v>
      </c>
      <c r="F455">
        <v>6.6</v>
      </c>
    </row>
    <row r="456" spans="2:6">
      <c r="B456" t="s">
        <v>342</v>
      </c>
      <c r="F456">
        <v>4.38</v>
      </c>
    </row>
    <row r="457" spans="2:6">
      <c r="B457" t="s">
        <v>343</v>
      </c>
      <c r="F457">
        <v>5</v>
      </c>
    </row>
    <row r="458" spans="2:6">
      <c r="B458" t="s">
        <v>344</v>
      </c>
      <c r="F458">
        <v>3.3</v>
      </c>
    </row>
    <row r="459" spans="2:6">
      <c r="B459" t="s">
        <v>345</v>
      </c>
      <c r="F459">
        <v>2</v>
      </c>
    </row>
    <row r="460" spans="2:6">
      <c r="B460" t="s">
        <v>346</v>
      </c>
      <c r="F460">
        <v>2</v>
      </c>
    </row>
    <row r="461" spans="2:6">
      <c r="B461" t="s">
        <v>347</v>
      </c>
      <c r="F461">
        <v>2</v>
      </c>
    </row>
    <row r="462" spans="2:6">
      <c r="B462" t="s">
        <v>348</v>
      </c>
      <c r="F462">
        <v>1.8</v>
      </c>
    </row>
    <row r="463" spans="2:6">
      <c r="B463" t="s">
        <v>349</v>
      </c>
      <c r="F463">
        <v>1.8</v>
      </c>
    </row>
    <row r="464" spans="2:6">
      <c r="B464" t="s">
        <v>350</v>
      </c>
      <c r="F464">
        <v>1.45</v>
      </c>
    </row>
    <row r="465" spans="2:6">
      <c r="B465" t="s">
        <v>351</v>
      </c>
      <c r="F465">
        <v>1.25</v>
      </c>
    </row>
    <row r="466" spans="2:6">
      <c r="B466" t="s">
        <v>352</v>
      </c>
      <c r="F466">
        <v>1.5</v>
      </c>
    </row>
    <row r="467" spans="2:6">
      <c r="B467" t="s">
        <v>353</v>
      </c>
      <c r="F467">
        <v>1.6</v>
      </c>
    </row>
    <row r="468" spans="2:6">
      <c r="B468" t="s">
        <v>354</v>
      </c>
      <c r="F468">
        <v>1.7</v>
      </c>
    </row>
    <row r="469" spans="2:6">
      <c r="B469" t="s">
        <v>355</v>
      </c>
      <c r="F469">
        <v>1.2</v>
      </c>
    </row>
    <row r="470" spans="2:6">
      <c r="B470" t="s">
        <v>356</v>
      </c>
      <c r="F470">
        <v>1.4</v>
      </c>
    </row>
    <row r="471" spans="2:6">
      <c r="B471" t="s">
        <v>357</v>
      </c>
      <c r="F471">
        <v>1.33</v>
      </c>
    </row>
    <row r="472" spans="2:6">
      <c r="B472" t="s">
        <v>358</v>
      </c>
      <c r="F472">
        <v>1.4</v>
      </c>
    </row>
    <row r="473" spans="2:6">
      <c r="B473" t="s">
        <v>359</v>
      </c>
      <c r="F473">
        <v>1.17</v>
      </c>
    </row>
    <row r="474" spans="2:6">
      <c r="B474" t="s">
        <v>360</v>
      </c>
      <c r="F474">
        <v>1.25</v>
      </c>
    </row>
    <row r="475" spans="2:6">
      <c r="B475" t="s">
        <v>361</v>
      </c>
      <c r="F475">
        <v>1.58</v>
      </c>
    </row>
    <row r="476" spans="2:6">
      <c r="B476" t="s">
        <v>362</v>
      </c>
      <c r="F476">
        <v>2.37</v>
      </c>
    </row>
    <row r="477" spans="2:6">
      <c r="B477" t="s">
        <v>363</v>
      </c>
      <c r="F477">
        <v>1.1200000000000001</v>
      </c>
    </row>
    <row r="478" spans="2:6">
      <c r="B478" t="s">
        <v>364</v>
      </c>
      <c r="F478">
        <v>1.36</v>
      </c>
    </row>
    <row r="479" spans="2:6">
      <c r="B479" t="s">
        <v>365</v>
      </c>
      <c r="F479">
        <v>1.3</v>
      </c>
    </row>
    <row r="480" spans="2:6">
      <c r="B480" t="s">
        <v>366</v>
      </c>
      <c r="F480">
        <v>3.15</v>
      </c>
    </row>
    <row r="481" spans="2:6">
      <c r="B481" t="s">
        <v>367</v>
      </c>
      <c r="F481">
        <v>3.5</v>
      </c>
    </row>
    <row r="482" spans="2:6">
      <c r="B482" t="s">
        <v>368</v>
      </c>
      <c r="F482">
        <v>4.5</v>
      </c>
    </row>
    <row r="483" spans="2:6">
      <c r="B483" t="s">
        <v>369</v>
      </c>
      <c r="F483">
        <v>3.18</v>
      </c>
    </row>
    <row r="484" spans="2:6">
      <c r="B484" t="s">
        <v>370</v>
      </c>
      <c r="F484">
        <v>5</v>
      </c>
    </row>
    <row r="485" spans="2:6">
      <c r="B485" t="s">
        <v>371</v>
      </c>
      <c r="F485">
        <v>3.4</v>
      </c>
    </row>
    <row r="486" spans="2:6">
      <c r="B486" t="s">
        <v>372</v>
      </c>
      <c r="F486">
        <v>1.82</v>
      </c>
    </row>
    <row r="487" spans="2:6">
      <c r="B487" t="s">
        <v>373</v>
      </c>
      <c r="F487">
        <v>1.36</v>
      </c>
    </row>
    <row r="488" spans="2:6">
      <c r="B488" t="s">
        <v>374</v>
      </c>
      <c r="F488">
        <v>1.39</v>
      </c>
    </row>
    <row r="489" spans="2:6">
      <c r="B489" t="s">
        <v>375</v>
      </c>
      <c r="F489">
        <v>1.33</v>
      </c>
    </row>
    <row r="490" spans="2:6">
      <c r="B490" t="s">
        <v>376</v>
      </c>
      <c r="F490">
        <v>3.05</v>
      </c>
    </row>
    <row r="491" spans="2:6">
      <c r="B491" t="s">
        <v>377</v>
      </c>
      <c r="F491">
        <v>3</v>
      </c>
    </row>
    <row r="492" spans="2:6">
      <c r="B492" t="s">
        <v>378</v>
      </c>
      <c r="F492">
        <v>1.69</v>
      </c>
    </row>
    <row r="493" spans="2:6">
      <c r="B493" t="s">
        <v>379</v>
      </c>
      <c r="F493">
        <v>1.59</v>
      </c>
    </row>
    <row r="494" spans="2:6">
      <c r="B494" t="s">
        <v>380</v>
      </c>
      <c r="F494">
        <v>1.59</v>
      </c>
    </row>
    <row r="495" spans="2:6">
      <c r="B495" t="s">
        <v>381</v>
      </c>
      <c r="F495">
        <v>1.61</v>
      </c>
    </row>
    <row r="496" spans="2:6">
      <c r="B496" t="s">
        <v>382</v>
      </c>
      <c r="F496">
        <v>2.35</v>
      </c>
    </row>
    <row r="497" spans="2:6">
      <c r="B497" t="s">
        <v>383</v>
      </c>
      <c r="F497">
        <v>1.84</v>
      </c>
    </row>
    <row r="498" spans="2:6">
      <c r="B498" t="s">
        <v>384</v>
      </c>
      <c r="F498">
        <v>1.74</v>
      </c>
    </row>
    <row r="499" spans="2:6">
      <c r="B499" t="s">
        <v>385</v>
      </c>
      <c r="F499">
        <v>1.81</v>
      </c>
    </row>
    <row r="500" spans="2:6">
      <c r="B500" t="s">
        <v>386</v>
      </c>
      <c r="F500">
        <v>2.14</v>
      </c>
    </row>
    <row r="501" spans="2:6">
      <c r="B501" t="s">
        <v>387</v>
      </c>
      <c r="F501">
        <v>1.78</v>
      </c>
    </row>
    <row r="502" spans="2:6">
      <c r="B502" t="s">
        <v>388</v>
      </c>
      <c r="F502">
        <v>1.78</v>
      </c>
    </row>
    <row r="503" spans="2:6">
      <c r="B503" t="s">
        <v>389</v>
      </c>
      <c r="F503">
        <v>6.3</v>
      </c>
    </row>
    <row r="504" spans="2:6">
      <c r="B504" t="s">
        <v>390</v>
      </c>
      <c r="F504">
        <v>2.8</v>
      </c>
    </row>
    <row r="505" spans="2:6">
      <c r="B505" t="s">
        <v>391</v>
      </c>
      <c r="F505">
        <v>2.89</v>
      </c>
    </row>
    <row r="506" spans="2:6">
      <c r="B506" t="s">
        <v>346</v>
      </c>
      <c r="F506">
        <v>2.0499999999999998</v>
      </c>
    </row>
    <row r="507" spans="2:6">
      <c r="B507" t="s">
        <v>392</v>
      </c>
      <c r="F507">
        <v>1.32</v>
      </c>
    </row>
    <row r="508" spans="2:6">
      <c r="B508" t="s">
        <v>393</v>
      </c>
      <c r="F508">
        <v>1.22</v>
      </c>
    </row>
    <row r="509" spans="2:6">
      <c r="B509" t="s">
        <v>394</v>
      </c>
      <c r="F509">
        <v>12.4</v>
      </c>
    </row>
    <row r="510" spans="2:6">
      <c r="B510" t="s">
        <v>395</v>
      </c>
      <c r="F510">
        <v>9.34</v>
      </c>
    </row>
    <row r="511" spans="2:6">
      <c r="B511" t="s">
        <v>396</v>
      </c>
      <c r="F511">
        <v>16.899999999999999</v>
      </c>
    </row>
    <row r="512" spans="2:6">
      <c r="B512" t="s">
        <v>397</v>
      </c>
      <c r="F512">
        <v>9.3000000000000007</v>
      </c>
    </row>
    <row r="513" spans="2:6">
      <c r="B513" t="s">
        <v>398</v>
      </c>
      <c r="F513">
        <v>7.25</v>
      </c>
    </row>
    <row r="514" spans="2:6">
      <c r="B514" t="s">
        <v>399</v>
      </c>
      <c r="F514">
        <v>7.25</v>
      </c>
    </row>
    <row r="515" spans="2:6">
      <c r="B515" t="s">
        <v>400</v>
      </c>
      <c r="F515">
        <v>7.56</v>
      </c>
    </row>
    <row r="516" spans="2:6">
      <c r="B516" t="s">
        <v>401</v>
      </c>
      <c r="F516">
        <v>10.46</v>
      </c>
    </row>
    <row r="517" spans="2:6">
      <c r="B517" t="s">
        <v>402</v>
      </c>
      <c r="F517">
        <v>9.4600000000000009</v>
      </c>
    </row>
    <row r="518" spans="2:6">
      <c r="B518" t="s">
        <v>403</v>
      </c>
      <c r="F518">
        <v>2.7</v>
      </c>
    </row>
    <row r="519" spans="2:6">
      <c r="B519" t="s">
        <v>404</v>
      </c>
      <c r="F519">
        <v>1.28</v>
      </c>
    </row>
    <row r="520" spans="2:6">
      <c r="B520" t="s">
        <v>405</v>
      </c>
      <c r="F520">
        <v>3.61</v>
      </c>
    </row>
    <row r="521" spans="2:6">
      <c r="B521" t="s">
        <v>406</v>
      </c>
      <c r="F521">
        <v>6</v>
      </c>
    </row>
    <row r="522" spans="2:6">
      <c r="B522" t="s">
        <v>407</v>
      </c>
      <c r="F522">
        <v>5.47</v>
      </c>
    </row>
    <row r="523" spans="2:6">
      <c r="B523" t="s">
        <v>408</v>
      </c>
      <c r="F523">
        <v>5.26</v>
      </c>
    </row>
    <row r="524" spans="2:6">
      <c r="B524" t="s">
        <v>409</v>
      </c>
      <c r="F524">
        <v>5.14</v>
      </c>
    </row>
    <row r="525" spans="2:6">
      <c r="B525" t="s">
        <v>410</v>
      </c>
      <c r="F525">
        <v>6</v>
      </c>
    </row>
    <row r="526" spans="2:6">
      <c r="B526" t="s">
        <v>411</v>
      </c>
      <c r="F526">
        <v>4.25</v>
      </c>
    </row>
    <row r="527" spans="2:6">
      <c r="B527" t="s">
        <v>412</v>
      </c>
      <c r="F527">
        <v>8</v>
      </c>
    </row>
    <row r="528" spans="2:6">
      <c r="B528" t="s">
        <v>413</v>
      </c>
      <c r="F528">
        <v>1.2</v>
      </c>
    </row>
    <row r="529" spans="2:6">
      <c r="B529" t="s">
        <v>414</v>
      </c>
      <c r="F529">
        <v>26.8</v>
      </c>
    </row>
    <row r="530" spans="2:6">
      <c r="B530" t="s">
        <v>415</v>
      </c>
      <c r="F530">
        <v>10.7</v>
      </c>
    </row>
    <row r="531" spans="2:6">
      <c r="B531" t="s">
        <v>416</v>
      </c>
      <c r="F531">
        <v>1.32</v>
      </c>
    </row>
    <row r="532" spans="2:6">
      <c r="B532" t="s">
        <v>417</v>
      </c>
      <c r="F532">
        <v>1.24</v>
      </c>
    </row>
    <row r="533" spans="2:6">
      <c r="B533" t="s">
        <v>418</v>
      </c>
      <c r="F533">
        <v>5.2</v>
      </c>
    </row>
    <row r="534" spans="2:6">
      <c r="B534" t="s">
        <v>419</v>
      </c>
      <c r="F534">
        <v>1.08</v>
      </c>
    </row>
    <row r="535" spans="2:6">
      <c r="B535" t="s">
        <v>420</v>
      </c>
      <c r="F535">
        <v>1.27</v>
      </c>
    </row>
    <row r="536" spans="2:6">
      <c r="B536" t="s">
        <v>421</v>
      </c>
      <c r="F536">
        <v>1.8</v>
      </c>
    </row>
    <row r="537" spans="2:6">
      <c r="B537" t="s">
        <v>422</v>
      </c>
      <c r="F537">
        <v>2.06</v>
      </c>
    </row>
    <row r="538" spans="2:6">
      <c r="B538" t="s">
        <v>423</v>
      </c>
      <c r="F538">
        <v>1.27</v>
      </c>
    </row>
    <row r="539" spans="2:6">
      <c r="B539" t="s">
        <v>424</v>
      </c>
      <c r="F539">
        <v>2.04</v>
      </c>
    </row>
    <row r="540" spans="2:6">
      <c r="B540" t="s">
        <v>425</v>
      </c>
      <c r="F540">
        <v>1.1000000000000001</v>
      </c>
    </row>
    <row r="541" spans="2:6">
      <c r="B541" t="s">
        <v>426</v>
      </c>
      <c r="F541">
        <v>2.6</v>
      </c>
    </row>
    <row r="542" spans="2:6">
      <c r="B542" t="s">
        <v>427</v>
      </c>
      <c r="F542">
        <v>1.5</v>
      </c>
    </row>
    <row r="543" spans="2:6">
      <c r="B543" t="s">
        <v>428</v>
      </c>
      <c r="F543">
        <v>1.2</v>
      </c>
    </row>
    <row r="544" spans="2:6">
      <c r="B544" t="s">
        <v>429</v>
      </c>
      <c r="F544">
        <v>1.67</v>
      </c>
    </row>
    <row r="545" spans="2:6">
      <c r="B545" t="s">
        <v>430</v>
      </c>
      <c r="F545">
        <v>2.08</v>
      </c>
    </row>
    <row r="546" spans="2:6">
      <c r="B546" t="s">
        <v>431</v>
      </c>
      <c r="F546">
        <v>2.6</v>
      </c>
    </row>
    <row r="547" spans="2:6">
      <c r="B547" t="s">
        <v>432</v>
      </c>
      <c r="F547">
        <v>0.62</v>
      </c>
    </row>
    <row r="548" spans="2:6">
      <c r="B548" t="s">
        <v>433</v>
      </c>
      <c r="F548">
        <v>1.52</v>
      </c>
    </row>
    <row r="549" spans="2:6">
      <c r="B549" t="s">
        <v>434</v>
      </c>
      <c r="F549">
        <v>2.9</v>
      </c>
    </row>
    <row r="550" spans="2:6">
      <c r="B550" t="s">
        <v>435</v>
      </c>
      <c r="F550">
        <v>2.35</v>
      </c>
    </row>
    <row r="551" spans="2:6">
      <c r="B551" t="s">
        <v>436</v>
      </c>
      <c r="F551">
        <v>2.82</v>
      </c>
    </row>
    <row r="552" spans="2:6">
      <c r="B552" t="s">
        <v>437</v>
      </c>
      <c r="F552">
        <v>1.5</v>
      </c>
    </row>
    <row r="553" spans="2:6">
      <c r="B553" t="s">
        <v>438</v>
      </c>
      <c r="F553">
        <v>1.49</v>
      </c>
    </row>
    <row r="554" spans="2:6">
      <c r="B554" t="s">
        <v>439</v>
      </c>
      <c r="F554">
        <v>1.49</v>
      </c>
    </row>
    <row r="555" spans="2:6">
      <c r="B555" t="s">
        <v>440</v>
      </c>
      <c r="F555">
        <v>1.5</v>
      </c>
    </row>
    <row r="556" spans="2:6">
      <c r="B556" t="s">
        <v>441</v>
      </c>
      <c r="F556">
        <v>1.49</v>
      </c>
    </row>
    <row r="557" spans="2:6">
      <c r="B557" t="s">
        <v>442</v>
      </c>
      <c r="F557">
        <v>1.49</v>
      </c>
    </row>
    <row r="558" spans="2:6">
      <c r="B558" t="s">
        <v>443</v>
      </c>
      <c r="F558">
        <v>1.79</v>
      </c>
    </row>
    <row r="559" spans="2:6">
      <c r="B559" t="s">
        <v>444</v>
      </c>
      <c r="F559">
        <v>2.29</v>
      </c>
    </row>
    <row r="560" spans="2:6">
      <c r="B560" t="s">
        <v>445</v>
      </c>
      <c r="F560">
        <v>1.66</v>
      </c>
    </row>
    <row r="561" spans="2:6">
      <c r="B561" t="s">
        <v>446</v>
      </c>
      <c r="F561">
        <v>1.4</v>
      </c>
    </row>
    <row r="562" spans="2:6">
      <c r="B562" t="s">
        <v>447</v>
      </c>
      <c r="F562">
        <v>1.59</v>
      </c>
    </row>
    <row r="563" spans="2:6">
      <c r="B563" t="s">
        <v>448</v>
      </c>
      <c r="F563">
        <v>1.2</v>
      </c>
    </row>
    <row r="564" spans="2:6">
      <c r="B564" t="s">
        <v>449</v>
      </c>
      <c r="F564">
        <v>1.47</v>
      </c>
    </row>
    <row r="565" spans="2:6">
      <c r="B565" t="s">
        <v>450</v>
      </c>
      <c r="F565">
        <v>1.24</v>
      </c>
    </row>
    <row r="566" spans="2:6">
      <c r="B566" t="s">
        <v>111</v>
      </c>
      <c r="F566">
        <v>1.35</v>
      </c>
    </row>
    <row r="567" spans="2:6">
      <c r="B567" t="s">
        <v>451</v>
      </c>
      <c r="F567">
        <v>2.14</v>
      </c>
    </row>
    <row r="568" spans="2:6">
      <c r="B568" t="s">
        <v>452</v>
      </c>
      <c r="F568">
        <v>1.71</v>
      </c>
    </row>
    <row r="569" spans="2:6">
      <c r="B569" t="s">
        <v>453</v>
      </c>
      <c r="F569">
        <v>1.85</v>
      </c>
    </row>
    <row r="570" spans="2:6">
      <c r="B570" t="s">
        <v>454</v>
      </c>
      <c r="F570">
        <v>1.85</v>
      </c>
    </row>
    <row r="571" spans="2:6">
      <c r="B571" t="s">
        <v>455</v>
      </c>
      <c r="F571">
        <v>1.36</v>
      </c>
    </row>
    <row r="572" spans="2:6">
      <c r="B572" t="s">
        <v>456</v>
      </c>
      <c r="F572">
        <v>1.26</v>
      </c>
    </row>
    <row r="573" spans="2:6">
      <c r="B573" t="s">
        <v>457</v>
      </c>
      <c r="F573">
        <v>2</v>
      </c>
    </row>
    <row r="574" spans="2:6">
      <c r="B574" t="s">
        <v>458</v>
      </c>
      <c r="F574">
        <v>2</v>
      </c>
    </row>
    <row r="575" spans="2:6">
      <c r="B575" t="s">
        <v>459</v>
      </c>
      <c r="F575">
        <v>1.82</v>
      </c>
    </row>
    <row r="576" spans="2:6">
      <c r="B576" t="s">
        <v>460</v>
      </c>
      <c r="F576">
        <v>1.51</v>
      </c>
    </row>
    <row r="577" spans="2:6">
      <c r="B577" t="s">
        <v>461</v>
      </c>
      <c r="F577">
        <v>1.29</v>
      </c>
    </row>
    <row r="578" spans="2:6">
      <c r="B578" t="s">
        <v>462</v>
      </c>
      <c r="F578">
        <v>1.27</v>
      </c>
    </row>
    <row r="579" spans="2:6">
      <c r="B579" t="s">
        <v>463</v>
      </c>
      <c r="F579">
        <v>1.28</v>
      </c>
    </row>
    <row r="580" spans="2:6">
      <c r="B580" t="s">
        <v>464</v>
      </c>
      <c r="F580">
        <v>1.32</v>
      </c>
    </row>
    <row r="581" spans="2:6">
      <c r="B581" t="s">
        <v>465</v>
      </c>
      <c r="F581">
        <v>1.55</v>
      </c>
    </row>
    <row r="582" spans="2:6">
      <c r="B582" t="s">
        <v>466</v>
      </c>
      <c r="F582">
        <v>1.36</v>
      </c>
    </row>
    <row r="583" spans="2:6">
      <c r="B583" t="s">
        <v>467</v>
      </c>
      <c r="F583">
        <v>1.46</v>
      </c>
    </row>
    <row r="584" spans="2:6">
      <c r="B584" t="s">
        <v>468</v>
      </c>
      <c r="F584">
        <v>1.74</v>
      </c>
    </row>
    <row r="585" spans="2:6">
      <c r="B585" t="s">
        <v>469</v>
      </c>
      <c r="F585">
        <v>2.5099999999999998</v>
      </c>
    </row>
    <row r="586" spans="2:6">
      <c r="B586" t="s">
        <v>470</v>
      </c>
      <c r="F586">
        <v>1.43</v>
      </c>
    </row>
    <row r="587" spans="2:6">
      <c r="B587" t="s">
        <v>471</v>
      </c>
      <c r="F587">
        <v>2.86</v>
      </c>
    </row>
    <row r="588" spans="2:6">
      <c r="B588" t="s">
        <v>472</v>
      </c>
      <c r="F588">
        <v>1.85</v>
      </c>
    </row>
    <row r="589" spans="2:6">
      <c r="B589" t="s">
        <v>473</v>
      </c>
      <c r="F589">
        <v>2.79</v>
      </c>
    </row>
    <row r="590" spans="2:6">
      <c r="B590" t="s">
        <v>474</v>
      </c>
      <c r="F590">
        <v>3.09</v>
      </c>
    </row>
    <row r="591" spans="2:6">
      <c r="B591" t="s">
        <v>475</v>
      </c>
      <c r="F591">
        <v>2.04</v>
      </c>
    </row>
    <row r="592" spans="2:6">
      <c r="B592" t="s">
        <v>476</v>
      </c>
      <c r="F592">
        <v>1.0900000000000001</v>
      </c>
    </row>
    <row r="593" spans="2:6">
      <c r="B593" t="s">
        <v>477</v>
      </c>
      <c r="F593">
        <v>1.36</v>
      </c>
    </row>
    <row r="594" spans="2:6">
      <c r="B594" t="s">
        <v>478</v>
      </c>
      <c r="F594">
        <v>1.17</v>
      </c>
    </row>
    <row r="595" spans="2:6">
      <c r="B595" t="s">
        <v>54</v>
      </c>
      <c r="F595">
        <v>1.32</v>
      </c>
    </row>
    <row r="596" spans="2:6">
      <c r="B596" t="s">
        <v>352</v>
      </c>
      <c r="F596">
        <v>1.49</v>
      </c>
    </row>
    <row r="597" spans="2:6">
      <c r="B597" t="s">
        <v>479</v>
      </c>
      <c r="F597">
        <v>2</v>
      </c>
    </row>
    <row r="598" spans="2:6">
      <c r="B598" t="s">
        <v>480</v>
      </c>
      <c r="F598">
        <v>1.24</v>
      </c>
    </row>
    <row r="599" spans="2:6">
      <c r="B599" t="s">
        <v>481</v>
      </c>
      <c r="F599">
        <v>1.75</v>
      </c>
    </row>
    <row r="600" spans="2:6">
      <c r="B600" t="s">
        <v>482</v>
      </c>
      <c r="F600">
        <v>2.74</v>
      </c>
    </row>
    <row r="601" spans="2:6">
      <c r="B601" t="s">
        <v>483</v>
      </c>
      <c r="F601">
        <v>2.87</v>
      </c>
    </row>
    <row r="602" spans="2:6">
      <c r="B602" t="s">
        <v>484</v>
      </c>
      <c r="F602">
        <v>2.2599999999999998</v>
      </c>
    </row>
    <row r="603" spans="2:6">
      <c r="B603" t="s">
        <v>485</v>
      </c>
      <c r="F603">
        <v>1.26</v>
      </c>
    </row>
    <row r="604" spans="2:6">
      <c r="B604" t="s">
        <v>486</v>
      </c>
      <c r="F604">
        <v>1.26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E8CD5-22C0-436C-973D-FE143EFBAC07}">
  <sheetPr>
    <tabColor theme="5"/>
  </sheetPr>
  <dimension ref="A1:D88"/>
  <sheetViews>
    <sheetView workbookViewId="0">
      <selection activeCell="R47" sqref="R47"/>
    </sheetView>
  </sheetViews>
  <sheetFormatPr defaultRowHeight="15"/>
  <cols>
    <col min="1" max="1" width="9.5703125" bestFit="1" customWidth="1"/>
    <col min="2" max="2" width="7" bestFit="1" customWidth="1"/>
    <col min="3" max="3" width="35.5703125" bestFit="1" customWidth="1"/>
    <col min="4" max="4" width="40.140625" bestFit="1" customWidth="1"/>
  </cols>
  <sheetData>
    <row r="1" spans="1:4" ht="45.75" thickBot="1">
      <c r="A1" s="44" t="s">
        <v>545</v>
      </c>
      <c r="B1" s="44" t="s">
        <v>546</v>
      </c>
      <c r="C1" s="44" t="s">
        <v>547</v>
      </c>
      <c r="D1" s="44" t="s">
        <v>548</v>
      </c>
    </row>
    <row r="2" spans="1:4">
      <c r="A2" s="45" t="s">
        <v>44</v>
      </c>
      <c r="B2" s="45" t="s">
        <v>549</v>
      </c>
      <c r="C2" s="45" t="s">
        <v>550</v>
      </c>
    </row>
    <row r="3" spans="1:4">
      <c r="A3" s="45" t="s">
        <v>44</v>
      </c>
      <c r="B3" s="45" t="s">
        <v>551</v>
      </c>
      <c r="C3" s="45" t="s">
        <v>552</v>
      </c>
    </row>
    <row r="4" spans="1:4">
      <c r="A4" s="45" t="s">
        <v>44</v>
      </c>
      <c r="B4" s="45" t="s">
        <v>553</v>
      </c>
      <c r="C4" s="45" t="s">
        <v>554</v>
      </c>
    </row>
    <row r="5" spans="1:4">
      <c r="A5" s="45" t="s">
        <v>44</v>
      </c>
      <c r="B5" s="45" t="s">
        <v>555</v>
      </c>
      <c r="C5" s="45" t="s">
        <v>556</v>
      </c>
    </row>
    <row r="6" spans="1:4">
      <c r="A6" s="45" t="s">
        <v>44</v>
      </c>
      <c r="B6" s="45" t="s">
        <v>557</v>
      </c>
      <c r="C6" s="45" t="s">
        <v>558</v>
      </c>
    </row>
    <row r="7" spans="1:4">
      <c r="A7" s="45" t="s">
        <v>44</v>
      </c>
      <c r="B7" s="45" t="s">
        <v>559</v>
      </c>
      <c r="C7" s="45" t="s">
        <v>560</v>
      </c>
      <c r="D7" s="46" t="s">
        <v>561</v>
      </c>
    </row>
    <row r="8" spans="1:4">
      <c r="A8" s="45" t="s">
        <v>44</v>
      </c>
      <c r="B8" s="45" t="s">
        <v>562</v>
      </c>
      <c r="C8" s="45" t="s">
        <v>563</v>
      </c>
    </row>
    <row r="9" spans="1:4">
      <c r="A9" s="45" t="s">
        <v>44</v>
      </c>
      <c r="B9" s="45" t="s">
        <v>564</v>
      </c>
      <c r="C9" s="45" t="s">
        <v>565</v>
      </c>
    </row>
    <row r="10" spans="1:4">
      <c r="A10" s="45" t="s">
        <v>44</v>
      </c>
      <c r="B10" s="45" t="s">
        <v>566</v>
      </c>
      <c r="C10" s="45" t="s">
        <v>567</v>
      </c>
    </row>
    <row r="11" spans="1:4">
      <c r="A11" s="45" t="s">
        <v>44</v>
      </c>
      <c r="B11" s="45" t="s">
        <v>568</v>
      </c>
      <c r="C11" s="45" t="s">
        <v>569</v>
      </c>
    </row>
    <row r="12" spans="1:4">
      <c r="A12" s="45" t="s">
        <v>44</v>
      </c>
      <c r="B12" s="45" t="s">
        <v>570</v>
      </c>
      <c r="C12" s="45" t="s">
        <v>571</v>
      </c>
    </row>
    <row r="13" spans="1:4">
      <c r="A13" s="45" t="s">
        <v>44</v>
      </c>
      <c r="B13" s="45" t="s">
        <v>572</v>
      </c>
      <c r="C13" s="45" t="s">
        <v>573</v>
      </c>
    </row>
    <row r="14" spans="1:4">
      <c r="A14" s="45" t="s">
        <v>44</v>
      </c>
      <c r="B14" s="45" t="s">
        <v>574</v>
      </c>
      <c r="C14" s="45" t="s">
        <v>575</v>
      </c>
    </row>
    <row r="15" spans="1:4">
      <c r="A15" s="45" t="s">
        <v>44</v>
      </c>
      <c r="B15" s="45" t="s">
        <v>576</v>
      </c>
      <c r="C15" s="45" t="s">
        <v>577</v>
      </c>
      <c r="D15" s="46" t="s">
        <v>578</v>
      </c>
    </row>
    <row r="16" spans="1:4">
      <c r="A16" s="45" t="s">
        <v>44</v>
      </c>
      <c r="B16" s="45" t="s">
        <v>579</v>
      </c>
      <c r="C16" s="45" t="s">
        <v>580</v>
      </c>
      <c r="D16" s="46" t="s">
        <v>581</v>
      </c>
    </row>
    <row r="17" spans="1:4">
      <c r="A17" s="45" t="s">
        <v>44</v>
      </c>
      <c r="B17" s="45" t="s">
        <v>582</v>
      </c>
      <c r="C17" s="45" t="s">
        <v>583</v>
      </c>
      <c r="D17" s="46" t="s">
        <v>584</v>
      </c>
    </row>
    <row r="18" spans="1:4">
      <c r="A18" s="45" t="s">
        <v>44</v>
      </c>
      <c r="B18" s="45" t="s">
        <v>585</v>
      </c>
      <c r="C18" s="45" t="s">
        <v>586</v>
      </c>
    </row>
    <row r="19" spans="1:4">
      <c r="A19" s="45" t="s">
        <v>44</v>
      </c>
      <c r="B19" s="45" t="s">
        <v>587</v>
      </c>
      <c r="C19" s="45" t="s">
        <v>588</v>
      </c>
    </row>
    <row r="20" spans="1:4">
      <c r="A20" s="45" t="s">
        <v>44</v>
      </c>
      <c r="B20" s="45" t="s">
        <v>589</v>
      </c>
      <c r="C20" s="45" t="s">
        <v>590</v>
      </c>
      <c r="D20" s="46" t="s">
        <v>591</v>
      </c>
    </row>
    <row r="21" spans="1:4">
      <c r="A21" s="45" t="s">
        <v>44</v>
      </c>
      <c r="B21" s="45" t="s">
        <v>592</v>
      </c>
      <c r="C21" s="45" t="s">
        <v>593</v>
      </c>
    </row>
    <row r="22" spans="1:4">
      <c r="A22" s="45" t="s">
        <v>44</v>
      </c>
      <c r="B22" s="45" t="s">
        <v>594</v>
      </c>
      <c r="C22" s="45" t="s">
        <v>595</v>
      </c>
    </row>
    <row r="23" spans="1:4">
      <c r="A23" s="45" t="s">
        <v>44</v>
      </c>
      <c r="B23" s="45" t="s">
        <v>596</v>
      </c>
      <c r="C23" s="45" t="s">
        <v>597</v>
      </c>
    </row>
    <row r="24" spans="1:4">
      <c r="A24" s="45" t="s">
        <v>44</v>
      </c>
      <c r="B24" s="45" t="s">
        <v>598</v>
      </c>
      <c r="C24" s="45" t="s">
        <v>599</v>
      </c>
    </row>
    <row r="25" spans="1:4">
      <c r="A25" s="45" t="s">
        <v>44</v>
      </c>
      <c r="B25" s="45" t="s">
        <v>600</v>
      </c>
      <c r="C25" s="45" t="s">
        <v>601</v>
      </c>
    </row>
    <row r="26" spans="1:4">
      <c r="A26" s="45" t="s">
        <v>44</v>
      </c>
      <c r="B26" s="45" t="s">
        <v>602</v>
      </c>
      <c r="C26" s="45" t="s">
        <v>603</v>
      </c>
    </row>
    <row r="27" spans="1:4">
      <c r="A27" s="45" t="s">
        <v>44</v>
      </c>
      <c r="B27" s="45" t="s">
        <v>604</v>
      </c>
      <c r="C27" s="45" t="s">
        <v>605</v>
      </c>
    </row>
    <row r="28" spans="1:4">
      <c r="A28" s="45" t="s">
        <v>44</v>
      </c>
      <c r="B28" s="45" t="s">
        <v>606</v>
      </c>
      <c r="C28" s="45" t="s">
        <v>607</v>
      </c>
    </row>
    <row r="29" spans="1:4">
      <c r="A29" s="45" t="s">
        <v>44</v>
      </c>
      <c r="B29" s="45" t="s">
        <v>608</v>
      </c>
      <c r="C29" s="45" t="s">
        <v>609</v>
      </c>
    </row>
    <row r="30" spans="1:4">
      <c r="A30" s="45" t="s">
        <v>44</v>
      </c>
      <c r="B30" s="45" t="s">
        <v>610</v>
      </c>
      <c r="C30" s="45" t="s">
        <v>611</v>
      </c>
    </row>
    <row r="31" spans="1:4">
      <c r="A31" s="45" t="s">
        <v>44</v>
      </c>
      <c r="B31" s="45" t="s">
        <v>612</v>
      </c>
      <c r="C31" s="45" t="s">
        <v>613</v>
      </c>
      <c r="D31" s="46" t="s">
        <v>614</v>
      </c>
    </row>
    <row r="32" spans="1:4">
      <c r="A32" s="45" t="s">
        <v>44</v>
      </c>
      <c r="B32" s="45" t="s">
        <v>615</v>
      </c>
      <c r="C32" s="45" t="s">
        <v>616</v>
      </c>
      <c r="D32" s="46" t="s">
        <v>617</v>
      </c>
    </row>
    <row r="33" spans="1:4">
      <c r="A33" s="45" t="s">
        <v>44</v>
      </c>
      <c r="B33" s="45" t="s">
        <v>618</v>
      </c>
      <c r="C33" s="45" t="s">
        <v>619</v>
      </c>
      <c r="D33" s="46" t="s">
        <v>620</v>
      </c>
    </row>
    <row r="34" spans="1:4">
      <c r="A34" s="45" t="s">
        <v>44</v>
      </c>
      <c r="B34" s="45" t="s">
        <v>621</v>
      </c>
      <c r="C34" s="45" t="s">
        <v>622</v>
      </c>
    </row>
    <row r="35" spans="1:4">
      <c r="A35" s="45" t="s">
        <v>44</v>
      </c>
      <c r="B35" s="45" t="s">
        <v>623</v>
      </c>
      <c r="C35" s="45" t="s">
        <v>624</v>
      </c>
      <c r="D35" s="46" t="s">
        <v>625</v>
      </c>
    </row>
    <row r="36" spans="1:4">
      <c r="A36" s="45" t="s">
        <v>44</v>
      </c>
      <c r="B36" s="45" t="s">
        <v>626</v>
      </c>
      <c r="C36" s="45" t="s">
        <v>627</v>
      </c>
      <c r="D36" s="46" t="s">
        <v>628</v>
      </c>
    </row>
    <row r="37" spans="1:4">
      <c r="A37" s="45" t="s">
        <v>44</v>
      </c>
      <c r="B37" s="45" t="s">
        <v>629</v>
      </c>
      <c r="C37" s="45" t="s">
        <v>630</v>
      </c>
    </row>
    <row r="38" spans="1:4">
      <c r="A38" s="45" t="s">
        <v>44</v>
      </c>
      <c r="B38" s="45" t="s">
        <v>631</v>
      </c>
      <c r="C38" s="45" t="s">
        <v>632</v>
      </c>
    </row>
    <row r="39" spans="1:4">
      <c r="A39" s="45" t="s">
        <v>44</v>
      </c>
      <c r="B39" s="45" t="s">
        <v>633</v>
      </c>
      <c r="C39" s="45" t="s">
        <v>634</v>
      </c>
    </row>
    <row r="40" spans="1:4">
      <c r="A40" s="45" t="s">
        <v>44</v>
      </c>
      <c r="B40" s="45" t="s">
        <v>635</v>
      </c>
      <c r="C40" s="45" t="s">
        <v>636</v>
      </c>
      <c r="D40" s="46" t="s">
        <v>637</v>
      </c>
    </row>
    <row r="41" spans="1:4">
      <c r="A41" s="45" t="s">
        <v>44</v>
      </c>
      <c r="B41" s="45" t="s">
        <v>638</v>
      </c>
      <c r="C41" s="45" t="s">
        <v>639</v>
      </c>
    </row>
    <row r="42" spans="1:4">
      <c r="A42" s="45" t="s">
        <v>44</v>
      </c>
      <c r="B42" s="45" t="s">
        <v>640</v>
      </c>
      <c r="C42" s="45" t="s">
        <v>641</v>
      </c>
    </row>
    <row r="43" spans="1:4">
      <c r="A43" s="45" t="s">
        <v>44</v>
      </c>
      <c r="B43" s="45" t="s">
        <v>642</v>
      </c>
      <c r="C43" s="45" t="s">
        <v>643</v>
      </c>
    </row>
    <row r="44" spans="1:4">
      <c r="A44" s="45" t="s">
        <v>44</v>
      </c>
      <c r="B44" s="45" t="s">
        <v>644</v>
      </c>
      <c r="C44" s="45" t="s">
        <v>645</v>
      </c>
      <c r="D44" s="46" t="s">
        <v>646</v>
      </c>
    </row>
    <row r="45" spans="1:4">
      <c r="A45" s="45" t="s">
        <v>44</v>
      </c>
      <c r="B45" s="45" t="s">
        <v>647</v>
      </c>
      <c r="C45" s="45" t="s">
        <v>648</v>
      </c>
      <c r="D45" s="46" t="s">
        <v>649</v>
      </c>
    </row>
    <row r="46" spans="1:4">
      <c r="A46" s="45" t="s">
        <v>44</v>
      </c>
      <c r="B46" s="45" t="s">
        <v>650</v>
      </c>
      <c r="C46" s="45" t="s">
        <v>651</v>
      </c>
    </row>
    <row r="47" spans="1:4">
      <c r="A47" s="45" t="s">
        <v>44</v>
      </c>
      <c r="B47" s="45" t="s">
        <v>652</v>
      </c>
      <c r="C47" s="45" t="s">
        <v>653</v>
      </c>
    </row>
    <row r="48" spans="1:4">
      <c r="A48" s="45" t="s">
        <v>44</v>
      </c>
      <c r="B48" s="45" t="s">
        <v>654</v>
      </c>
      <c r="C48" s="45" t="s">
        <v>655</v>
      </c>
    </row>
    <row r="49" spans="1:4">
      <c r="A49" s="45" t="s">
        <v>44</v>
      </c>
      <c r="B49" s="45" t="s">
        <v>656</v>
      </c>
      <c r="C49" s="45" t="s">
        <v>657</v>
      </c>
      <c r="D49" s="46" t="s">
        <v>658</v>
      </c>
    </row>
    <row r="50" spans="1:4">
      <c r="A50" s="45" t="s">
        <v>44</v>
      </c>
      <c r="B50" s="45" t="s">
        <v>659</v>
      </c>
      <c r="C50" s="45" t="s">
        <v>660</v>
      </c>
    </row>
    <row r="51" spans="1:4">
      <c r="A51" s="45" t="s">
        <v>44</v>
      </c>
      <c r="B51" s="45" t="s">
        <v>661</v>
      </c>
      <c r="C51" s="45" t="s">
        <v>662</v>
      </c>
    </row>
    <row r="52" spans="1:4">
      <c r="A52" s="45" t="s">
        <v>44</v>
      </c>
      <c r="B52" s="45" t="s">
        <v>663</v>
      </c>
      <c r="C52" s="45" t="s">
        <v>664</v>
      </c>
    </row>
    <row r="53" spans="1:4">
      <c r="A53" s="45" t="s">
        <v>44</v>
      </c>
      <c r="B53" s="45" t="s">
        <v>665</v>
      </c>
      <c r="C53" s="45" t="s">
        <v>666</v>
      </c>
    </row>
    <row r="54" spans="1:4">
      <c r="A54" s="45" t="s">
        <v>44</v>
      </c>
      <c r="B54" s="45" t="s">
        <v>667</v>
      </c>
      <c r="C54" s="45" t="s">
        <v>668</v>
      </c>
    </row>
    <row r="55" spans="1:4">
      <c r="A55" s="45" t="s">
        <v>44</v>
      </c>
      <c r="B55" s="45" t="s">
        <v>669</v>
      </c>
      <c r="C55" s="45" t="s">
        <v>670</v>
      </c>
    </row>
    <row r="56" spans="1:4">
      <c r="A56" s="45" t="s">
        <v>44</v>
      </c>
      <c r="B56" s="45" t="s">
        <v>671</v>
      </c>
      <c r="C56" s="45" t="s">
        <v>672</v>
      </c>
    </row>
    <row r="57" spans="1:4">
      <c r="A57" s="45" t="s">
        <v>44</v>
      </c>
      <c r="B57" s="45" t="s">
        <v>673</v>
      </c>
      <c r="C57" s="45" t="s">
        <v>674</v>
      </c>
      <c r="D57" s="46" t="s">
        <v>675</v>
      </c>
    </row>
    <row r="58" spans="1:4">
      <c r="A58" s="45" t="s">
        <v>44</v>
      </c>
      <c r="B58" s="45" t="s">
        <v>676</v>
      </c>
      <c r="C58" s="45" t="s">
        <v>677</v>
      </c>
    </row>
    <row r="59" spans="1:4">
      <c r="A59" s="45" t="s">
        <v>44</v>
      </c>
      <c r="B59" s="45" t="s">
        <v>678</v>
      </c>
      <c r="C59" s="45" t="s">
        <v>679</v>
      </c>
    </row>
    <row r="60" spans="1:4">
      <c r="A60" s="45" t="s">
        <v>44</v>
      </c>
      <c r="B60" s="45" t="s">
        <v>680</v>
      </c>
      <c r="C60" s="45" t="s">
        <v>681</v>
      </c>
    </row>
    <row r="61" spans="1:4">
      <c r="A61" s="45" t="s">
        <v>44</v>
      </c>
      <c r="B61" s="45" t="s">
        <v>682</v>
      </c>
      <c r="C61" s="45" t="s">
        <v>683</v>
      </c>
    </row>
    <row r="62" spans="1:4">
      <c r="A62" s="45" t="s">
        <v>44</v>
      </c>
      <c r="B62" s="45" t="s">
        <v>684</v>
      </c>
      <c r="C62" s="45" t="s">
        <v>685</v>
      </c>
    </row>
    <row r="63" spans="1:4">
      <c r="A63" s="45" t="s">
        <v>44</v>
      </c>
      <c r="B63" s="45" t="s">
        <v>686</v>
      </c>
      <c r="C63" s="45" t="s">
        <v>687</v>
      </c>
    </row>
    <row r="64" spans="1:4">
      <c r="A64" s="45" t="s">
        <v>44</v>
      </c>
      <c r="B64" s="45" t="s">
        <v>688</v>
      </c>
      <c r="C64" s="45" t="s">
        <v>689</v>
      </c>
      <c r="D64" s="46" t="s">
        <v>690</v>
      </c>
    </row>
    <row r="65" spans="1:3">
      <c r="A65" s="45" t="s">
        <v>44</v>
      </c>
      <c r="B65" s="45" t="s">
        <v>691</v>
      </c>
      <c r="C65" s="45" t="s">
        <v>692</v>
      </c>
    </row>
    <row r="66" spans="1:3">
      <c r="A66" s="45" t="s">
        <v>44</v>
      </c>
      <c r="B66" s="45" t="s">
        <v>693</v>
      </c>
      <c r="C66" s="45" t="s">
        <v>694</v>
      </c>
    </row>
    <row r="67" spans="1:3">
      <c r="A67" s="45" t="s">
        <v>44</v>
      </c>
      <c r="B67" s="45" t="s">
        <v>695</v>
      </c>
      <c r="C67" s="45" t="s">
        <v>696</v>
      </c>
    </row>
    <row r="68" spans="1:3">
      <c r="A68" s="45" t="s">
        <v>44</v>
      </c>
      <c r="B68" s="45" t="s">
        <v>697</v>
      </c>
      <c r="C68" s="45" t="s">
        <v>698</v>
      </c>
    </row>
    <row r="69" spans="1:3">
      <c r="A69" s="45" t="s">
        <v>44</v>
      </c>
      <c r="B69" s="45" t="s">
        <v>699</v>
      </c>
      <c r="C69" s="45" t="s">
        <v>700</v>
      </c>
    </row>
    <row r="70" spans="1:3">
      <c r="A70" s="45" t="s">
        <v>44</v>
      </c>
      <c r="B70" s="45" t="s">
        <v>701</v>
      </c>
      <c r="C70" s="45" t="s">
        <v>702</v>
      </c>
    </row>
    <row r="71" spans="1:3">
      <c r="A71" s="45" t="s">
        <v>44</v>
      </c>
      <c r="B71" s="45" t="s">
        <v>703</v>
      </c>
      <c r="C71" s="45" t="s">
        <v>704</v>
      </c>
    </row>
    <row r="72" spans="1:3">
      <c r="A72" s="45" t="s">
        <v>44</v>
      </c>
      <c r="B72" s="45" t="s">
        <v>705</v>
      </c>
      <c r="C72" s="45" t="s">
        <v>706</v>
      </c>
    </row>
    <row r="73" spans="1:3">
      <c r="A73" s="45" t="s">
        <v>44</v>
      </c>
      <c r="B73" s="45" t="s">
        <v>707</v>
      </c>
      <c r="C73" s="45" t="s">
        <v>708</v>
      </c>
    </row>
    <row r="74" spans="1:3">
      <c r="A74" s="45" t="s">
        <v>44</v>
      </c>
      <c r="B74" s="45" t="s">
        <v>709</v>
      </c>
      <c r="C74" s="45" t="s">
        <v>710</v>
      </c>
    </row>
    <row r="75" spans="1:3">
      <c r="A75" s="45" t="s">
        <v>44</v>
      </c>
      <c r="B75" s="45" t="s">
        <v>711</v>
      </c>
      <c r="C75" s="45" t="s">
        <v>712</v>
      </c>
    </row>
    <row r="76" spans="1:3">
      <c r="A76" s="45" t="s">
        <v>44</v>
      </c>
      <c r="B76" s="45" t="s">
        <v>713</v>
      </c>
      <c r="C76" s="45" t="s">
        <v>714</v>
      </c>
    </row>
    <row r="77" spans="1:3">
      <c r="A77" s="45" t="s">
        <v>44</v>
      </c>
      <c r="B77" s="45" t="s">
        <v>715</v>
      </c>
      <c r="C77" s="45" t="s">
        <v>716</v>
      </c>
    </row>
    <row r="78" spans="1:3">
      <c r="A78" s="45" t="s">
        <v>44</v>
      </c>
      <c r="B78" s="45" t="s">
        <v>717</v>
      </c>
      <c r="C78" s="45" t="s">
        <v>718</v>
      </c>
    </row>
    <row r="79" spans="1:3">
      <c r="A79" s="45" t="s">
        <v>44</v>
      </c>
      <c r="B79" s="45" t="s">
        <v>719</v>
      </c>
      <c r="C79" s="45" t="s">
        <v>720</v>
      </c>
    </row>
    <row r="80" spans="1:3">
      <c r="A80" s="45" t="s">
        <v>44</v>
      </c>
      <c r="B80" s="45" t="s">
        <v>721</v>
      </c>
      <c r="C80" s="45" t="s">
        <v>722</v>
      </c>
    </row>
    <row r="81" spans="1:4">
      <c r="A81" s="45" t="s">
        <v>44</v>
      </c>
      <c r="B81" s="45" t="s">
        <v>723</v>
      </c>
      <c r="C81" s="45" t="s">
        <v>724</v>
      </c>
    </row>
    <row r="82" spans="1:4">
      <c r="A82" s="45" t="s">
        <v>44</v>
      </c>
      <c r="B82" s="45" t="s">
        <v>725</v>
      </c>
      <c r="C82" s="45" t="s">
        <v>726</v>
      </c>
      <c r="D82" s="46" t="s">
        <v>727</v>
      </c>
    </row>
    <row r="83" spans="1:4">
      <c r="A83" s="45" t="s">
        <v>44</v>
      </c>
      <c r="B83" s="45" t="s">
        <v>728</v>
      </c>
      <c r="C83" s="45" t="s">
        <v>729</v>
      </c>
      <c r="D83" s="46" t="s">
        <v>730</v>
      </c>
    </row>
    <row r="84" spans="1:4">
      <c r="A84" s="45" t="s">
        <v>44</v>
      </c>
      <c r="B84" s="45" t="s">
        <v>731</v>
      </c>
      <c r="C84" s="45" t="s">
        <v>732</v>
      </c>
    </row>
    <row r="85" spans="1:4">
      <c r="A85" s="45" t="s">
        <v>44</v>
      </c>
      <c r="B85" s="45" t="s">
        <v>733</v>
      </c>
      <c r="C85" s="45" t="s">
        <v>734</v>
      </c>
    </row>
    <row r="86" spans="1:4">
      <c r="A86" s="45" t="s">
        <v>44</v>
      </c>
      <c r="B86" s="45" t="s">
        <v>735</v>
      </c>
      <c r="C86" s="45" t="s">
        <v>736</v>
      </c>
    </row>
    <row r="87" spans="1:4">
      <c r="A87" s="45" t="s">
        <v>44</v>
      </c>
      <c r="B87" s="45" t="s">
        <v>737</v>
      </c>
      <c r="C87" s="45" t="s">
        <v>738</v>
      </c>
    </row>
    <row r="88" spans="1:4">
      <c r="A88" t="s">
        <v>44</v>
      </c>
      <c r="B88" t="s">
        <v>739</v>
      </c>
      <c r="C88" t="s">
        <v>740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Audit Report</vt:lpstr>
      <vt:lpstr>SIMS 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  <vt:lpstr>Diagnostics 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2026-04-20T09:01:36Z</dcterms:modified>
</cp:coreProperties>
</file>